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workbookAlgorithmName="SHA-512" workbookHashValue="38RG8FkIleEPKVLQ2NrrQ9tfbxUQcr7hZwQ9LqGAoDyksmmJ1hDUZByjhnzoKognaoGOlZ83NHczKJ+a3HID8Q==" workbookSaltValue="8ZlgSuHl6TrRkJLTI5pFig==" workbookSpinCount="100000"/>
  <bookViews>
    <workbookView visibility="visible" minimized="0" showHorizontalScroll="1" showVerticalScroll="1" showSheetTabs="1" xWindow="-28920" yWindow="-4815" windowWidth="29040" windowHeight="15840" tabRatio="715" firstSheet="0" activeTab="2" autoFilterDateGrouping="1"/>
  </bookViews>
  <sheets>
    <sheet xmlns:r="http://schemas.openxmlformats.org/officeDocument/2006/relationships" name="Dados B3" sheetId="1" state="visible" r:id="rId1"/>
    <sheet xmlns:r="http://schemas.openxmlformats.org/officeDocument/2006/relationships" name="APORTES" sheetId="2" state="visible" r:id="rId2"/>
    <sheet xmlns:r="http://schemas.openxmlformats.org/officeDocument/2006/relationships" name="DIVIDENDOS" sheetId="3" state="visible" r:id="rId3"/>
    <sheet xmlns:r="http://schemas.openxmlformats.org/officeDocument/2006/relationships" name="OPERAÇÕES" sheetId="4" state="visible" r:id="rId4"/>
    <sheet xmlns:r="http://schemas.openxmlformats.org/officeDocument/2006/relationships" name="CARTEIRA" sheetId="5" state="visible" r:id="rId5"/>
    <sheet xmlns:r="http://schemas.openxmlformats.org/officeDocument/2006/relationships" name="DASHBOARD" sheetId="6" state="hidden" r:id="rId6"/>
  </sheets>
  <definedNames>
    <definedName name="SegmentaçãodeDados_Ano">#N/A</definedName>
    <definedName name="SegmentaçãodeDados_ATIVO">#N/A</definedName>
    <definedName name="SegmentaçãodeDados_ATIVO1">#N/A</definedName>
    <definedName name="SegmentaçãodeDados_MÊS">#N/A</definedName>
    <definedName name="SegmentaçãodeDados_SEGMENTO">#N/A</definedName>
    <definedName name="SegmentaçãodeDados_TIPO">#N/A</definedName>
    <definedName name="SegmentaçãodeDados_TIPO1">#N/A</definedName>
    <definedName name="_xlnm._FilterDatabase" localSheetId="0" hidden="1">'Dados B3'!$A$1:$I$1691</definedName>
    <definedName name="_xlnm._FilterDatabase" localSheetId="1" hidden="1">'APORTES'!$A$1:$C$1</definedName>
    <definedName name="_xlnm._FilterDatabase" localSheetId="3" hidden="1">'OPERAÇÕES'!$A$1:$K$570</definedName>
    <definedName name="_xlnm._FilterDatabase" localSheetId="4" hidden="1">'CARTEIRA'!$A$2:$U$42</definedName>
  </definedNames>
  <calcPr calcId="191029" fullCalcOnLoad="1" fullPrecision="0"/>
  <pivotCaches>
    <pivotCache xmlns:r="http://schemas.openxmlformats.org/officeDocument/2006/relationships" cacheId="5" r:id="rId7"/>
  </pivotCaches>
</workbook>
</file>

<file path=xl/styles.xml><?xml version="1.0" encoding="utf-8"?>
<styleSheet xmlns="http://schemas.openxmlformats.org/spreadsheetml/2006/main">
  <numFmts count="8">
    <numFmt numFmtId="164" formatCode="&quot;R$&quot;\ #,##0.00"/>
    <numFmt numFmtId="165" formatCode="mm/yy"/>
    <numFmt numFmtId="166" formatCode="_-* #,##0.00_-;\-* #,##0.00_-;_-* &quot;-&quot;??_-;_-@_-"/>
    <numFmt numFmtId="167" formatCode="_-&quot;R$&quot;\ * #,##0.00_-;\-&quot;R$&quot;\ * #,##0.00_-;_-&quot;R$&quot;\ * &quot;-&quot;??_-;_-@_-"/>
    <numFmt numFmtId="168" formatCode="&quot;R$&quot;\ #,##0.00;[Red]\-&quot;R$&quot;\ #,##0.00"/>
    <numFmt numFmtId="169" formatCode="_-* #,##0_-;\-* #,##0_-;_-* &quot;-&quot;??_-;_-@_-"/>
    <numFmt numFmtId="170" formatCode="_-&quot;R$&quot;* #,##0.00_-;\-&quot;R$&quot;* #,##0.00_-;_-&quot;R$&quot;* &quot;-&quot;??_-;_-@_-"/>
    <numFmt numFmtId="171" formatCode="_-[$R$-416]\ * #,##0.00_-;\-[$R$-416]\ * #,##0.00_-;_-[$R$-416]\ * &quot;-&quot;??_-;_-@_-"/>
  </numFmts>
  <fonts count="15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9"/>
    </font>
    <font>
      <name val="Arial Black"/>
      <family val="2"/>
      <color theme="0"/>
      <sz val="20"/>
    </font>
    <font>
      <name val="Arial"/>
      <color theme="1"/>
      <sz val="10"/>
    </font>
    <font>
      <name val="Arial"/>
      <b val="1"/>
      <color theme="0"/>
      <sz val="10"/>
    </font>
    <font>
      <name val="Arial Black"/>
      <family val="2"/>
      <sz val="16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8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"/>
      </left>
      <right/>
      <top style="thin">
        <color theme="9" tint="0.3999755851924192"/>
      </top>
      <bottom/>
      <diagonal/>
    </border>
    <border>
      <left/>
      <right/>
      <top style="thin">
        <color theme="9" tint="0.3999755851924192"/>
      </top>
      <bottom/>
      <diagonal/>
    </border>
    <border>
      <left/>
      <right style="thin">
        <color theme="9" tint="0.3999755851924192"/>
      </right>
      <top style="thin">
        <color theme="9" tint="0.399975585192419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9" fontId="9" fillId="0" borderId="0"/>
    <xf numFmtId="43" fontId="9" fillId="0" borderId="0"/>
    <xf numFmtId="9" fontId="5" fillId="0" borderId="0"/>
    <xf numFmtId="0" fontId="5" fillId="0" borderId="0"/>
    <xf numFmtId="43" fontId="5" fillId="0" borderId="0"/>
    <xf numFmtId="170" fontId="5" fillId="0" borderId="0"/>
    <xf numFmtId="0" fontId="9" fillId="0" borderId="0"/>
    <xf numFmtId="44" fontId="9" fillId="0" borderId="0"/>
    <xf numFmtId="0" fontId="5" fillId="0" borderId="0"/>
    <xf numFmtId="0" fontId="5" fillId="0" borderId="0"/>
  </cellStyleXfs>
  <cellXfs count="20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7">
      <alignment wrapText="1"/>
    </xf>
    <xf numFmtId="0" fontId="6" fillId="0" borderId="0" pivotButton="0" quotePrefix="0" xfId="7"/>
    <xf numFmtId="0" fontId="6" fillId="0" borderId="0" applyAlignment="1" pivotButton="0" quotePrefix="0" xfId="7">
      <alignment wrapText="1"/>
    </xf>
    <xf numFmtId="0" fontId="6" fillId="0" borderId="22" applyAlignment="1" pivotButton="0" quotePrefix="0" xfId="7">
      <alignment wrapText="1"/>
    </xf>
    <xf numFmtId="0" fontId="6" fillId="0" borderId="13" applyAlignment="1" pivotButton="0" quotePrefix="0" xfId="7">
      <alignment wrapText="1"/>
    </xf>
    <xf numFmtId="0" fontId="6" fillId="0" borderId="14" applyAlignment="1" pivotButton="0" quotePrefix="0" xfId="7">
      <alignment wrapText="1"/>
    </xf>
    <xf numFmtId="0" fontId="0" fillId="0" borderId="0" pivotButton="1" quotePrefix="0" xfId="0"/>
    <xf numFmtId="0" fontId="7" fillId="6" borderId="5" applyAlignment="1" pivotButton="0" quotePrefix="0" xfId="0">
      <alignment horizontal="center"/>
    </xf>
    <xf numFmtId="0" fontId="7" fillId="6" borderId="6" applyAlignment="1" pivotButton="0" quotePrefix="0" xfId="0">
      <alignment horizontal="center"/>
    </xf>
    <xf numFmtId="0" fontId="7" fillId="6" borderId="7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10" fontId="6" fillId="6" borderId="4" applyAlignment="1" pivotButton="0" quotePrefix="0" xfId="1">
      <alignment horizontal="center"/>
    </xf>
    <xf numFmtId="10" fontId="0" fillId="0" borderId="0" pivotButton="0" quotePrefix="0" xfId="1"/>
    <xf numFmtId="0" fontId="0" fillId="9" borderId="0" pivotButton="0" quotePrefix="0" xfId="0"/>
    <xf numFmtId="0" fontId="6" fillId="0" borderId="0" pivotButton="0" quotePrefix="0" xfId="0"/>
    <xf numFmtId="0" fontId="5" fillId="0" borderId="0" pivotButton="0" quotePrefix="0" xfId="4"/>
    <xf numFmtId="0" fontId="13" fillId="11" borderId="26" applyProtection="1" pivotButton="0" quotePrefix="0" xfId="0">
      <protection locked="0" hidden="1"/>
    </xf>
    <xf numFmtId="0" fontId="13" fillId="11" borderId="27" applyProtection="1" pivotButton="0" quotePrefix="0" xfId="0">
      <protection locked="0" hidden="1"/>
    </xf>
    <xf numFmtId="0" fontId="13" fillId="11" borderId="28" applyProtection="1" pivotButton="0" quotePrefix="0" xfId="0">
      <protection locked="0" hidden="1"/>
    </xf>
    <xf numFmtId="0" fontId="12" fillId="10" borderId="26" applyProtection="1" pivotButton="0" quotePrefix="0" xfId="0">
      <protection locked="0" hidden="1"/>
    </xf>
    <xf numFmtId="0" fontId="12" fillId="10" borderId="27" applyProtection="1" pivotButton="0" quotePrefix="0" xfId="0">
      <protection locked="0" hidden="1"/>
    </xf>
    <xf numFmtId="0" fontId="12" fillId="10" borderId="28" applyProtection="1" pivotButton="0" quotePrefix="0" xfId="1">
      <protection locked="0" hidden="1"/>
    </xf>
    <xf numFmtId="0" fontId="12" fillId="0" borderId="26" applyProtection="1" pivotButton="0" quotePrefix="0" xfId="0">
      <protection locked="0" hidden="1"/>
    </xf>
    <xf numFmtId="0" fontId="12" fillId="0" borderId="27" applyProtection="1" pivotButton="0" quotePrefix="0" xfId="0">
      <protection locked="0" hidden="1"/>
    </xf>
    <xf numFmtId="0" fontId="12" fillId="0" borderId="28" applyProtection="1" pivotButton="0" quotePrefix="0" xfId="0">
      <protection locked="0" hidden="1"/>
    </xf>
    <xf numFmtId="0" fontId="12" fillId="10" borderId="28" applyProtection="1" pivotButton="0" quotePrefix="0" xfId="0">
      <protection locked="0" hidden="1"/>
    </xf>
    <xf numFmtId="14" fontId="13" fillId="11" borderId="26" applyProtection="1" pivotButton="0" quotePrefix="0" xfId="0">
      <protection locked="1" hidden="1"/>
    </xf>
    <xf numFmtId="0" fontId="13" fillId="11" borderId="0" applyProtection="1" pivotButton="0" quotePrefix="0" xfId="0">
      <protection locked="1" hidden="1"/>
    </xf>
    <xf numFmtId="0" fontId="7" fillId="0" borderId="0" applyProtection="1" pivotButton="0" quotePrefix="0" xfId="0">
      <protection locked="1" hidden="1"/>
    </xf>
    <xf numFmtId="14" fontId="12" fillId="10" borderId="26" applyProtection="1" pivotButton="0" quotePrefix="0" xfId="0">
      <protection locked="1" hidden="1"/>
    </xf>
    <xf numFmtId="0" fontId="12" fillId="10" borderId="27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14" fontId="12" fillId="0" borderId="26" applyProtection="1" pivotButton="0" quotePrefix="0" xfId="0">
      <protection locked="1" hidden="1"/>
    </xf>
    <xf numFmtId="0" fontId="12" fillId="0" borderId="27" applyProtection="1" pivotButton="0" quotePrefix="0" xfId="0">
      <protection locked="1" hidden="1"/>
    </xf>
    <xf numFmtId="14" fontId="0" fillId="0" borderId="30" applyProtection="1" pivotButton="0" quotePrefix="0" xfId="0">
      <protection locked="0" hidden="1"/>
    </xf>
    <xf numFmtId="0" fontId="7" fillId="8" borderId="3" applyProtection="1" pivotButton="0" quotePrefix="0" xfId="0">
      <protection locked="1" hidden="1"/>
    </xf>
    <xf numFmtId="14" fontId="7" fillId="2" borderId="24" applyAlignment="1" applyProtection="1" pivotButton="0" quotePrefix="0" xfId="7">
      <alignment wrapText="1"/>
      <protection locked="1" hidden="1"/>
    </xf>
    <xf numFmtId="49" fontId="7" fillId="2" borderId="23" applyAlignment="1" applyProtection="1" pivotButton="0" quotePrefix="0" xfId="7">
      <alignment wrapText="1"/>
      <protection locked="1" hidden="1"/>
    </xf>
    <xf numFmtId="0" fontId="7" fillId="2" borderId="24" applyAlignment="1" applyProtection="1" pivotButton="0" quotePrefix="0" xfId="7">
      <alignment wrapText="1"/>
      <protection locked="1" hidden="1"/>
    </xf>
    <xf numFmtId="0" fontId="7" fillId="4" borderId="24" applyAlignment="1" applyProtection="1" pivotButton="0" quotePrefix="0" xfId="7">
      <alignment wrapText="1"/>
      <protection locked="1" hidden="1"/>
    </xf>
    <xf numFmtId="0" fontId="7" fillId="2" borderId="25" applyAlignment="1" applyProtection="1" pivotButton="0" quotePrefix="0" xfId="7">
      <alignment wrapText="1"/>
      <protection locked="1" hidden="1"/>
    </xf>
    <xf numFmtId="0" fontId="7" fillId="2" borderId="0" applyAlignment="1" applyProtection="1" pivotButton="0" quotePrefix="0" xfId="7">
      <alignment wrapText="1"/>
      <protection locked="1" hidden="1"/>
    </xf>
    <xf numFmtId="0" fontId="7" fillId="4" borderId="0" applyAlignment="1" applyProtection="1" pivotButton="0" quotePrefix="0" xfId="7">
      <alignment wrapText="1"/>
      <protection locked="1" hidden="1"/>
    </xf>
    <xf numFmtId="14" fontId="0" fillId="0" borderId="1" applyAlignment="1" applyProtection="1" pivotButton="0" quotePrefix="0" xfId="0">
      <alignment horizontal="left"/>
      <protection locked="0" hidden="1"/>
    </xf>
    <xf numFmtId="49" fontId="6" fillId="0" borderId="1" applyAlignment="1" applyProtection="1" pivotButton="0" quotePrefix="0" xfId="7">
      <alignment wrapText="1"/>
      <protection locked="0" hidden="1"/>
    </xf>
    <xf numFmtId="0" fontId="6" fillId="0" borderId="1" applyAlignment="1" applyProtection="1" pivotButton="0" quotePrefix="0" xfId="7">
      <alignment horizontal="right" wrapText="1"/>
      <protection locked="0" hidden="1"/>
    </xf>
    <xf numFmtId="0" fontId="6" fillId="0" borderId="1" applyAlignment="1" applyProtection="1" pivotButton="0" quotePrefix="0" xfId="7">
      <alignment wrapText="1"/>
      <protection locked="1" hidden="1"/>
    </xf>
    <xf numFmtId="0" fontId="6" fillId="0" borderId="1" applyAlignment="1" applyProtection="1" pivotButton="0" quotePrefix="0" xfId="7">
      <alignment horizontal="right" wrapText="1"/>
      <protection locked="1" hidden="1"/>
    </xf>
    <xf numFmtId="0" fontId="6" fillId="0" borderId="1" applyAlignment="1" applyProtection="1" pivotButton="0" quotePrefix="0" xfId="7">
      <alignment wrapText="1"/>
      <protection locked="0" hidden="1"/>
    </xf>
    <xf numFmtId="14" fontId="6" fillId="0" borderId="0" applyProtection="1" pivotButton="0" quotePrefix="0" xfId="7">
      <protection locked="0" hidden="1"/>
    </xf>
    <xf numFmtId="49" fontId="6" fillId="0" borderId="0" applyProtection="1" pivotButton="0" quotePrefix="0" xfId="7">
      <protection locked="0" hidden="1"/>
    </xf>
    <xf numFmtId="0" fontId="6" fillId="0" borderId="0" applyProtection="1" pivotButton="0" quotePrefix="0" xfId="7">
      <protection locked="0" hidden="1"/>
    </xf>
    <xf numFmtId="0" fontId="6" fillId="0" borderId="0" applyProtection="1" pivotButton="0" quotePrefix="0" xfId="7">
      <protection locked="1" hidden="1"/>
    </xf>
    <xf numFmtId="0" fontId="7" fillId="4" borderId="5" applyAlignment="1" applyProtection="1" pivotButton="0" quotePrefix="0" xfId="7">
      <alignment wrapText="1"/>
      <protection locked="1" hidden="1"/>
    </xf>
    <xf numFmtId="0" fontId="7" fillId="0" borderId="0" applyAlignment="1" applyProtection="1" pivotButton="0" quotePrefix="0" xfId="7">
      <alignment wrapText="1"/>
      <protection locked="1" hidden="1"/>
    </xf>
    <xf numFmtId="0" fontId="7" fillId="4" borderId="2" applyAlignment="1" applyProtection="1" pivotButton="0" quotePrefix="0" xfId="7">
      <alignment wrapText="1"/>
      <protection locked="1" hidden="1"/>
    </xf>
    <xf numFmtId="0" fontId="7" fillId="0" borderId="0" applyProtection="1" pivotButton="0" quotePrefix="0" xfId="7">
      <protection locked="1" hidden="1"/>
    </xf>
    <xf numFmtId="10" fontId="5" fillId="0" borderId="0" applyProtection="1" pivotButton="0" quotePrefix="0" xfId="1">
      <protection locked="1" hidden="1"/>
    </xf>
    <xf numFmtId="0" fontId="8" fillId="2" borderId="6" applyProtection="1" pivotButton="0" quotePrefix="0" xfId="4">
      <protection locked="1" hidden="1"/>
    </xf>
    <xf numFmtId="0" fontId="8" fillId="8" borderId="7" applyAlignment="1" applyProtection="1" pivotButton="0" quotePrefix="0" xfId="4">
      <alignment horizontal="center"/>
      <protection locked="1" hidden="1"/>
    </xf>
    <xf numFmtId="0" fontId="8" fillId="8" borderId="5" applyProtection="1" pivotButton="0" quotePrefix="0" xfId="4">
      <protection locked="1" hidden="1"/>
    </xf>
    <xf numFmtId="0" fontId="8" fillId="8" borderId="6" applyProtection="1" pivotButton="0" quotePrefix="0" xfId="4">
      <protection locked="1" hidden="1"/>
    </xf>
    <xf numFmtId="0" fontId="8" fillId="0" borderId="6" applyProtection="1" pivotButton="0" quotePrefix="0" xfId="4">
      <protection locked="1" hidden="1"/>
    </xf>
    <xf numFmtId="0" fontId="8" fillId="0" borderId="6" applyAlignment="1" applyProtection="1" pivotButton="0" quotePrefix="0" xfId="4">
      <alignment horizontal="center"/>
      <protection locked="1" hidden="1"/>
    </xf>
    <xf numFmtId="10" fontId="0" fillId="0" borderId="11" applyAlignment="1" applyProtection="1" pivotButton="0" quotePrefix="0" xfId="1">
      <alignment horizontal="center"/>
      <protection locked="1" hidden="1"/>
    </xf>
    <xf numFmtId="49" fontId="9" fillId="0" borderId="1" applyAlignment="1" applyProtection="1" pivotButton="0" quotePrefix="0" xfId="7">
      <alignment wrapText="1"/>
      <protection locked="0" hidden="1"/>
    </xf>
    <xf numFmtId="0" fontId="2" fillId="0" borderId="4" applyProtection="1" pivotButton="0" quotePrefix="0" xfId="4">
      <protection locked="1" hidden="1"/>
    </xf>
    <xf numFmtId="0" fontId="5" fillId="0" borderId="13" applyProtection="1" pivotButton="0" quotePrefix="0" xfId="1">
      <protection locked="1" hidden="1"/>
    </xf>
    <xf numFmtId="0" fontId="5" fillId="8" borderId="11" applyProtection="1" pivotButton="0" quotePrefix="0" xfId="4">
      <protection locked="1" hidden="1"/>
    </xf>
    <xf numFmtId="0" fontId="5" fillId="8" borderId="4" applyProtection="1" pivotButton="0" quotePrefix="0" xfId="4">
      <protection locked="1" hidden="1"/>
    </xf>
    <xf numFmtId="0" fontId="5" fillId="8" borderId="4" applyAlignment="1" applyProtection="1" pivotButton="0" quotePrefix="0" xfId="4">
      <alignment horizontal="center"/>
      <protection locked="1" hidden="1"/>
    </xf>
    <xf numFmtId="10" fontId="3" fillId="0" borderId="4" applyAlignment="1" applyProtection="1" pivotButton="0" quotePrefix="0" xfId="1">
      <alignment horizontal="right"/>
      <protection locked="1" hidden="1"/>
    </xf>
    <xf numFmtId="0" fontId="5" fillId="8" borderId="9" applyProtection="1" pivotButton="0" quotePrefix="0" xfId="4">
      <protection locked="1" hidden="1"/>
    </xf>
    <xf numFmtId="0" fontId="5" fillId="8" borderId="1" applyProtection="1" pivotButton="0" quotePrefix="0" xfId="4">
      <protection locked="1" hidden="1"/>
    </xf>
    <xf numFmtId="0" fontId="5" fillId="8" borderId="1" applyAlignment="1" applyProtection="1" pivotButton="0" quotePrefix="0" xfId="4">
      <alignment horizontal="center"/>
      <protection locked="1" hidden="1"/>
    </xf>
    <xf numFmtId="10" fontId="3" fillId="0" borderId="1" applyAlignment="1" applyProtection="1" pivotButton="0" quotePrefix="0" xfId="1">
      <alignment horizontal="right"/>
      <protection locked="1" hidden="1"/>
    </xf>
    <xf numFmtId="0" fontId="1" fillId="0" borderId="1" applyProtection="1" pivotButton="0" quotePrefix="0" xfId="4">
      <protection locked="0" hidden="1"/>
    </xf>
    <xf numFmtId="0" fontId="4" fillId="0" borderId="1" applyProtection="1" pivotButton="0" quotePrefix="0" xfId="4">
      <protection locked="0" hidden="1"/>
    </xf>
    <xf numFmtId="0" fontId="5" fillId="8" borderId="8" applyProtection="1" pivotButton="0" quotePrefix="0" xfId="4">
      <protection locked="1" hidden="1"/>
    </xf>
    <xf numFmtId="0" fontId="5" fillId="8" borderId="10" applyProtection="1" pivotButton="0" quotePrefix="0" xfId="4">
      <protection locked="1" hidden="1"/>
    </xf>
    <xf numFmtId="0" fontId="5" fillId="8" borderId="10" applyAlignment="1" applyProtection="1" pivotButton="0" quotePrefix="0" xfId="4">
      <alignment horizontal="center"/>
      <protection locked="1" hidden="1"/>
    </xf>
    <xf numFmtId="10" fontId="3" fillId="0" borderId="10" applyAlignment="1" applyProtection="1" pivotButton="0" quotePrefix="0" xfId="1">
      <alignment horizontal="right"/>
      <protection locked="1" hidden="1"/>
    </xf>
    <xf numFmtId="9" fontId="0" fillId="0" borderId="0" applyAlignment="1" applyProtection="1" pivotButton="0" quotePrefix="0" xfId="1">
      <alignment horizontal="center"/>
      <protection locked="1" hidden="1"/>
    </xf>
    <xf numFmtId="0" fontId="5" fillId="0" borderId="0" applyProtection="1" pivotButton="0" quotePrefix="0" xfId="4">
      <protection locked="0" hidden="1"/>
    </xf>
    <xf numFmtId="0" fontId="5" fillId="0" borderId="0" applyProtection="1" pivotButton="0" quotePrefix="0" xfId="4">
      <protection locked="1" hidden="1"/>
    </xf>
    <xf numFmtId="164" fontId="0" fillId="0" borderId="0" applyProtection="1" pivotButton="0" quotePrefix="0" xfId="2">
      <protection locked="0" hidden="1"/>
    </xf>
    <xf numFmtId="164" fontId="13" fillId="11" borderId="0" applyProtection="1" pivotButton="0" quotePrefix="0" xfId="0">
      <protection locked="1" hidden="1"/>
    </xf>
    <xf numFmtId="164" fontId="12" fillId="10" borderId="27" applyProtection="1" pivotButton="0" quotePrefix="0" xfId="0">
      <protection locked="1" hidden="1"/>
    </xf>
    <xf numFmtId="164" fontId="12" fillId="0" borderId="27" applyProtection="1" pivotButton="0" quotePrefix="0" xfId="0">
      <protection locked="1" hidden="1"/>
    </xf>
    <xf numFmtId="0" fontId="7" fillId="3" borderId="1" applyAlignment="1" applyProtection="1" pivotButton="0" quotePrefix="0" xfId="0">
      <alignment horizontal="center"/>
      <protection locked="0" hidden="1"/>
    </xf>
    <xf numFmtId="0" fontId="7" fillId="2" borderId="1" applyAlignment="1" applyProtection="1" pivotButton="0" quotePrefix="0" xfId="0">
      <alignment horizontal="center"/>
      <protection locked="0" hidden="1"/>
    </xf>
    <xf numFmtId="0" fontId="7" fillId="3" borderId="1" applyAlignment="1" applyProtection="1" pivotButton="0" quotePrefix="0" xfId="0">
      <alignment horizontal="center"/>
      <protection locked="1" hidden="1"/>
    </xf>
    <xf numFmtId="0" fontId="8" fillId="2" borderId="1" applyProtection="1" pivotButton="0" quotePrefix="0" xfId="0">
      <protection locked="0" hidden="1"/>
    </xf>
    <xf numFmtId="0" fontId="7" fillId="2" borderId="1" applyProtection="1" pivotButton="0" quotePrefix="0" xfId="0">
      <protection locked="0" hidden="1"/>
    </xf>
    <xf numFmtId="164" fontId="6" fillId="0" borderId="1" applyProtection="1" pivotButton="0" quotePrefix="0" xfId="2">
      <protection locked="0" hidden="1"/>
    </xf>
    <xf numFmtId="0" fontId="0" fillId="0" borderId="1" applyProtection="1" pivotButton="0" quotePrefix="0" xfId="0">
      <protection locked="0" hidden="1"/>
    </xf>
    <xf numFmtId="0" fontId="0" fillId="0" borderId="1" pivotButton="0" quotePrefix="0" xfId="0"/>
    <xf numFmtId="1" fontId="0" fillId="0" borderId="1" applyAlignment="1" applyProtection="1" pivotButton="0" quotePrefix="0" xfId="0">
      <alignment horizontal="center"/>
      <protection locked="0" hidden="1"/>
    </xf>
    <xf numFmtId="14" fontId="0" fillId="0" borderId="1" applyAlignment="1" applyProtection="1" pivotButton="0" quotePrefix="0" xfId="0">
      <alignment horizontal="center"/>
      <protection locked="0" hidden="1"/>
    </xf>
    <xf numFmtId="165" fontId="0" fillId="0" borderId="1" applyAlignment="1" applyProtection="1" pivotButton="0" quotePrefix="0" xfId="0">
      <alignment horizontal="center"/>
      <protection locked="1" hidden="1"/>
    </xf>
    <xf numFmtId="14" fontId="0" fillId="0" borderId="1" applyAlignment="1" applyProtection="1" pivotButton="0" quotePrefix="0" xfId="0">
      <alignment horizontal="center"/>
      <protection locked="1" hidden="1"/>
    </xf>
    <xf numFmtId="164" fontId="0" fillId="0" borderId="1" applyProtection="1" pivotButton="0" quotePrefix="0" xfId="2">
      <protection locked="0" hidden="1"/>
    </xf>
    <xf numFmtId="0" fontId="6" fillId="0" borderId="1" applyProtection="1" pivotButton="0" quotePrefix="0" xfId="0">
      <protection locked="0" hidden="1"/>
    </xf>
    <xf numFmtId="0" fontId="0" fillId="0" borderId="0" pivotButton="0" quotePrefix="0" xfId="0"/>
    <xf numFmtId="0" fontId="6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1"/>
    </xf>
    <xf numFmtId="166" fontId="6" fillId="0" borderId="1" applyProtection="1" pivotButton="0" quotePrefix="0" xfId="2">
      <protection locked="0" hidden="1"/>
    </xf>
    <xf numFmtId="166" fontId="7" fillId="2" borderId="1" applyProtection="1" pivotButton="0" quotePrefix="0" xfId="2">
      <protection locked="0" hidden="1"/>
    </xf>
    <xf numFmtId="167" fontId="0" fillId="8" borderId="15" applyProtection="1" pivotButton="0" quotePrefix="0" xfId="8">
      <protection locked="1" hidden="1"/>
    </xf>
    <xf numFmtId="168" fontId="6" fillId="0" borderId="1" applyProtection="1" pivotButton="0" quotePrefix="0" xfId="2">
      <protection locked="0" hidden="1"/>
    </xf>
    <xf numFmtId="166" fontId="0" fillId="0" borderId="1" applyProtection="1" pivotButton="0" quotePrefix="0" xfId="2">
      <protection locked="0" hidden="1"/>
    </xf>
    <xf numFmtId="166" fontId="0" fillId="0" borderId="0" applyProtection="1" pivotButton="0" quotePrefix="0" xfId="2">
      <protection locked="0" hidden="1"/>
    </xf>
    <xf numFmtId="166" fontId="0" fillId="0" borderId="0" applyProtection="1" pivotButton="0" quotePrefix="0" xfId="2">
      <protection locked="1" hidden="1"/>
    </xf>
    <xf numFmtId="166" fontId="7" fillId="2" borderId="24" applyAlignment="1" applyProtection="1" pivotButton="0" quotePrefix="0" xfId="2">
      <alignment wrapText="1"/>
      <protection locked="1" hidden="1"/>
    </xf>
    <xf numFmtId="166" fontId="7" fillId="4" borderId="24" applyAlignment="1" applyProtection="1" pivotButton="0" quotePrefix="0" xfId="2">
      <alignment wrapText="1"/>
      <protection locked="1" hidden="1"/>
    </xf>
    <xf numFmtId="166" fontId="7" fillId="0" borderId="7" applyAlignment="1" applyProtection="1" pivotButton="0" quotePrefix="0" xfId="2">
      <alignment wrapText="1"/>
      <protection locked="1" hidden="1"/>
    </xf>
    <xf numFmtId="168" fontId="0" fillId="0" borderId="1" applyProtection="1" pivotButton="0" quotePrefix="0" xfId="2">
      <protection locked="0" hidden="1"/>
    </xf>
    <xf numFmtId="166" fontId="6" fillId="0" borderId="1" applyAlignment="1" applyProtection="1" pivotButton="0" quotePrefix="0" xfId="2">
      <alignment horizontal="right" wrapText="1"/>
      <protection locked="1" hidden="1"/>
    </xf>
    <xf numFmtId="166" fontId="6" fillId="0" borderId="4" applyAlignment="1" applyProtection="1" pivotButton="0" quotePrefix="0" xfId="2">
      <alignment horizontal="right" wrapText="1"/>
      <protection locked="0" hidden="1"/>
    </xf>
    <xf numFmtId="166" fontId="6" fillId="0" borderId="4" applyAlignment="1" applyProtection="1" pivotButton="0" quotePrefix="0" xfId="2">
      <alignment horizontal="right" wrapText="1"/>
      <protection locked="1" hidden="1"/>
    </xf>
    <xf numFmtId="166" fontId="6" fillId="0" borderId="0" applyAlignment="1" pivotButton="0" quotePrefix="0" xfId="7">
      <alignment horizontal="right" wrapText="1"/>
    </xf>
    <xf numFmtId="169" fontId="0" fillId="0" borderId="0" applyProtection="1" pivotButton="0" quotePrefix="0" xfId="5">
      <protection locked="1" hidden="1"/>
    </xf>
    <xf numFmtId="170" fontId="0" fillId="0" borderId="0" applyProtection="1" pivotButton="0" quotePrefix="0" xfId="6">
      <protection locked="1" hidden="1"/>
    </xf>
    <xf numFmtId="166" fontId="5" fillId="0" borderId="0" applyProtection="1" pivotButton="0" quotePrefix="0" xfId="2">
      <protection locked="1" hidden="1"/>
    </xf>
    <xf numFmtId="169" fontId="8" fillId="8" borderId="6" applyProtection="1" pivotButton="0" quotePrefix="0" xfId="5">
      <protection locked="1" hidden="1"/>
    </xf>
    <xf numFmtId="170" fontId="8" fillId="8" borderId="6" applyProtection="1" pivotButton="0" quotePrefix="0" xfId="6">
      <protection locked="1" hidden="1"/>
    </xf>
    <xf numFmtId="166" fontId="8" fillId="8" borderId="6" applyProtection="1" pivotButton="0" quotePrefix="0" xfId="2">
      <protection locked="1" hidden="1"/>
    </xf>
    <xf numFmtId="166" fontId="8" fillId="0" borderId="6" applyProtection="1" pivotButton="0" quotePrefix="0" xfId="2">
      <protection locked="1" hidden="1"/>
    </xf>
    <xf numFmtId="169" fontId="0" fillId="8" borderId="4" applyAlignment="1" applyProtection="1" pivotButton="0" quotePrefix="0" xfId="5">
      <alignment horizontal="right"/>
      <protection locked="1" hidden="1"/>
    </xf>
    <xf numFmtId="170" fontId="0" fillId="8" borderId="4" applyAlignment="1" applyProtection="1" pivotButton="0" quotePrefix="0" xfId="6">
      <alignment horizontal="right"/>
      <protection locked="1" hidden="1"/>
    </xf>
    <xf numFmtId="167" fontId="5" fillId="8" borderId="12" applyProtection="1" pivotButton="0" quotePrefix="0" xfId="4">
      <protection locked="1" hidden="1"/>
    </xf>
    <xf numFmtId="167" fontId="5" fillId="8" borderId="4" applyProtection="1" pivotButton="0" quotePrefix="0" xfId="8">
      <protection locked="1" hidden="1"/>
    </xf>
    <xf numFmtId="171" fontId="5" fillId="8" borderId="4" applyAlignment="1" applyProtection="1" pivotButton="0" quotePrefix="0" xfId="8">
      <alignment horizontal="right"/>
      <protection locked="1" hidden="1"/>
    </xf>
    <xf numFmtId="167" fontId="5" fillId="0" borderId="4" applyProtection="1" pivotButton="0" quotePrefix="0" xfId="8">
      <protection locked="1" hidden="1"/>
    </xf>
    <xf numFmtId="169" fontId="3" fillId="0" borderId="4" applyAlignment="1" applyProtection="1" pivotButton="0" quotePrefix="0" xfId="2">
      <alignment horizontal="right"/>
      <protection locked="1" hidden="1"/>
    </xf>
    <xf numFmtId="167" fontId="5" fillId="0" borderId="4" applyAlignment="1" applyProtection="1" pivotButton="0" quotePrefix="0" xfId="8">
      <alignment horizontal="right"/>
      <protection locked="1" hidden="1"/>
    </xf>
    <xf numFmtId="166" fontId="5" fillId="0" borderId="4" applyAlignment="1" applyProtection="1" pivotButton="0" quotePrefix="0" xfId="2">
      <alignment horizontal="right"/>
      <protection locked="1" hidden="1"/>
    </xf>
    <xf numFmtId="167" fontId="5" fillId="8" borderId="1" applyProtection="1" pivotButton="0" quotePrefix="0" xfId="8">
      <protection locked="1" hidden="1"/>
    </xf>
    <xf numFmtId="171" fontId="5" fillId="8" borderId="1" applyAlignment="1" applyProtection="1" pivotButton="0" quotePrefix="0" xfId="8">
      <alignment horizontal="right"/>
      <protection locked="1" hidden="1"/>
    </xf>
    <xf numFmtId="167" fontId="5" fillId="0" borderId="1" applyProtection="1" pivotButton="0" quotePrefix="0" xfId="8">
      <protection locked="1" hidden="1"/>
    </xf>
    <xf numFmtId="167" fontId="5" fillId="0" borderId="1" applyAlignment="1" applyProtection="1" pivotButton="0" quotePrefix="0" xfId="8">
      <alignment horizontal="right"/>
      <protection locked="1" hidden="1"/>
    </xf>
    <xf numFmtId="167" fontId="5" fillId="8" borderId="10" applyProtection="1" pivotButton="0" quotePrefix="0" xfId="8">
      <protection locked="1" hidden="1"/>
    </xf>
    <xf numFmtId="171" fontId="5" fillId="8" borderId="10" applyAlignment="1" applyProtection="1" pivotButton="0" quotePrefix="0" xfId="8">
      <alignment horizontal="right"/>
      <protection locked="1" hidden="1"/>
    </xf>
    <xf numFmtId="167" fontId="5" fillId="0" borderId="10" applyProtection="1" pivotButton="0" quotePrefix="0" xfId="8">
      <protection locked="1" hidden="1"/>
    </xf>
    <xf numFmtId="167" fontId="5" fillId="0" borderId="10" applyAlignment="1" applyProtection="1" pivotButton="0" quotePrefix="0" xfId="8">
      <alignment horizontal="right"/>
      <protection locked="1" hidden="1"/>
    </xf>
    <xf numFmtId="167" fontId="6" fillId="6" borderId="4" applyAlignment="1" pivotButton="0" quotePrefix="0" xfId="8">
      <alignment horizontal="center"/>
    </xf>
    <xf numFmtId="166" fontId="0" fillId="0" borderId="0" pivotButton="0" quotePrefix="0" xfId="0"/>
    <xf numFmtId="167" fontId="0" fillId="0" borderId="0" pivotButton="0" quotePrefix="0" xfId="8"/>
    <xf numFmtId="0" fontId="10" fillId="2" borderId="2" applyAlignment="1" pivotButton="0" quotePrefix="0" xfId="7">
      <alignment horizontal="center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11" fillId="7" borderId="29" applyAlignment="1" applyProtection="1" pivotButton="0" quotePrefix="0" xfId="4">
      <alignment horizontal="center" vertical="center" wrapText="1"/>
      <protection locked="1" hidden="1"/>
    </xf>
    <xf numFmtId="0" fontId="11" fillId="5" borderId="3" applyAlignment="1" applyProtection="1" pivotButton="0" quotePrefix="0" xfId="4">
      <alignment horizontal="center" vertical="center" wrapText="1"/>
      <protection locked="1" hidden="1"/>
    </xf>
    <xf numFmtId="0" fontId="11" fillId="5" borderId="31" applyAlignment="1" applyProtection="1" pivotButton="0" quotePrefix="0" xfId="4">
      <alignment horizontal="center" vertical="center" wrapText="1"/>
      <protection locked="1" hidden="1"/>
    </xf>
    <xf numFmtId="0" fontId="14" fillId="12" borderId="31" applyAlignment="1" applyProtection="1" pivotButton="0" quotePrefix="0" xfId="0">
      <alignment horizontal="center" wrapText="1"/>
      <protection locked="1" hidden="1"/>
    </xf>
    <xf numFmtId="0" fontId="14" fillId="12" borderId="15" applyAlignment="1" applyProtection="1" pivotButton="0" quotePrefix="0" xfId="0">
      <alignment horizontal="center" wrapText="1"/>
      <protection locked="1" hidden="1"/>
    </xf>
    <xf numFmtId="166" fontId="6" fillId="0" borderId="1" applyProtection="1" pivotButton="0" quotePrefix="0" xfId="2">
      <protection locked="0" hidden="1"/>
    </xf>
    <xf numFmtId="166" fontId="7" fillId="2" borderId="1" applyProtection="1" pivotButton="0" quotePrefix="0" xfId="2">
      <protection locked="0" hidden="1"/>
    </xf>
    <xf numFmtId="167" fontId="0" fillId="8" borderId="15" applyProtection="1" pivotButton="0" quotePrefix="0" xfId="8">
      <protection locked="1" hidden="1"/>
    </xf>
    <xf numFmtId="168" fontId="6" fillId="0" borderId="1" applyProtection="1" pivotButton="0" quotePrefix="0" xfId="2">
      <protection locked="0" hidden="1"/>
    </xf>
    <xf numFmtId="166" fontId="0" fillId="0" borderId="1" applyProtection="1" pivotButton="0" quotePrefix="0" xfId="2">
      <protection locked="0" hidden="1"/>
    </xf>
    <xf numFmtId="166" fontId="0" fillId="0" borderId="0" applyProtection="1" pivotButton="0" quotePrefix="0" xfId="2">
      <protection locked="0" hidden="1"/>
    </xf>
    <xf numFmtId="166" fontId="0" fillId="0" borderId="0" applyProtection="1" pivotButton="0" quotePrefix="0" xfId="2">
      <protection locked="1" hidden="1"/>
    </xf>
    <xf numFmtId="166" fontId="7" fillId="2" borderId="24" applyAlignment="1" applyProtection="1" pivotButton="0" quotePrefix="0" xfId="2">
      <alignment wrapText="1"/>
      <protection locked="1" hidden="1"/>
    </xf>
    <xf numFmtId="166" fontId="7" fillId="4" borderId="24" applyAlignment="1" applyProtection="1" pivotButton="0" quotePrefix="0" xfId="2">
      <alignment wrapText="1"/>
      <protection locked="1" hidden="1"/>
    </xf>
    <xf numFmtId="166" fontId="7" fillId="0" borderId="7" applyAlignment="1" applyProtection="1" pivotButton="0" quotePrefix="0" xfId="2">
      <alignment wrapText="1"/>
      <protection locked="1" hidden="1"/>
    </xf>
    <xf numFmtId="168" fontId="0" fillId="0" borderId="1" applyProtection="1" pivotButton="0" quotePrefix="0" xfId="2">
      <protection locked="0" hidden="1"/>
    </xf>
    <xf numFmtId="166" fontId="6" fillId="0" borderId="1" applyAlignment="1" applyProtection="1" pivotButton="0" quotePrefix="0" xfId="2">
      <alignment horizontal="right" wrapText="1"/>
      <protection locked="1" hidden="1"/>
    </xf>
    <xf numFmtId="166" fontId="6" fillId="0" borderId="4" applyAlignment="1" applyProtection="1" pivotButton="0" quotePrefix="0" xfId="2">
      <alignment horizontal="right" wrapText="1"/>
      <protection locked="0" hidden="1"/>
    </xf>
    <xf numFmtId="166" fontId="6" fillId="0" borderId="4" applyAlignment="1" applyProtection="1" pivotButton="0" quotePrefix="0" xfId="2">
      <alignment horizontal="right" wrapText="1"/>
      <protection locked="1" hidden="1"/>
    </xf>
    <xf numFmtId="166" fontId="6" fillId="0" borderId="0" applyAlignment="1" pivotButton="0" quotePrefix="0" xfId="7">
      <alignment horizontal="right" wrapText="1"/>
    </xf>
    <xf numFmtId="169" fontId="0" fillId="0" borderId="0" applyProtection="1" pivotButton="0" quotePrefix="0" xfId="5">
      <protection locked="1" hidden="1"/>
    </xf>
    <xf numFmtId="170" fontId="0" fillId="0" borderId="0" applyProtection="1" pivotButton="0" quotePrefix="0" xfId="6">
      <protection locked="1" hidden="1"/>
    </xf>
    <xf numFmtId="166" fontId="5" fillId="0" borderId="0" applyProtection="1" pivotButton="0" quotePrefix="0" xfId="2">
      <protection locked="1" hidden="1"/>
    </xf>
    <xf numFmtId="0" fontId="0" fillId="0" borderId="31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169" fontId="8" fillId="8" borderId="6" applyProtection="1" pivotButton="0" quotePrefix="0" xfId="5">
      <protection locked="1" hidden="1"/>
    </xf>
    <xf numFmtId="170" fontId="8" fillId="8" borderId="6" applyProtection="1" pivotButton="0" quotePrefix="0" xfId="6">
      <protection locked="1" hidden="1"/>
    </xf>
    <xf numFmtId="166" fontId="8" fillId="8" borderId="6" applyProtection="1" pivotButton="0" quotePrefix="0" xfId="2">
      <protection locked="1" hidden="1"/>
    </xf>
    <xf numFmtId="166" fontId="8" fillId="0" borderId="6" applyProtection="1" pivotButton="0" quotePrefix="0" xfId="2">
      <protection locked="1" hidden="1"/>
    </xf>
    <xf numFmtId="169" fontId="0" fillId="8" borderId="4" applyAlignment="1" applyProtection="1" pivotButton="0" quotePrefix="0" xfId="5">
      <alignment horizontal="right"/>
      <protection locked="1" hidden="1"/>
    </xf>
    <xf numFmtId="170" fontId="0" fillId="8" borderId="4" applyAlignment="1" applyProtection="1" pivotButton="0" quotePrefix="0" xfId="6">
      <alignment horizontal="right"/>
      <protection locked="1" hidden="1"/>
    </xf>
    <xf numFmtId="167" fontId="5" fillId="8" borderId="12" applyProtection="1" pivotButton="0" quotePrefix="0" xfId="4">
      <protection locked="1" hidden="1"/>
    </xf>
    <xf numFmtId="167" fontId="5" fillId="8" borderId="4" applyProtection="1" pivotButton="0" quotePrefix="0" xfId="8">
      <protection locked="1" hidden="1"/>
    </xf>
    <xf numFmtId="171" fontId="5" fillId="8" borderId="4" applyAlignment="1" applyProtection="1" pivotButton="0" quotePrefix="0" xfId="8">
      <alignment horizontal="right"/>
      <protection locked="1" hidden="1"/>
    </xf>
    <xf numFmtId="167" fontId="5" fillId="0" borderId="4" applyProtection="1" pivotButton="0" quotePrefix="0" xfId="8">
      <protection locked="1" hidden="1"/>
    </xf>
    <xf numFmtId="169" fontId="3" fillId="0" borderId="4" applyAlignment="1" applyProtection="1" pivotButton="0" quotePrefix="0" xfId="2">
      <alignment horizontal="right"/>
      <protection locked="1" hidden="1"/>
    </xf>
    <xf numFmtId="167" fontId="5" fillId="0" borderId="4" applyAlignment="1" applyProtection="1" pivotButton="0" quotePrefix="0" xfId="8">
      <alignment horizontal="right"/>
      <protection locked="1" hidden="1"/>
    </xf>
    <xf numFmtId="166" fontId="5" fillId="0" borderId="4" applyAlignment="1" applyProtection="1" pivotButton="0" quotePrefix="0" xfId="2">
      <alignment horizontal="right"/>
      <protection locked="1" hidden="1"/>
    </xf>
    <xf numFmtId="167" fontId="5" fillId="8" borderId="1" applyProtection="1" pivotButton="0" quotePrefix="0" xfId="8">
      <protection locked="1" hidden="1"/>
    </xf>
    <xf numFmtId="171" fontId="5" fillId="8" borderId="1" applyAlignment="1" applyProtection="1" pivotButton="0" quotePrefix="0" xfId="8">
      <alignment horizontal="right"/>
      <protection locked="1" hidden="1"/>
    </xf>
    <xf numFmtId="167" fontId="5" fillId="0" borderId="1" applyProtection="1" pivotButton="0" quotePrefix="0" xfId="8">
      <protection locked="1" hidden="1"/>
    </xf>
    <xf numFmtId="167" fontId="5" fillId="0" borderId="1" applyAlignment="1" applyProtection="1" pivotButton="0" quotePrefix="0" xfId="8">
      <alignment horizontal="right"/>
      <protection locked="1" hidden="1"/>
    </xf>
    <xf numFmtId="167" fontId="5" fillId="8" borderId="10" applyProtection="1" pivotButton="0" quotePrefix="0" xfId="8">
      <protection locked="1" hidden="1"/>
    </xf>
    <xf numFmtId="171" fontId="5" fillId="8" borderId="10" applyAlignment="1" applyProtection="1" pivotButton="0" quotePrefix="0" xfId="8">
      <alignment horizontal="right"/>
      <protection locked="1" hidden="1"/>
    </xf>
    <xf numFmtId="167" fontId="5" fillId="0" borderId="10" applyProtection="1" pivotButton="0" quotePrefix="0" xfId="8">
      <protection locked="1" hidden="1"/>
    </xf>
    <xf numFmtId="167" fontId="5" fillId="0" borderId="10" applyAlignment="1" applyProtection="1" pivotButton="0" quotePrefix="0" xfId="8">
      <alignment horizontal="right"/>
      <protection locked="1" hidden="1"/>
    </xf>
    <xf numFmtId="167" fontId="6" fillId="6" borderId="4" applyAlignment="1" pivotButton="0" quotePrefix="0" xfId="8">
      <alignment horizontal="center"/>
    </xf>
    <xf numFmtId="166" fontId="0" fillId="0" borderId="0" pivotButton="0" quotePrefix="0" xfId="0"/>
    <xf numFmtId="167" fontId="0" fillId="0" borderId="0" pivotButton="0" quotePrefix="0" xfId="8"/>
  </cellXfs>
  <cellStyles count="11">
    <cellStyle name="Normal" xfId="0" builtinId="0"/>
    <cellStyle name="Porcentagem" xfId="1" builtinId="5"/>
    <cellStyle name="Vírgula" xfId="2" builtinId="3"/>
    <cellStyle name="Porcentagem 2" xfId="3"/>
    <cellStyle name="Normal 2" xfId="4"/>
    <cellStyle name="Vírgula 2" xfId="5"/>
    <cellStyle name="Moeda 2" xfId="6"/>
    <cellStyle name="Normal 3" xfId="7"/>
    <cellStyle name="Moeda" xfId="8" builtinId="4"/>
    <cellStyle name="Normal 4" xfId="9"/>
    <cellStyle name="Normal 5" xfId="10"/>
  </cellStyles>
  <dxfs count="3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fill>
        <patternFill>
          <bgColor theme="8" tint="0.399945066682943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theme="0"/>
          <bgColor theme="0"/>
        </patternFill>
      </fill>
    </dxf>
    <dxf>
      <fill>
        <patternFill>
          <fgColor theme="0"/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0"/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0"/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numFmt numFmtId="19" formatCode="dd/mm/yy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5" formatCode="mm/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9" formatCode="dd/mm/yy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numFmt numFmtId="1" formatCode="0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protection locked="1" hidden="1"/>
    </dxf>
    <dxf>
      <border>
        <bottom style="medium">
          <color indexed="64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David Toneti</author>
  </authors>
  <commentList>
    <comment ref="B181" authorId="0" shapeId="0">
      <text>
        <t xml:space="preserve">BONIFICAÇÃO DE 8 AÇÕES
</t>
      </text>
    </comment>
    <comment ref="B525" authorId="0" shapeId="0">
      <text>
        <t xml:space="preserve">BONIFICAÇÃO DE 7 AÇÕES em 28/11/23
</t>
      </text>
    </comment>
    <comment ref="B550" authorId="0" shapeId="0">
      <text>
        <t>BONIFICAÇÃO DE 5 AÇÕES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Cecília Ribeiro" refreshedDate="46102.90770162037" createdVersion="8" refreshedVersion="8" minRefreshableVersion="3" recordCount="40" r:id="rId1">
  <cacheSource type="worksheet">
    <worksheetSource ref="A1:I41" sheet="DASHBOARD"/>
  </cacheSource>
  <cacheFields count="9">
    <cacheField name="TIPO" uniqueList="1" numFmtId="0" sqlType="0" hierarchy="0" level="0" databaseField="1">
      <sharedItems count="4" containsInteger="1" containsMixedTypes="1" containsNumber="1" minValue="0" maxValue="0">
        <s v="FII"/>
        <s v="Ação"/>
        <s v="-"/>
        <n v="0" u="1"/>
      </sharedItems>
    </cacheField>
    <cacheField name="SEGMENTO" uniqueList="1" numFmtId="0" sqlType="0" hierarchy="0" level="0" databaseField="1">
      <sharedItems count="19" containsInteger="1" containsMixedTypes="1" containsNumber="1" minValue="0" maxValue="0">
        <s v="Fiagro"/>
        <s v="Automovéis"/>
        <s v="CRIs"/>
        <s v=""/>
        <s v="Híbrido"/>
        <s v="Energia Elétrica"/>
        <s v="Shoppings"/>
        <s v="Construtora"/>
        <s v="Seguradora"/>
        <s v="Logística"/>
        <s v="Financeiro"/>
        <s v="Fundo de Fundos"/>
        <s v="Petroléo, Gás e "/>
        <s v="Bens Industriais"/>
        <s v="Petróleo, Gás e Biocombustíveis"/>
        <s v="Mineração"/>
        <s v="Lajes Corporativas"/>
        <s v="-"/>
        <n v="0" u="1"/>
      </sharedItems>
    </cacheField>
    <cacheField name="ATIVO" uniqueList="1" numFmtId="0" sqlType="0" hierarchy="0" level="0" databaseField="1">
      <sharedItems count="37" containsInteger="1" containsMixedTypes="1" containsNumber="1" minValue="0" maxValue="0">
        <s v="AAZQ11"/>
        <s v="AMOB3"/>
        <s v="ARRI11"/>
        <s v="BBAS3"/>
        <s v="BIME11"/>
        <s v="BTHF11"/>
        <s v="CMIG4"/>
        <s v="CPSH11"/>
        <s v="CPTS11"/>
        <s v="CURY3"/>
        <s v="CXSE3"/>
        <s v="CYRE3"/>
        <s v="DEVA11"/>
        <s v="DIRR3"/>
        <s v="EQIR11"/>
        <s v="FYTO11"/>
        <s v="GARE11"/>
        <s v="HGBL11"/>
        <s v="IRIM11"/>
        <s v="ITSA4"/>
        <s v="ITUB4"/>
        <s v="KISU11"/>
        <s v="LIFE11"/>
        <s v="MCCI11"/>
        <s v="PETR4"/>
        <s v="POMO4"/>
        <s v="RAIZ4"/>
        <s v="RECV3"/>
        <s v="SNAG11"/>
        <s v="TEPP11"/>
        <s v="TRXF11"/>
        <s v="VALE3"/>
        <s v="VGRI11"/>
        <s v="VINO11"/>
        <s v="XPML11"/>
        <s v=""/>
        <n v="0" u="1"/>
      </sharedItems>
    </cacheField>
    <cacheField name="QTDE ATUAL" uniqueList="1" numFmtId="0" sqlType="0" hierarchy="0" level="0" databaseField="1">
      <sharedItems count="0" containsInteger="1" containsMixedTypes="1" containsNumber="1" minValue="1" maxValue="1030"/>
    </cacheField>
    <cacheField name="PREÇO MEDIO" uniqueList="1" numFmtId="0" sqlType="0" hierarchy="0" level="0" databaseField="1">
      <sharedItems count="0" containsMixedTypes="1" containsNumber="1" minValue="1.68" maxValue="98.53"/>
    </cacheField>
    <cacheField name="CUSTO TOTAL" uniqueList="1" numFmtId="44" sqlType="0" hierarchy="0" level="0" databaseField="1">
      <sharedItems count="0" containsMixedTypes="1" containsNumber="1" minValue="23.99" maxValue="2575.49"/>
    </cacheField>
    <cacheField name="PATRIMONIO. ATUAL" uniqueList="1" numFmtId="44" sqlType="0" hierarchy="0" level="0" databaseField="1">
      <sharedItems count="0" containsMixedTypes="1" containsNumber="1" minValue="12.72" maxValue="3790.61"/>
    </cacheField>
    <cacheField name="DIFERENÇA" uniqueList="1" numFmtId="44" sqlType="0" hierarchy="0" level="0" databaseField="1">
      <sharedItems count="0" containsMixedTypes="1" containsNumber="1" minValue="-1163.9" maxValue="1215.12"/>
    </cacheField>
    <cacheField name="%" uniqueList="1" numFmtId="10" sqlType="0" hierarchy="0" level="0" databaseField="1">
      <sharedItems count="0" containsMixedTypes="1" containsNumber="1" minValue="-0.6726" maxValue="0.4718"/>
    </cacheField>
  </cacheFields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20"/>
    <n v="6.8"/>
    <n v="136"/>
    <n v="160.2"/>
    <n v="24.2"/>
    <n v="0.1779"/>
  </r>
  <r>
    <x v="1"/>
    <x v="1"/>
    <x v="1"/>
    <n v="2"/>
    <n v="14.72"/>
    <n v="29.44"/>
    <n v="22.56"/>
    <n v="-6.88"/>
    <n v="-0.2337"/>
  </r>
  <r>
    <x v="0"/>
    <x v="2"/>
    <x v="2"/>
    <n v="40"/>
    <n v="7.67"/>
    <n v="306.8"/>
    <n v="271.2"/>
    <n v="-35.6"/>
    <n v="-0.116"/>
  </r>
  <r>
    <x v="1"/>
    <x v="3"/>
    <x v="3"/>
    <s v=""/>
    <s v=""/>
    <s v=""/>
    <s v=""/>
    <s v=""/>
    <s v="0,00%"/>
  </r>
  <r>
    <x v="0"/>
    <x v="4"/>
    <x v="4"/>
    <n v="65"/>
    <n v="6.82"/>
    <n v="443.3"/>
    <n v="410.15"/>
    <n v="-33.15"/>
    <n v="-0.07480000000000001"/>
  </r>
  <r>
    <x v="0"/>
    <x v="4"/>
    <x v="5"/>
    <n v="10"/>
    <n v="7.58"/>
    <n v="75.8"/>
    <n v="92.90000000000001"/>
    <n v="17.1"/>
    <n v="0.2256"/>
  </r>
  <r>
    <x v="1"/>
    <x v="5"/>
    <x v="6"/>
    <s v=""/>
    <s v=""/>
    <s v=""/>
    <s v=""/>
    <s v=""/>
    <s v="0,00%"/>
  </r>
  <r>
    <x v="0"/>
    <x v="6"/>
    <x v="7"/>
    <n v="50"/>
    <n v="9.470000000000001"/>
    <n v="473.5"/>
    <n v="533.5"/>
    <n v="60"/>
    <n v="0.1267"/>
  </r>
  <r>
    <x v="0"/>
    <x v="2"/>
    <x v="8"/>
    <n v="30"/>
    <n v="6.97"/>
    <n v="209.1"/>
    <n v="238.2"/>
    <n v="29.1"/>
    <n v="0.1392"/>
  </r>
  <r>
    <x v="1"/>
    <x v="7"/>
    <x v="9"/>
    <n v="2"/>
    <n v="38.45"/>
    <n v="76.90000000000001"/>
    <n v="66.12"/>
    <n v="-10.78"/>
    <n v="-0.1402"/>
  </r>
  <r>
    <x v="1"/>
    <x v="8"/>
    <x v="10"/>
    <n v="5"/>
    <n v="16.31"/>
    <n v="81.55"/>
    <n v="86.75"/>
    <n v="5.2"/>
    <n v="0.0638"/>
  </r>
  <r>
    <x v="1"/>
    <x v="7"/>
    <x v="11"/>
    <n v="3"/>
    <n v="24.92"/>
    <n v="74.76000000000001"/>
    <n v="75.15000000000001"/>
    <n v="0.39"/>
    <n v="0.0052"/>
  </r>
  <r>
    <x v="0"/>
    <x v="2"/>
    <x v="12"/>
    <n v="13"/>
    <n v="28.22"/>
    <n v="366.86"/>
    <n v="303.55"/>
    <n v="-63.31"/>
    <n v="-0.1726"/>
  </r>
  <r>
    <x v="1"/>
    <x v="7"/>
    <x v="13"/>
    <n v="6"/>
    <n v="14.19"/>
    <n v="85.14"/>
    <n v="80.45999999999999"/>
    <n v="-4.68"/>
    <n v="-0.055"/>
  </r>
  <r>
    <x v="0"/>
    <x v="2"/>
    <x v="14"/>
    <n v="30"/>
    <n v="7.67"/>
    <n v="230.1"/>
    <n v="257.7"/>
    <n v="27.6"/>
    <n v="0.1199"/>
  </r>
  <r>
    <x v="0"/>
    <x v="2"/>
    <x v="15"/>
    <n v="50"/>
    <n v="7.77"/>
    <n v="388.5"/>
    <n v="422"/>
    <n v="33.5"/>
    <n v="0.0862"/>
  </r>
  <r>
    <x v="0"/>
    <x v="9"/>
    <x v="16"/>
    <n v="70"/>
    <n v="8.41"/>
    <n v="588.7"/>
    <n v="583.1"/>
    <n v="-5.6"/>
    <n v="-0.0095"/>
  </r>
  <r>
    <x v="0"/>
    <x v="9"/>
    <x v="17"/>
    <n v="21"/>
    <n v="8.470000000000001"/>
    <n v="177.87"/>
    <n v="194.67"/>
    <n v="16.8"/>
    <n v="0.0945"/>
  </r>
  <r>
    <x v="0"/>
    <x v="2"/>
    <x v="18"/>
    <n v="6"/>
    <n v="71.20999999999999"/>
    <n v="427.26"/>
    <n v="374.7"/>
    <n v="-52.56"/>
    <n v="-0.123"/>
  </r>
  <r>
    <x v="1"/>
    <x v="10"/>
    <x v="19"/>
    <n v="6"/>
    <n v="11.86"/>
    <n v="71.16"/>
    <n v="78.59999999999999"/>
    <n v="7.44"/>
    <n v="0.1046"/>
  </r>
  <r>
    <x v="1"/>
    <x v="10"/>
    <x v="20"/>
    <n v="1"/>
    <n v="39.71"/>
    <n v="39.71"/>
    <n v="41.55"/>
    <n v="1.84"/>
    <n v="0.0463"/>
  </r>
  <r>
    <x v="0"/>
    <x v="11"/>
    <x v="21"/>
    <n v="20"/>
    <n v="6.83"/>
    <n v="136.6"/>
    <n v="140"/>
    <n v="3.4"/>
    <n v="0.0249"/>
  </r>
  <r>
    <x v="0"/>
    <x v="2"/>
    <x v="22"/>
    <n v="50"/>
    <n v="8.5"/>
    <n v="425"/>
    <n v="447"/>
    <n v="22"/>
    <n v="0.0518"/>
  </r>
  <r>
    <x v="0"/>
    <x v="2"/>
    <x v="23"/>
    <n v="2"/>
    <n v="85.25"/>
    <n v="170.5"/>
    <n v="190"/>
    <n v="19.5"/>
    <n v="0.1144"/>
  </r>
  <r>
    <x v="1"/>
    <x v="12"/>
    <x v="24"/>
    <n v="83"/>
    <n v="31.03"/>
    <n v="2575.49"/>
    <n v="3790.61"/>
    <n v="1215.12"/>
    <n v="0.4718"/>
  </r>
  <r>
    <x v="1"/>
    <x v="13"/>
    <x v="25"/>
    <n v="14"/>
    <n v="6.07"/>
    <n v="84.98"/>
    <n v="80.78"/>
    <n v="-4.2"/>
    <n v="-0.0494"/>
  </r>
  <r>
    <x v="1"/>
    <x v="12"/>
    <x v="26"/>
    <n v="1030"/>
    <n v="1.68"/>
    <n v="1730.4"/>
    <n v="566.5"/>
    <n v="-1163.9"/>
    <n v="-0.6726"/>
  </r>
  <r>
    <x v="1"/>
    <x v="14"/>
    <x v="27"/>
    <n v="1"/>
    <n v="23.99"/>
    <n v="23.99"/>
    <n v="12.72"/>
    <n v="-11.27"/>
    <n v="-0.4698"/>
  </r>
  <r>
    <x v="0"/>
    <x v="0"/>
    <x v="28"/>
    <n v="10"/>
    <n v="9.539999999999999"/>
    <n v="95.40000000000001"/>
    <n v="106.5"/>
    <n v="11.1"/>
    <n v="0.1164"/>
  </r>
  <r>
    <x v="0"/>
    <x v="4"/>
    <x v="29"/>
    <n v="40"/>
    <n v="8.16"/>
    <n v="326.4"/>
    <n v="357.2"/>
    <n v="30.8"/>
    <n v="0.0944"/>
  </r>
  <r>
    <x v="0"/>
    <x v="4"/>
    <x v="30"/>
    <n v="12"/>
    <n v="95.98999999999999"/>
    <n v="1151.88"/>
    <n v="1099.2"/>
    <n v="-52.68"/>
    <n v="-0.0457"/>
  </r>
  <r>
    <x v="1"/>
    <x v="15"/>
    <x v="31"/>
    <s v=""/>
    <s v=""/>
    <s v=""/>
    <s v=""/>
    <s v=""/>
    <s v="0,00%"/>
  </r>
  <r>
    <x v="0"/>
    <x v="16"/>
    <x v="32"/>
    <n v="24"/>
    <n v="8.15"/>
    <n v="195.6"/>
    <n v="200.4"/>
    <n v="4.8"/>
    <n v="0.0245"/>
  </r>
  <r>
    <x v="0"/>
    <x v="16"/>
    <x v="33"/>
    <n v="41"/>
    <n v="5.07"/>
    <n v="207.87"/>
    <n v="205"/>
    <n v="-2.87"/>
    <n v="-0.0138"/>
  </r>
  <r>
    <x v="0"/>
    <x v="6"/>
    <x v="34"/>
    <n v="2"/>
    <n v="98.53"/>
    <n v="197.06"/>
    <n v="216.9"/>
    <n v="19.84"/>
    <n v="0.1007"/>
  </r>
  <r>
    <x v="2"/>
    <x v="17"/>
    <x v="35"/>
    <s v=""/>
    <s v=""/>
    <s v=""/>
    <s v=""/>
    <s v=""/>
    <s v="0,00%"/>
  </r>
  <r>
    <x v="2"/>
    <x v="17"/>
    <x v="35"/>
    <s v=""/>
    <s v=""/>
    <s v=""/>
    <s v=""/>
    <s v=""/>
    <s v="0,00%"/>
  </r>
  <r>
    <x v="2"/>
    <x v="17"/>
    <x v="35"/>
    <s v=""/>
    <s v=""/>
    <s v=""/>
    <s v=""/>
    <s v=""/>
    <s v="0,00%"/>
  </r>
  <r>
    <x v="2"/>
    <x v="17"/>
    <x v="35"/>
    <s v=""/>
    <s v=""/>
    <s v=""/>
    <s v=""/>
    <s v=""/>
    <s v="0,00%"/>
  </r>
  <r>
    <x v="2"/>
    <x v="17"/>
    <x v="35"/>
    <s v=""/>
    <s v=""/>
    <s v=""/>
    <s v=""/>
    <s v=""/>
    <s v="0,00%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2" cacheId="5" dataOnRows="0" dataCaption="Valores" showError="0" showMissing="0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N1:N5" firstHeaderRow="1" firstDataRow="1" firstDataCol="1"/>
  <pivotFields count="9">
    <pivotField axis="axisRow" showDropDowns="1" compact="1" outline="1" subtotalTop="1" dragToRow="1" dragToCol="1" dragToPage="1" dragToData="1" dragOff="1" showAll="0" topAutoShow="1" itemPageCount="10" sortType="manual" defaultSubtotal="0">
      <items count="4">
        <item t="data" sd="1" m="1" x="3"/>
        <item t="data" sd="1" x="0"/>
        <item t="data" sd="1" x="1"/>
        <item t="data" sd="1" x="2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4"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formats count="1">
    <format action="formatting" dxfId="2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4" cacheId="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T1:T3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0">
        <item t="data" h="1" sd="1" m="1" x="18"/>
        <item t="data" sd="1" x="17"/>
        <item t="data" h="1" sd="1" x="0"/>
        <item t="data" h="1" sd="1" x="3"/>
        <item t="data" h="1" sd="1" x="4"/>
        <item t="data" h="1" sd="1" x="2"/>
        <item t="data" h="1" sd="1" x="6"/>
        <item t="data" h="1" sd="1" x="9"/>
        <item t="data" h="1" sd="1" x="12"/>
        <item t="data" h="1" sd="1" x="15"/>
        <item t="data" h="1" sd="1" x="16"/>
        <item t="data" h="1" sd="1" x="1"/>
        <item t="data" h="1" sd="1" x="5"/>
        <item t="data" h="1" sd="1" x="7"/>
        <item t="data" h="1" sd="1" x="8"/>
        <item t="data" h="1" sd="1" x="10"/>
        <item t="data" h="1" sd="1" x="11"/>
        <item t="data" h="1" sd="1" x="13"/>
        <item t="data" h="1" sd="1" x="1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2">
    <i t="data" r="0" i="0">
      <x v="1"/>
    </i>
    <i t="grand" r="0" i="0">
      <x v="0"/>
    </i>
  </rowItems>
  <colItems count="1">
    <i t="data" r="0" i="0"/>
  </colItems>
  <formats count="1">
    <format action="formatting" dxfId="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3" cacheId="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Q1:Q12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8">
        <item t="data" h="1" sd="1" m="1" x="36"/>
        <item t="data" h="1" sd="1" x="35"/>
        <item t="data" sd="1" x="8"/>
        <item t="data" sd="1" x="33"/>
        <item t="data" sd="1" x="7"/>
        <item t="data" sd="1" x="16"/>
        <item t="data" sd="1" x="0"/>
        <item t="data" sd="1" x="2"/>
        <item t="data" sd="1" x="4"/>
        <item t="data" sd="1" x="22"/>
        <item t="data" sd="1" x="24"/>
        <item t="data" sd="1" x="31"/>
        <item t="data" h="1" sd="1" x="32"/>
        <item t="data" h="1" sd="1" x="1"/>
        <item t="data" h="1" sd="1" x="3"/>
        <item t="data" h="1" sd="1" x="5"/>
        <item t="data" h="1" sd="1" x="6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17"/>
        <item t="data" h="1" sd="1" x="18"/>
        <item t="data" h="1" sd="1" x="19"/>
        <item t="data" h="1" sd="1" x="20"/>
        <item t="data" h="1" sd="1" x="21"/>
        <item t="data" h="1" sd="1" x="23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formats count="1">
    <format action="formatting" dxfId="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IVIDENDOS" displayName="DIVIDENDOS" ref="A1:G1443" headerRowCount="1" totalsRowShown="0" headerRowDxfId="29" dataDxfId="27" headerRowBorderDxfId="28">
  <autoFilter ref="A1:G1443"/>
  <sortState ref="A2:G1443">
    <sortCondition ref="B1:B1443"/>
  </sortState>
  <tableColumns count="7">
    <tableColumn id="1" name="Ano" dataDxfId="26">
      <calculatedColumnFormula>YEAR(DIVIDENDOS[[#This Row],[Data Pagamento]])</calculatedColumnFormula>
    </tableColumn>
    <tableColumn id="2" name="Data Pagamento" dataDxfId="25"/>
    <tableColumn id="3" name="MÊS" dataDxfId="24">
      <calculatedColumnFormula>IFERROR(IF(DIVIDENDOS[[#This Row],[Data Pagamento]]="","",EOMONTH(B2,0)),"")</calculatedColumnFormula>
    </tableColumn>
    <tableColumn id="4" name="Liquidação" dataDxfId="23">
      <calculatedColumnFormula>IFERROR(IF(DIVIDENDOS[[#This Row],[Data Pagamento]]="","",DIVIDENDOS[[#This Row],[Data Pagamento]]),"")</calculatedColumnFormula>
    </tableColumn>
    <tableColumn id="5" name="Valor" dataDxfId="22" dataCellStyle="Vírgula"/>
    <tableColumn id="7" name="PROVENTOS" dataDxfId="21"/>
    <tableColumn id="8" name="ATIVO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4"/>
  <sheetViews>
    <sheetView showGridLines="0" workbookViewId="0">
      <pane ySplit="1" topLeftCell="A2" activePane="bottomLeft" state="frozen"/>
      <selection pane="bottomLeft" activeCell="C7" sqref="C7"/>
    </sheetView>
  </sheetViews>
  <sheetFormatPr baseColWidth="8" defaultRowHeight="12.75"/>
  <cols>
    <col width="20.7109375" bestFit="1" customWidth="1" style="109" min="1" max="1"/>
    <col width="7.28515625" bestFit="1" customWidth="1" style="109" min="2" max="2"/>
    <col width="81.140625" bestFit="1" customWidth="1" style="109" min="3" max="3"/>
    <col width="13.28515625" bestFit="1" customWidth="1" style="109" min="4" max="4"/>
    <col width="17.5703125" bestFit="1" customWidth="1" style="109" min="5" max="5"/>
    <col width="28.5703125" bestFit="1" customWidth="1" style="109" min="6" max="6"/>
    <col width="6.5703125" bestFit="1" customWidth="1" style="109" min="7" max="8"/>
    <col width="23.7109375" bestFit="1" customWidth="1" style="109" min="9" max="9"/>
  </cols>
  <sheetData>
    <row r="1">
      <c r="A1" s="20" t="inlineStr">
        <is>
          <t>Código Negociável</t>
        </is>
      </c>
      <c r="B1" s="21" t="inlineStr">
        <is>
          <t>Tipo</t>
        </is>
      </c>
      <c r="C1" s="21" t="inlineStr">
        <is>
          <t>Razão Social</t>
        </is>
      </c>
      <c r="D1" s="21" t="inlineStr">
        <is>
          <t>Valor atual</t>
        </is>
      </c>
      <c r="E1" s="21" t="inlineStr">
        <is>
          <t>CNPJ</t>
        </is>
      </c>
      <c r="F1" s="21" t="inlineStr">
        <is>
          <t>Segmento</t>
        </is>
      </c>
      <c r="G1" s="22" t="inlineStr">
        <is>
          <t>DY</t>
        </is>
      </c>
      <c r="H1" s="22" t="inlineStr">
        <is>
          <t>P/VP</t>
        </is>
      </c>
      <c r="I1" s="21" t="inlineStr">
        <is>
          <t>Short Name</t>
        </is>
      </c>
    </row>
    <row r="2">
      <c r="A2" s="26" t="inlineStr">
        <is>
          <t>AMOB3</t>
        </is>
      </c>
      <c r="B2" s="27" t="inlineStr">
        <is>
          <t>Ação</t>
        </is>
      </c>
      <c r="C2" s="27" t="inlineStr">
        <is>
          <t>Automob</t>
        </is>
      </c>
      <c r="D2" s="27" t="n">
        <v>11.28</v>
      </c>
      <c r="E2" s="27" t="inlineStr">
        <is>
          <t>35.654.688/0001-08</t>
        </is>
      </c>
      <c r="F2" s="27" t="inlineStr">
        <is>
          <t>Automovéis</t>
        </is>
      </c>
      <c r="G2" s="28" t="inlineStr">
        <is>
          <t>0,00</t>
        </is>
      </c>
      <c r="H2" s="28" t="inlineStr">
        <is>
          <t>0,00</t>
        </is>
      </c>
      <c r="I2" s="27" t="inlineStr">
        <is>
          <t>AUTOMOB ON NM</t>
        </is>
      </c>
    </row>
    <row r="3">
      <c r="A3" s="23" t="inlineStr">
        <is>
          <t>ARRI11</t>
        </is>
      </c>
      <c r="B3" s="24" t="inlineStr">
        <is>
          <t>FII</t>
        </is>
      </c>
      <c r="C3" s="24" t="inlineStr">
        <is>
          <t>OPEN K ATIVOS E RECEBIVEIS IMOBILIARIOS - FUNDO DE INVESTIMENTO IMOBILIARIO</t>
        </is>
      </c>
      <c r="D3" s="24" t="n">
        <v>6.78</v>
      </c>
      <c r="E3" s="24" t="inlineStr">
        <is>
          <t>32.006.821/0001-21</t>
        </is>
      </c>
      <c r="F3" s="24" t="inlineStr">
        <is>
          <t>CRIs</t>
        </is>
      </c>
      <c r="G3" s="29" t="inlineStr">
        <is>
          <t>15,93</t>
        </is>
      </c>
      <c r="H3" s="29" t="inlineStr">
        <is>
          <t>0,00</t>
        </is>
      </c>
      <c r="I3" s="24" t="inlineStr">
        <is>
          <t>FII ATRIO CI</t>
        </is>
      </c>
    </row>
    <row r="4">
      <c r="A4" s="23" t="inlineStr">
        <is>
          <t>BBAS3</t>
        </is>
      </c>
      <c r="B4" s="24" t="inlineStr">
        <is>
          <t>Ação</t>
        </is>
      </c>
      <c r="C4" s="24" t="inlineStr">
        <is>
          <t>Banco do Brasil</t>
        </is>
      </c>
      <c r="D4" s="24" t="n">
        <v>23.27</v>
      </c>
      <c r="E4" s="24" t="inlineStr">
        <is>
          <t>00.000.000/0001-91</t>
        </is>
      </c>
      <c r="F4" s="24" t="n"/>
      <c r="G4" s="29" t="inlineStr">
        <is>
          <t>3,58</t>
        </is>
      </c>
      <c r="H4" s="29" t="inlineStr">
        <is>
          <t>0,00</t>
        </is>
      </c>
      <c r="I4" s="24" t="inlineStr">
        <is>
          <t>BRASIL ON NM</t>
        </is>
      </c>
    </row>
    <row r="5">
      <c r="A5" s="23" t="inlineStr">
        <is>
          <t>BIME11</t>
        </is>
      </c>
      <c r="B5" s="24" t="inlineStr">
        <is>
          <t>FII</t>
        </is>
      </c>
      <c r="C5" s="24" t="inlineStr">
        <is>
          <t>BRIO MULTIESTRATÉGIA - FUNDO DE INVESTIMENTO IMOBILIÁRIO RESPONSABILIDADE LIMITADA</t>
        </is>
      </c>
      <c r="D5" s="24" t="n">
        <v>6.31</v>
      </c>
      <c r="E5" s="24" t="inlineStr">
        <is>
          <t>41.081.356/0001-84</t>
        </is>
      </c>
      <c r="F5" s="24" t="inlineStr">
        <is>
          <t>Híbrido</t>
        </is>
      </c>
      <c r="G5" s="29" t="inlineStr">
        <is>
          <t>15,21</t>
        </is>
      </c>
      <c r="H5" s="29" t="inlineStr">
        <is>
          <t>0,00</t>
        </is>
      </c>
      <c r="I5" s="24" t="inlineStr">
        <is>
          <t>FII BRIO ME CI</t>
        </is>
      </c>
    </row>
    <row r="6">
      <c r="A6" s="23" t="inlineStr">
        <is>
          <t>BTHF11</t>
        </is>
      </c>
      <c r="B6" s="24" t="inlineStr">
        <is>
          <t>FII</t>
        </is>
      </c>
      <c r="C6" s="24" t="inlineStr">
        <is>
          <t>BTG PACTUAL REAL ESTATE HEDGE FUND FII - FUNDO DE INVESTIMENTO IMOBILIÁRIO RESPONSABILIDADE LIMITADA</t>
        </is>
      </c>
      <c r="D6" s="24" t="n">
        <v>9.289999999999999</v>
      </c>
      <c r="E6" s="24" t="inlineStr">
        <is>
          <t>45.188.176/0001-57</t>
        </is>
      </c>
      <c r="F6" s="24" t="inlineStr">
        <is>
          <t>Híbrido</t>
        </is>
      </c>
      <c r="G6" s="29" t="inlineStr">
        <is>
          <t>12,23</t>
        </is>
      </c>
      <c r="H6" s="29" t="inlineStr">
        <is>
          <t>0,00</t>
        </is>
      </c>
      <c r="I6" s="24" t="inlineStr">
        <is>
          <t>FII BTHF CI</t>
        </is>
      </c>
    </row>
    <row r="7">
      <c r="A7" s="26" t="inlineStr">
        <is>
          <t>CMIG4</t>
        </is>
      </c>
      <c r="B7" s="27" t="inlineStr">
        <is>
          <t>Ação</t>
        </is>
      </c>
      <c r="C7" s="27" t="inlineStr">
        <is>
          <t>Cemig</t>
        </is>
      </c>
      <c r="D7" s="27" t="n">
        <v>12.24</v>
      </c>
      <c r="E7" s="27" t="inlineStr">
        <is>
          <t>17.155.730/0001-64</t>
        </is>
      </c>
      <c r="F7" s="27" t="inlineStr">
        <is>
          <t>Energia Elétrica</t>
        </is>
      </c>
      <c r="G7" s="28" t="inlineStr">
        <is>
          <t>13,49</t>
        </is>
      </c>
      <c r="H7" s="28" t="inlineStr">
        <is>
          <t>0,00</t>
        </is>
      </c>
      <c r="I7" s="27" t="inlineStr">
        <is>
          <t>CEMIG PN N1</t>
        </is>
      </c>
    </row>
    <row r="8">
      <c r="A8" s="23" t="inlineStr">
        <is>
          <t>CPSH11</t>
        </is>
      </c>
      <c r="B8" s="24" t="inlineStr">
        <is>
          <t>FII</t>
        </is>
      </c>
      <c r="C8" s="24" t="inlineStr">
        <is>
          <t>CAPITÂNIA SHOPPINGS FUNDO DE INVESTIMENTO IMOBILIÁRIO - RESPONSABILIDADE LIMITADA</t>
        </is>
      </c>
      <c r="D8" s="24" t="n">
        <v>10.67</v>
      </c>
      <c r="E8" s="24" t="inlineStr">
        <is>
          <t>47.896.665/0001-99</t>
        </is>
      </c>
      <c r="F8" s="24" t="inlineStr">
        <is>
          <t>Shoppings</t>
        </is>
      </c>
      <c r="G8" s="29" t="inlineStr">
        <is>
          <t>12,18</t>
        </is>
      </c>
      <c r="H8" s="29" t="inlineStr">
        <is>
          <t>0,00</t>
        </is>
      </c>
      <c r="I8" s="24" t="inlineStr">
        <is>
          <t>FII CPSH CI ER</t>
        </is>
      </c>
    </row>
    <row r="9">
      <c r="A9" s="26" t="inlineStr">
        <is>
          <t>CPTS11</t>
        </is>
      </c>
      <c r="B9" s="27" t="inlineStr">
        <is>
          <t>FII</t>
        </is>
      </c>
      <c r="C9" s="27" t="inlineStr">
        <is>
          <t>CAPITÂNIA SECURITIES II FUNDO DE INVESTIMENTO IMOBILIÁRIO RESPONSABILIDADE LIMITADA</t>
        </is>
      </c>
      <c r="D9" s="27" t="n">
        <v>7.94</v>
      </c>
      <c r="E9" s="27" t="inlineStr">
        <is>
          <t>18.979.895/0001-13</t>
        </is>
      </c>
      <c r="F9" s="27" t="inlineStr">
        <is>
          <t>CRIs</t>
        </is>
      </c>
      <c r="G9" s="28" t="inlineStr">
        <is>
          <t>13,26</t>
        </is>
      </c>
      <c r="H9" s="28" t="inlineStr">
        <is>
          <t>0,00</t>
        </is>
      </c>
      <c r="I9" s="27" t="inlineStr">
        <is>
          <t>FII CAPI SECCI ER</t>
        </is>
      </c>
    </row>
    <row r="10">
      <c r="A10" s="23" t="inlineStr">
        <is>
          <t>CURY3</t>
        </is>
      </c>
      <c r="B10" s="24" t="inlineStr">
        <is>
          <t>Ação</t>
        </is>
      </c>
      <c r="C10" s="24" t="inlineStr">
        <is>
          <t>Cury</t>
        </is>
      </c>
      <c r="D10" s="24" t="n">
        <v>33.06</v>
      </c>
      <c r="E10" s="24" t="inlineStr">
        <is>
          <t>08.797.760/0001-83</t>
        </is>
      </c>
      <c r="F10" s="24" t="inlineStr">
        <is>
          <t>Construtora</t>
        </is>
      </c>
      <c r="G10" s="29" t="inlineStr">
        <is>
          <t>13,28</t>
        </is>
      </c>
      <c r="H10" s="29" t="inlineStr">
        <is>
          <t>0,00</t>
        </is>
      </c>
      <c r="I10" s="24" t="inlineStr">
        <is>
          <t>CURY S/A ON NM</t>
        </is>
      </c>
    </row>
    <row r="11">
      <c r="A11" s="26" t="inlineStr">
        <is>
          <t>CXSE3</t>
        </is>
      </c>
      <c r="B11" s="27" t="inlineStr">
        <is>
          <t>Ação</t>
        </is>
      </c>
      <c r="C11" s="27" t="inlineStr">
        <is>
          <t>Caixa Seguridade</t>
        </is>
      </c>
      <c r="D11" s="27" t="n">
        <v>17.35</v>
      </c>
      <c r="E11" s="27" t="inlineStr">
        <is>
          <t>22.543.331/0001-00</t>
        </is>
      </c>
      <c r="F11" s="27" t="inlineStr">
        <is>
          <t>Seguradora</t>
        </is>
      </c>
      <c r="G11" s="28" t="inlineStr">
        <is>
          <t>7,49</t>
        </is>
      </c>
      <c r="H11" s="28" t="inlineStr">
        <is>
          <t>0,00</t>
        </is>
      </c>
      <c r="I11" s="27" t="inlineStr">
        <is>
          <t>CAIXA SEGURI ON NM</t>
        </is>
      </c>
    </row>
    <row r="12">
      <c r="A12" s="26" t="inlineStr">
        <is>
          <t>CYRE3</t>
        </is>
      </c>
      <c r="B12" s="27" t="inlineStr">
        <is>
          <t>Ação</t>
        </is>
      </c>
      <c r="C12" s="27" t="inlineStr">
        <is>
          <t>Cyrela</t>
        </is>
      </c>
      <c r="D12" s="27" t="n">
        <v>25.05</v>
      </c>
      <c r="E12" s="27" t="inlineStr">
        <is>
          <t>73.178.600/0001-18</t>
        </is>
      </c>
      <c r="F12" s="27" t="inlineStr">
        <is>
          <t>Construtora</t>
        </is>
      </c>
      <c r="G12" s="28" t="inlineStr">
        <is>
          <t>15,17</t>
        </is>
      </c>
      <c r="H12" s="28" t="inlineStr">
        <is>
          <t>0,00</t>
        </is>
      </c>
      <c r="I12" s="27" t="inlineStr">
        <is>
          <t>CYRELA REALT ON NM</t>
        </is>
      </c>
    </row>
    <row r="13">
      <c r="A13" s="23" t="inlineStr">
        <is>
          <t>DEVA11</t>
        </is>
      </c>
      <c r="B13" s="24" t="inlineStr">
        <is>
          <t>FII</t>
        </is>
      </c>
      <c r="C13" s="24" t="inlineStr">
        <is>
          <t>DEVANT RECEBÍVEIS IMOBILIÁRIOS FUNDO DE INVESTIMENTO IMOBILIÁRIO</t>
        </is>
      </c>
      <c r="D13" s="24" t="n">
        <v>23.35</v>
      </c>
      <c r="E13" s="24" t="inlineStr">
        <is>
          <t>37.087.810/0001-37</t>
        </is>
      </c>
      <c r="F13" s="24" t="inlineStr">
        <is>
          <t>CRIs</t>
        </is>
      </c>
      <c r="G13" s="29" t="inlineStr">
        <is>
          <t>19,53</t>
        </is>
      </c>
      <c r="H13" s="29" t="inlineStr">
        <is>
          <t>0,00</t>
        </is>
      </c>
      <c r="I13" s="24" t="inlineStr">
        <is>
          <t>FII DEVANT CI</t>
        </is>
      </c>
    </row>
    <row r="14">
      <c r="A14" s="23" t="inlineStr">
        <is>
          <t>DIRR3</t>
        </is>
      </c>
      <c r="B14" s="24" t="inlineStr">
        <is>
          <t>Ação</t>
        </is>
      </c>
      <c r="C14" s="24" t="inlineStr">
        <is>
          <t>Direcional</t>
        </is>
      </c>
      <c r="D14" s="24" t="n">
        <v>13.41</v>
      </c>
      <c r="E14" s="24" t="inlineStr">
        <is>
          <t>16.614.075/0001-00</t>
        </is>
      </c>
      <c r="F14" s="24" t="inlineStr">
        <is>
          <t>Construtora</t>
        </is>
      </c>
      <c r="G14" s="29" t="inlineStr">
        <is>
          <t>16,53</t>
        </is>
      </c>
      <c r="H14" s="29" t="inlineStr">
        <is>
          <t>0,00</t>
        </is>
      </c>
      <c r="I14" s="24" t="inlineStr">
        <is>
          <t>DIRECIONAL ON NM</t>
        </is>
      </c>
    </row>
    <row r="15">
      <c r="A15" s="23" t="inlineStr">
        <is>
          <t>EQIR11</t>
        </is>
      </c>
      <c r="B15" s="24" t="inlineStr">
        <is>
          <t>FII</t>
        </is>
      </c>
      <c r="C15" s="24" t="inlineStr">
        <is>
          <t>EQI RECEBÍVEIS IMOBILIÁRIOS FUNDO DE INVESTIMENTO IMOBILIÁRIO RESPONSABILIDADE LIMITADA</t>
        </is>
      </c>
      <c r="D15" s="24" t="n">
        <v>8.59</v>
      </c>
      <c r="E15" s="24" t="inlineStr">
        <is>
          <t>41.076.380/0001-25</t>
        </is>
      </c>
      <c r="F15" s="24" t="inlineStr">
        <is>
          <t>CRIs</t>
        </is>
      </c>
      <c r="G15" s="29" t="inlineStr">
        <is>
          <t>15,20</t>
        </is>
      </c>
      <c r="H15" s="29" t="inlineStr">
        <is>
          <t>0,00</t>
        </is>
      </c>
      <c r="I15" s="24" t="inlineStr">
        <is>
          <t>FII EQI RECECI ER</t>
        </is>
      </c>
    </row>
    <row r="16">
      <c r="A16" s="23" t="inlineStr">
        <is>
          <t>FYTO11</t>
        </is>
      </c>
      <c r="B16" s="24" t="inlineStr">
        <is>
          <t>FII</t>
        </is>
      </c>
      <c r="C16" s="24" t="inlineStr">
        <is>
          <t>FUNDO DE INVESTIMENTO IMOBILIÁRIO - FII FYTO RECEBÍVEIS IMOBILIÁRIOS RESPONSABILIDADE LIMITADA</t>
        </is>
      </c>
      <c r="D16" s="24" t="n">
        <v>8.44</v>
      </c>
      <c r="E16" s="24" t="inlineStr">
        <is>
          <t>18.085.673/0001-57</t>
        </is>
      </c>
      <c r="F16" s="24" t="inlineStr">
        <is>
          <t>CRIs</t>
        </is>
      </c>
      <c r="G16" s="29" t="inlineStr">
        <is>
          <t>14,50</t>
        </is>
      </c>
      <c r="H16" s="29" t="inlineStr">
        <is>
          <t>0,00</t>
        </is>
      </c>
      <c r="I16" s="24" t="inlineStr">
        <is>
          <t>FII FYTO CI</t>
        </is>
      </c>
    </row>
    <row r="17">
      <c r="A17" s="26" t="inlineStr">
        <is>
          <t>GARE11</t>
        </is>
      </c>
      <c r="B17" s="27" t="inlineStr">
        <is>
          <t>FII</t>
        </is>
      </c>
      <c r="C17" s="27" t="inlineStr">
        <is>
          <t>GUARDIAN REAL ESTATE FUNDO DE INVESTIMENTO IMOBILIÁRIO DE RESPONSABILIDADE LIMITADA</t>
        </is>
      </c>
      <c r="D17" s="27" t="n">
        <v>8.33</v>
      </c>
      <c r="E17" s="27" t="inlineStr">
        <is>
          <t>37.295.919/0001-60</t>
        </is>
      </c>
      <c r="F17" s="27" t="inlineStr">
        <is>
          <t>Logística</t>
        </is>
      </c>
      <c r="G17" s="28" t="inlineStr">
        <is>
          <t>11,96</t>
        </is>
      </c>
      <c r="H17" s="28" t="inlineStr">
        <is>
          <t>0,00</t>
        </is>
      </c>
      <c r="I17" s="27" t="inlineStr">
        <is>
          <t>FII GUARDIANCI</t>
        </is>
      </c>
    </row>
    <row r="18">
      <c r="A18" s="26" t="inlineStr">
        <is>
          <t>HGBL11</t>
        </is>
      </c>
      <c r="B18" s="27" t="inlineStr">
        <is>
          <t>FII</t>
        </is>
      </c>
      <c r="C18" s="27" t="inlineStr">
        <is>
          <t>HEDGE BRASIL LOGÍSTICO INDUSTRIAL FUNDO DE INVESTIMENTO IMOBILIÁRIO DE RESPONSABILIDADE LIMITADA</t>
        </is>
      </c>
      <c r="D18" s="27" t="n">
        <v>9.27</v>
      </c>
      <c r="E18" s="27" t="inlineStr">
        <is>
          <t>53.466.467/0001-98</t>
        </is>
      </c>
      <c r="F18" s="27" t="inlineStr">
        <is>
          <t>Logística</t>
        </is>
      </c>
      <c r="G18" s="28" t="inlineStr">
        <is>
          <t>9,58</t>
        </is>
      </c>
      <c r="H18" s="28" t="inlineStr">
        <is>
          <t>0,00</t>
        </is>
      </c>
      <c r="I18" s="27" t="inlineStr">
        <is>
          <t>FII HGBL CI</t>
        </is>
      </c>
    </row>
    <row r="19">
      <c r="A19" s="26" t="inlineStr">
        <is>
          <t>IRIM11</t>
        </is>
      </c>
      <c r="B19" s="27" t="inlineStr">
        <is>
          <t>FII</t>
        </is>
      </c>
      <c r="C19" s="27" t="inlineStr">
        <is>
          <t>IRIDIUM FUNDO DE INVESTIMENTO IMOBILIÁRIO RESPONSABILIDADE LIMITADA</t>
        </is>
      </c>
      <c r="D19" s="27" t="n">
        <v>62.45</v>
      </c>
      <c r="E19" s="27" t="inlineStr">
        <is>
          <t>41.076.564/0001-95</t>
        </is>
      </c>
      <c r="F19" s="27" t="inlineStr">
        <is>
          <t>CRIs</t>
        </is>
      </c>
      <c r="G19" s="28" t="inlineStr">
        <is>
          <t>15,45</t>
        </is>
      </c>
      <c r="H19" s="28" t="inlineStr">
        <is>
          <t>0,00</t>
        </is>
      </c>
      <c r="I19" s="27" t="inlineStr">
        <is>
          <t>FII IRIM CI ER</t>
        </is>
      </c>
    </row>
    <row r="20">
      <c r="A20" s="26" t="inlineStr">
        <is>
          <t>ITSA4</t>
        </is>
      </c>
      <c r="B20" s="27" t="inlineStr">
        <is>
          <t>Ação</t>
        </is>
      </c>
      <c r="C20" s="27" t="inlineStr">
        <is>
          <t>ItaÃºsa</t>
        </is>
      </c>
      <c r="D20" s="27" t="n">
        <v>13.1</v>
      </c>
      <c r="E20" s="27" t="inlineStr">
        <is>
          <t>61.532.644/0001-15</t>
        </is>
      </c>
      <c r="F20" s="27" t="inlineStr">
        <is>
          <t>Financeiro</t>
        </is>
      </c>
      <c r="G20" s="28" t="inlineStr">
        <is>
          <t>9,67</t>
        </is>
      </c>
      <c r="H20" s="28" t="inlineStr">
        <is>
          <t>0,00</t>
        </is>
      </c>
      <c r="I20" s="27" t="inlineStr">
        <is>
          <t>ITAUSA PN EJ N1</t>
        </is>
      </c>
    </row>
    <row r="21">
      <c r="A21" s="26" t="inlineStr">
        <is>
          <t>ITUB4</t>
        </is>
      </c>
      <c r="B21" s="27" t="inlineStr">
        <is>
          <t>Ação</t>
        </is>
      </c>
      <c r="C21" s="27" t="inlineStr">
        <is>
          <t>ItaÃº Unibanco</t>
        </is>
      </c>
      <c r="D21" s="27" t="n">
        <v>41.55</v>
      </c>
      <c r="E21" s="27" t="inlineStr">
        <is>
          <t>60.872.504/0001-23</t>
        </is>
      </c>
      <c r="F21" s="27" t="inlineStr">
        <is>
          <t>Financeiro</t>
        </is>
      </c>
      <c r="G21" s="28" t="inlineStr">
        <is>
          <t>7,58</t>
        </is>
      </c>
      <c r="H21" s="28" t="inlineStr">
        <is>
          <t>0,00</t>
        </is>
      </c>
      <c r="I21" s="27" t="inlineStr">
        <is>
          <t>ITAUUNIBANCO PN EJ N1</t>
        </is>
      </c>
    </row>
    <row r="22">
      <c r="A22" s="26" t="inlineStr">
        <is>
          <t>KISU11</t>
        </is>
      </c>
      <c r="B22" s="27" t="inlineStr">
        <is>
          <t>FII</t>
        </is>
      </c>
      <c r="C22" s="27" t="inlineStr">
        <is>
          <t>KILIMA FUNDO DE INVESTIMENTO EM COTAS DE FUNDOS IMOBILIÁRIOS SUNO 30 RESPONSABILIDADE LIMITADA</t>
        </is>
      </c>
      <c r="D22" s="27" t="n">
        <v>7</v>
      </c>
      <c r="E22" s="27" t="inlineStr">
        <is>
          <t>36.669.660/0001-07</t>
        </is>
      </c>
      <c r="F22" s="27" t="inlineStr">
        <is>
          <t>Fundo de Fundos</t>
        </is>
      </c>
      <c r="G22" s="28" t="inlineStr">
        <is>
          <t>12,00</t>
        </is>
      </c>
      <c r="H22" s="28" t="inlineStr">
        <is>
          <t>0,00</t>
        </is>
      </c>
      <c r="I22" s="27" t="inlineStr">
        <is>
          <t>FII KILIMA CI</t>
        </is>
      </c>
    </row>
    <row r="23">
      <c r="A23" s="23" t="inlineStr">
        <is>
          <t>LIFE11</t>
        </is>
      </c>
      <c r="B23" s="24" t="inlineStr">
        <is>
          <t>FII</t>
        </is>
      </c>
      <c r="C23" s="24" t="inlineStr">
        <is>
          <t>LIFE CAPITAL PARTNERS FUNDO DE INVESTIMENTOS IMOBILIÁRIOS</t>
        </is>
      </c>
      <c r="D23" s="24" t="n">
        <v>8.94</v>
      </c>
      <c r="E23" s="24" t="inlineStr">
        <is>
          <t>39.753.295/0001-02</t>
        </is>
      </c>
      <c r="F23" s="24" t="inlineStr">
        <is>
          <t>CRIs</t>
        </is>
      </c>
      <c r="G23" s="29" t="inlineStr">
        <is>
          <t>16,11</t>
        </is>
      </c>
      <c r="H23" s="29" t="inlineStr">
        <is>
          <t>0,00</t>
        </is>
      </c>
      <c r="I23" s="24" t="inlineStr">
        <is>
          <t>FII LIFE CI</t>
        </is>
      </c>
    </row>
    <row r="24">
      <c r="A24" s="23" t="inlineStr">
        <is>
          <t>MCCI11</t>
        </is>
      </c>
      <c r="B24" s="24" t="inlineStr">
        <is>
          <t>FII</t>
        </is>
      </c>
      <c r="C24" s="24" t="inlineStr">
        <is>
          <t>FUNDO DE INVESTIMENTO IMOBILIÁRIO MAUÁ CAPITAL RECEBÍVEIS IMOBILIÁRIOS - FII RESPONSABILIDADE LIMITA</t>
        </is>
      </c>
      <c r="D24" s="24" t="n">
        <v>95</v>
      </c>
      <c r="E24" s="24" t="inlineStr">
        <is>
          <t>23.648.935/0001-84</t>
        </is>
      </c>
      <c r="F24" s="24" t="inlineStr">
        <is>
          <t>CRIs</t>
        </is>
      </c>
      <c r="G24" s="29" t="inlineStr">
        <is>
          <t>12,21</t>
        </is>
      </c>
      <c r="H24" s="29" t="inlineStr">
        <is>
          <t>0,00</t>
        </is>
      </c>
      <c r="I24" s="24" t="inlineStr">
        <is>
          <t>FII MAUA CI ER</t>
        </is>
      </c>
    </row>
    <row r="25">
      <c r="A25" s="23" t="inlineStr">
        <is>
          <t>SNAG11</t>
        </is>
      </c>
      <c r="B25" s="24" t="inlineStr">
        <is>
          <t>Fii</t>
        </is>
      </c>
      <c r="C25" s="24" t="inlineStr">
        <is>
          <t>SUNO AGRO – FIAGRO-IMOBILIÁRIO</t>
        </is>
      </c>
      <c r="D25" s="24" t="n">
        <v>10.65</v>
      </c>
      <c r="E25" s="24" t="inlineStr">
        <is>
          <t>28.152.777/0001-90</t>
        </is>
      </c>
      <c r="F25" s="24" t="inlineStr">
        <is>
          <t>Fiagro</t>
        </is>
      </c>
      <c r="G25" s="29" t="inlineStr">
        <is>
          <t>0,00</t>
        </is>
      </c>
      <c r="H25" s="29" t="inlineStr">
        <is>
          <t>0,00</t>
        </is>
      </c>
      <c r="I25" s="24" t="inlineStr">
        <is>
          <t>FIAGRO SUNO CI ER</t>
        </is>
      </c>
    </row>
    <row r="26">
      <c r="A26" s="26" t="inlineStr">
        <is>
          <t>AAZQ11</t>
        </is>
      </c>
      <c r="B26" s="27" t="inlineStr">
        <is>
          <t>FII</t>
        </is>
      </c>
      <c r="C26" s="27" t="inlineStr">
        <is>
          <t>AZ QUEST SOLE FDO DE INV</t>
        </is>
      </c>
      <c r="D26" s="27" t="n">
        <v>8.01</v>
      </c>
      <c r="E26" s="27" t="inlineStr">
        <is>
          <t>44.625.826/0001-11</t>
        </is>
      </c>
      <c r="F26" s="27" t="inlineStr">
        <is>
          <t>Fiagro</t>
        </is>
      </c>
      <c r="G26" s="28" t="inlineStr">
        <is>
          <t>0,00</t>
        </is>
      </c>
      <c r="H26" s="28" t="inlineStr">
        <is>
          <t>0,00</t>
        </is>
      </c>
      <c r="I26" s="27" t="inlineStr">
        <is>
          <t>FIAGRO AAZQ CI</t>
        </is>
      </c>
    </row>
    <row r="27">
      <c r="A27" s="26" t="inlineStr">
        <is>
          <t>PETR4</t>
        </is>
      </c>
      <c r="B27" s="27" t="inlineStr">
        <is>
          <t>Ação</t>
        </is>
      </c>
      <c r="C27" s="27" t="inlineStr">
        <is>
          <t>Petrobras</t>
        </is>
      </c>
      <c r="D27" s="27" t="n">
        <v>45.67</v>
      </c>
      <c r="E27" s="27" t="inlineStr">
        <is>
          <t>33.000.167/0001-01</t>
        </is>
      </c>
      <c r="F27" s="27" t="inlineStr">
        <is>
          <t xml:space="preserve">Petroléo, Gás e </t>
        </is>
      </c>
      <c r="G27" s="28" t="inlineStr">
        <is>
          <t>7,19</t>
        </is>
      </c>
      <c r="H27" s="28" t="inlineStr">
        <is>
          <t>0,00</t>
        </is>
      </c>
      <c r="I27" s="27" t="inlineStr">
        <is>
          <t>PETROBRAS PN N2</t>
        </is>
      </c>
    </row>
    <row r="28">
      <c r="A28" s="26" t="inlineStr">
        <is>
          <t>POMO4</t>
        </is>
      </c>
      <c r="B28" s="27" t="inlineStr">
        <is>
          <t>Ação</t>
        </is>
      </c>
      <c r="C28" s="27" t="inlineStr">
        <is>
          <t>Marcopolo</t>
        </is>
      </c>
      <c r="D28" s="27" t="n">
        <v>5.77</v>
      </c>
      <c r="E28" s="27" t="inlineStr">
        <is>
          <t>88.611.835/0001-29</t>
        </is>
      </c>
      <c r="F28" s="27" t="inlineStr">
        <is>
          <t>Bens Industriais</t>
        </is>
      </c>
      <c r="G28" s="28" t="inlineStr">
        <is>
          <t>17,85</t>
        </is>
      </c>
      <c r="H28" s="28" t="inlineStr">
        <is>
          <t>0,00</t>
        </is>
      </c>
      <c r="I28" s="27" t="inlineStr">
        <is>
          <t>MARCOPOLO PN N2</t>
        </is>
      </c>
    </row>
    <row r="29">
      <c r="A29" s="26" t="inlineStr">
        <is>
          <t>RAIZ4</t>
        </is>
      </c>
      <c r="B29" s="27" t="inlineStr">
        <is>
          <t>Ação</t>
        </is>
      </c>
      <c r="C29" s="27" t="inlineStr">
        <is>
          <t>RaÃ­zen</t>
        </is>
      </c>
      <c r="D29" s="27" t="n">
        <v>0.55</v>
      </c>
      <c r="E29" s="27" t="inlineStr">
        <is>
          <t>33.453.598/0001-23</t>
        </is>
      </c>
      <c r="F29" s="27" t="inlineStr">
        <is>
          <t xml:space="preserve">Petroléo, Gás e </t>
        </is>
      </c>
      <c r="G29" s="28" t="inlineStr">
        <is>
          <t>0,00</t>
        </is>
      </c>
      <c r="H29" s="28" t="inlineStr">
        <is>
          <t>0,00</t>
        </is>
      </c>
      <c r="I29" s="27" t="inlineStr">
        <is>
          <t>RAIZEN PN N2</t>
        </is>
      </c>
    </row>
    <row r="30">
      <c r="A30" s="26" t="inlineStr">
        <is>
          <t>RECV3</t>
        </is>
      </c>
      <c r="B30" s="27" t="inlineStr">
        <is>
          <t>Ação</t>
        </is>
      </c>
      <c r="C30" s="27" t="inlineStr">
        <is>
          <t>PetroRecÃ´ncavo</t>
        </is>
      </c>
      <c r="D30" s="27" t="n">
        <v>12.72</v>
      </c>
      <c r="E30" s="27" t="inlineStr">
        <is>
          <t>03.342.704/0001-30</t>
        </is>
      </c>
      <c r="F30" s="27" t="inlineStr">
        <is>
          <t>Petróleo, Gás e Biocombustíveis</t>
        </is>
      </c>
      <c r="G30" s="28" t="inlineStr">
        <is>
          <t>15,31</t>
        </is>
      </c>
      <c r="H30" s="28" t="inlineStr">
        <is>
          <t>0,00</t>
        </is>
      </c>
      <c r="I30" s="27" t="inlineStr">
        <is>
          <t>PETRORECSA ON NM</t>
        </is>
      </c>
    </row>
    <row r="31">
      <c r="A31" s="26" t="inlineStr">
        <is>
          <t>TEPP11</t>
        </is>
      </c>
      <c r="B31" s="27" t="inlineStr">
        <is>
          <t>FII</t>
        </is>
      </c>
      <c r="C31" s="27" t="inlineStr">
        <is>
          <t>TELLUS PROPERTIES - FUNDO DE INVESTIMENTO IMOBILIÁRIO - RESPONSABILIDADE LIMITADA</t>
        </is>
      </c>
      <c r="D31" s="27" t="n">
        <v>8.93</v>
      </c>
      <c r="E31" s="27" t="inlineStr">
        <is>
          <t>26.681.370/0001-25</t>
        </is>
      </c>
      <c r="F31" s="27" t="inlineStr">
        <is>
          <t>Híbrido</t>
        </is>
      </c>
      <c r="G31" s="28" t="inlineStr">
        <is>
          <t>11,39</t>
        </is>
      </c>
      <c r="H31" s="28" t="inlineStr">
        <is>
          <t>0,00</t>
        </is>
      </c>
      <c r="I31" s="27" t="inlineStr">
        <is>
          <t>FII TEL PROPCI</t>
        </is>
      </c>
    </row>
    <row r="32">
      <c r="A32" s="26" t="inlineStr">
        <is>
          <t>TRXF11</t>
        </is>
      </c>
      <c r="B32" s="27" t="inlineStr">
        <is>
          <t>FII</t>
        </is>
      </c>
      <c r="C32" s="27" t="inlineStr">
        <is>
          <t>TRX REAL ESTATE FUNDO DE INVESTIMENTO IMOBILIÁRIO RESPONSABILIDADE LIMITADA</t>
        </is>
      </c>
      <c r="D32" s="27" t="n">
        <v>91.59999999999999</v>
      </c>
      <c r="E32" s="27" t="inlineStr">
        <is>
          <t>28.548.288/0001-52</t>
        </is>
      </c>
      <c r="F32" s="27" t="inlineStr">
        <is>
          <t>Híbrido</t>
        </is>
      </c>
      <c r="G32" s="28" t="inlineStr">
        <is>
          <t>12,89</t>
        </is>
      </c>
      <c r="H32" s="28" t="inlineStr">
        <is>
          <t>0,00</t>
        </is>
      </c>
      <c r="I32" s="27" t="inlineStr">
        <is>
          <t>FII TRX REALCI</t>
        </is>
      </c>
    </row>
    <row r="33">
      <c r="A33" s="23" t="inlineStr">
        <is>
          <t>VALE3</t>
        </is>
      </c>
      <c r="B33" s="24" t="inlineStr">
        <is>
          <t>Ação</t>
        </is>
      </c>
      <c r="C33" s="24" t="inlineStr">
        <is>
          <t>Vale</t>
        </is>
      </c>
      <c r="D33" s="24" t="n">
        <v>75.55</v>
      </c>
      <c r="E33" s="24" t="inlineStr">
        <is>
          <t>33.592.510/0001-54</t>
        </is>
      </c>
      <c r="F33" s="24" t="inlineStr">
        <is>
          <t>Mineração</t>
        </is>
      </c>
      <c r="G33" s="29" t="inlineStr">
        <is>
          <t>7,25</t>
        </is>
      </c>
      <c r="H33" s="29" t="inlineStr">
        <is>
          <t>0,00</t>
        </is>
      </c>
      <c r="I33" s="24" t="inlineStr">
        <is>
          <t>VALE ON NM</t>
        </is>
      </c>
    </row>
    <row r="34">
      <c r="A34" s="26" t="inlineStr">
        <is>
          <t>VGRI11</t>
        </is>
      </c>
      <c r="B34" s="27" t="inlineStr">
        <is>
          <t>FII</t>
        </is>
      </c>
      <c r="C34" s="27" t="inlineStr">
        <is>
          <t>VALORA RENDA IMOBILIÁRIA FUNDO DE INVESTIMENTO IMOBILIÁRIO RESPONSABILIDADE LIMITADA</t>
        </is>
      </c>
      <c r="D34" s="27" t="n">
        <v>8.35</v>
      </c>
      <c r="E34" s="27" t="inlineStr">
        <is>
          <t>53.656.482/0001-07</t>
        </is>
      </c>
      <c r="F34" s="27" t="inlineStr">
        <is>
          <t>Lajes Corporativas</t>
        </is>
      </c>
      <c r="G34" s="28" t="inlineStr">
        <is>
          <t>17,25</t>
        </is>
      </c>
      <c r="H34" s="28" t="inlineStr">
        <is>
          <t>0,00</t>
        </is>
      </c>
      <c r="I34" s="27" t="inlineStr">
        <is>
          <t>FII VGRI CI</t>
        </is>
      </c>
    </row>
    <row r="35">
      <c r="A35" s="26" t="inlineStr">
        <is>
          <t>VINO11</t>
        </is>
      </c>
      <c r="B35" s="27" t="inlineStr">
        <is>
          <t>FII</t>
        </is>
      </c>
      <c r="C35" s="27" t="inlineStr">
        <is>
          <t>VINCI OFFICES FUNDO DE INVESTIMENTO IMOBILIÁRIO - RESPONSABILIDADE LIMITADA</t>
        </is>
      </c>
      <c r="D35" s="27" t="n">
        <v>5</v>
      </c>
      <c r="E35" s="27" t="inlineStr">
        <is>
          <t>12.516.185/0001-70</t>
        </is>
      </c>
      <c r="F35" s="27" t="inlineStr">
        <is>
          <t>Lajes Corporativas</t>
        </is>
      </c>
      <c r="G35" s="28" t="inlineStr">
        <is>
          <t>12,40</t>
        </is>
      </c>
      <c r="H35" s="28" t="inlineStr">
        <is>
          <t>0,00</t>
        </is>
      </c>
      <c r="I35" s="27" t="inlineStr">
        <is>
          <t>FII VINCI OFCI</t>
        </is>
      </c>
    </row>
    <row r="36">
      <c r="A36" s="23" t="inlineStr">
        <is>
          <t>XPML11</t>
        </is>
      </c>
      <c r="B36" s="24" t="inlineStr">
        <is>
          <t>FII</t>
        </is>
      </c>
      <c r="C36" s="24" t="inlineStr">
        <is>
          <t>XP MALLS FUNDO DE INVESTIMENTO IMOBILIÁRIO FII</t>
        </is>
      </c>
      <c r="D36" s="24" t="n">
        <v>108.45</v>
      </c>
      <c r="E36" s="24" t="inlineStr">
        <is>
          <t>28.757.546/0001-00</t>
        </is>
      </c>
      <c r="F36" s="24" t="inlineStr">
        <is>
          <t>Shoppings</t>
        </is>
      </c>
      <c r="G36" s="29" t="inlineStr">
        <is>
          <t>10,19</t>
        </is>
      </c>
      <c r="H36" s="29" t="inlineStr">
        <is>
          <t>0,00</t>
        </is>
      </c>
      <c r="I36" s="24" t="inlineStr">
        <is>
          <t>FII XP MALLSCI ER</t>
        </is>
      </c>
    </row>
    <row r="37">
      <c r="A37" s="23" t="inlineStr">
        <is>
          <t>SARE11</t>
        </is>
      </c>
      <c r="B37" s="24" t="inlineStr">
        <is>
          <t>FII</t>
        </is>
      </c>
      <c r="C37" s="24" t="inlineStr">
        <is>
          <t>SANTANDER RENDA DE ALUGUÉIS FUNDO DE INVESTIMENTO IMOBILIÁRIO - FII - RESP LIMITADA</t>
        </is>
      </c>
      <c r="D37" s="24" t="n">
        <v>4.75</v>
      </c>
      <c r="E37" s="24" t="inlineStr">
        <is>
          <t>32.903.702/0001-71</t>
        </is>
      </c>
      <c r="F37" s="24" t="inlineStr">
        <is>
          <t>Híbrido</t>
        </is>
      </c>
      <c r="G37" s="25" t="inlineStr">
        <is>
          <t>2,17</t>
        </is>
      </c>
      <c r="H37" s="25" t="inlineStr">
        <is>
          <t>0,00</t>
        </is>
      </c>
      <c r="I37" s="24" t="n"/>
    </row>
    <row r="38">
      <c r="A38" s="26" t="inlineStr">
        <is>
          <t>SANB4</t>
        </is>
      </c>
      <c r="B38" s="27" t="inlineStr">
        <is>
          <t>Ação</t>
        </is>
      </c>
      <c r="C38" s="27" t="inlineStr">
        <is>
          <t>Banco Santander</t>
        </is>
      </c>
      <c r="D38" s="27" t="n">
        <v>15.44</v>
      </c>
      <c r="E38" s="27" t="inlineStr">
        <is>
          <t>90.400.888/0001-42</t>
        </is>
      </c>
      <c r="F38" s="27" t="inlineStr">
        <is>
          <t>Bancário</t>
        </is>
      </c>
      <c r="G38" s="28" t="inlineStr">
        <is>
          <t>7,35</t>
        </is>
      </c>
      <c r="H38" s="28" t="inlineStr">
        <is>
          <t>0,00</t>
        </is>
      </c>
      <c r="I38" s="27" t="n"/>
    </row>
    <row r="39">
      <c r="A39" s="26" t="inlineStr">
        <is>
          <t>KNRI11</t>
        </is>
      </c>
      <c r="B39" s="27" t="inlineStr">
        <is>
          <t>FII</t>
        </is>
      </c>
      <c r="C39" s="27" t="inlineStr">
        <is>
          <t>KINEA RENDA IMOBILIÁRIA FUNDO DE INVESTIMENTO IMOBILIÁRIO RESPONSABILIDADE LIMITADA</t>
        </is>
      </c>
      <c r="D39" s="27" t="n">
        <v>164.73</v>
      </c>
      <c r="E39" s="27" t="inlineStr">
        <is>
          <t>12.005.956/0001-65</t>
        </is>
      </c>
      <c r="F39" s="27" t="inlineStr">
        <is>
          <t>Híbrido</t>
        </is>
      </c>
      <c r="G39" s="28" t="inlineStr">
        <is>
          <t>7,40</t>
        </is>
      </c>
      <c r="H39" s="28" t="inlineStr">
        <is>
          <t>0,00</t>
        </is>
      </c>
      <c r="I39" s="27" t="n"/>
    </row>
    <row r="40">
      <c r="A40" s="23" t="inlineStr">
        <is>
          <t>ABCP11</t>
        </is>
      </c>
      <c r="B40" s="24" t="inlineStr">
        <is>
          <t>FII</t>
        </is>
      </c>
      <c r="C40" s="24" t="inlineStr">
        <is>
          <t>GRAND PLAZA SHOPPING FUNDO DE INVESTIMENTO IMOBILIÁRIO - RESPONSABILIDADE LIMITADA</t>
        </is>
      </c>
      <c r="D40" s="24" t="n">
        <v>80.01000000000001</v>
      </c>
      <c r="E40" s="24" t="inlineStr">
        <is>
          <t>01.201.140/0001-90</t>
        </is>
      </c>
      <c r="F40" s="24" t="inlineStr">
        <is>
          <t>Shoppings</t>
        </is>
      </c>
      <c r="G40" s="29" t="inlineStr">
        <is>
          <t>9,76</t>
        </is>
      </c>
      <c r="H40" s="29" t="inlineStr">
        <is>
          <t>0,00</t>
        </is>
      </c>
      <c r="I40" s="24" t="n"/>
    </row>
    <row r="41">
      <c r="A41" s="26" t="inlineStr">
        <is>
          <t>ALZR11</t>
        </is>
      </c>
      <c r="B41" s="27" t="inlineStr">
        <is>
          <t>FII</t>
        </is>
      </c>
      <c r="C41" s="27" t="inlineStr">
        <is>
          <t>ALIANZA TRUST RENDA IMOBILIÁRIA - FUNDO DE INVESTIMENTO IMOBILIÁRIO RESPONSABILIDADE LIMITADA</t>
        </is>
      </c>
      <c r="D41" s="27" t="n">
        <v>10.71</v>
      </c>
      <c r="E41" s="27" t="inlineStr">
        <is>
          <t>28.737.771/0001-85</t>
        </is>
      </c>
      <c r="F41" s="27" t="inlineStr">
        <is>
          <t>Híbrido</t>
        </is>
      </c>
      <c r="G41" s="28" t="inlineStr">
        <is>
          <t>9,36</t>
        </is>
      </c>
      <c r="H41" s="28" t="inlineStr">
        <is>
          <t>0,00</t>
        </is>
      </c>
      <c r="I41" s="27" t="n"/>
    </row>
    <row r="42">
      <c r="A42" s="26" t="inlineStr">
        <is>
          <t>AGRX11</t>
        </is>
      </c>
      <c r="B42" s="27" t="inlineStr">
        <is>
          <t>FII</t>
        </is>
      </c>
      <c r="C42" s="27" t="n"/>
      <c r="D42" s="27" t="n">
        <v>8.970000000000001</v>
      </c>
      <c r="E42" s="27" t="n"/>
      <c r="F42" s="27" t="inlineStr">
        <is>
          <t>Fiagro</t>
        </is>
      </c>
      <c r="G42" s="28" t="inlineStr">
        <is>
          <t>0,00</t>
        </is>
      </c>
      <c r="H42" s="28" t="inlineStr">
        <is>
          <t>0,00</t>
        </is>
      </c>
      <c r="I42" s="27" t="n"/>
    </row>
    <row r="43">
      <c r="A43" s="23" t="inlineStr">
        <is>
          <t>MXRF11</t>
        </is>
      </c>
      <c r="B43" s="24" t="inlineStr">
        <is>
          <t>FII</t>
        </is>
      </c>
      <c r="C43" s="24" t="inlineStr">
        <is>
          <t>MAXI RENDA FUNDO DE INVESTIMENTO IMOBILIÁRIO - FII - RESPONSABILIDADE LIMITADA</t>
        </is>
      </c>
      <c r="D43" s="24" t="n">
        <v>9.69</v>
      </c>
      <c r="E43" s="24" t="inlineStr">
        <is>
          <t>97.521.225/0001-25</t>
        </is>
      </c>
      <c r="F43" s="24" t="inlineStr">
        <is>
          <t>CRIs</t>
        </is>
      </c>
      <c r="G43" s="29" t="inlineStr">
        <is>
          <t>12,27</t>
        </is>
      </c>
      <c r="H43" s="29" t="inlineStr">
        <is>
          <t>0,00</t>
        </is>
      </c>
      <c r="I43" s="24" t="n"/>
    </row>
    <row r="44">
      <c r="A44" s="23" t="inlineStr">
        <is>
          <t>BTLG11</t>
        </is>
      </c>
      <c r="B44" s="24" t="inlineStr">
        <is>
          <t>FII</t>
        </is>
      </c>
      <c r="C44" s="24" t="inlineStr">
        <is>
          <t>BTG PACTUAL LOGÍSTICA FUNDO DE INVESTIMENTO IMOBILIÁRIO RESPONSABILIDADE LIMITADA</t>
        </is>
      </c>
      <c r="D44" s="24" t="n">
        <v>103.87</v>
      </c>
      <c r="E44" s="24" t="inlineStr">
        <is>
          <t>11.839.593/0001-09</t>
        </is>
      </c>
      <c r="F44" s="24" t="inlineStr">
        <is>
          <t>Logística</t>
        </is>
      </c>
      <c r="G44" s="29" t="inlineStr">
        <is>
          <t>9,09</t>
        </is>
      </c>
      <c r="H44" s="29" t="inlineStr">
        <is>
          <t>0,00</t>
        </is>
      </c>
      <c r="I44" s="24" t="n"/>
    </row>
    <row r="45">
      <c r="A45" s="26" t="inlineStr">
        <is>
          <t>GRWA11</t>
        </is>
      </c>
      <c r="B45" s="27" t="inlineStr">
        <is>
          <t>FII</t>
        </is>
      </c>
      <c r="C45" s="27" t="inlineStr">
        <is>
          <t>GREENWICH AGRO FIAGRO</t>
        </is>
      </c>
      <c r="D45" s="27" t="n">
        <v>8.050000000000001</v>
      </c>
      <c r="E45" s="27" t="inlineStr">
        <is>
          <t>47.240.671/0001-93</t>
        </is>
      </c>
      <c r="F45" s="27" t="inlineStr">
        <is>
          <t>Fiagro</t>
        </is>
      </c>
      <c r="G45" s="28" t="inlineStr">
        <is>
          <t>0,00</t>
        </is>
      </c>
      <c r="H45" s="28" t="inlineStr">
        <is>
          <t>0,00</t>
        </is>
      </c>
      <c r="I45" s="27" t="n"/>
    </row>
    <row r="46">
      <c r="A46" s="23" t="inlineStr">
        <is>
          <t>RURA11</t>
        </is>
      </c>
      <c r="B46" s="24" t="inlineStr">
        <is>
          <t>FII</t>
        </is>
      </c>
      <c r="C46" s="24" t="inlineStr">
        <is>
          <t>ITAU ASSET RURAL FIAGRO</t>
        </is>
      </c>
      <c r="D46" s="24" t="n">
        <v>8.98</v>
      </c>
      <c r="E46" s="24" t="inlineStr">
        <is>
          <t>42.479.593/0001-60</t>
        </is>
      </c>
      <c r="F46" s="24" t="inlineStr">
        <is>
          <t>Fiagro</t>
        </is>
      </c>
      <c r="G46" s="29" t="inlineStr">
        <is>
          <t>0,00</t>
        </is>
      </c>
      <c r="H46" s="29" t="inlineStr">
        <is>
          <t>0,00</t>
        </is>
      </c>
      <c r="I46" s="24" t="n"/>
    </row>
    <row r="47">
      <c r="A47" s="23" t="inlineStr">
        <is>
          <t>INLG11</t>
        </is>
      </c>
      <c r="B47" s="24" t="inlineStr">
        <is>
          <t>FII</t>
        </is>
      </c>
      <c r="C47" s="24" t="inlineStr">
        <is>
          <t>INTER LOGÍSTICO FUNDO DE INVESTIMENTO IMOBILIÁRIO FII RESPONSABILIDADE LIMITADA</t>
        </is>
      </c>
      <c r="D47" s="24" t="n">
        <v>74.33</v>
      </c>
      <c r="E47" s="24" t="inlineStr">
        <is>
          <t>34.598.181/0001-11</t>
        </is>
      </c>
      <c r="F47" s="24" t="inlineStr">
        <is>
          <t>Logística</t>
        </is>
      </c>
      <c r="G47" s="29" t="inlineStr">
        <is>
          <t>11,74</t>
        </is>
      </c>
      <c r="H47" s="29" t="inlineStr">
        <is>
          <t>0,00</t>
        </is>
      </c>
      <c r="I47" s="24" t="n"/>
    </row>
    <row r="48">
      <c r="A48" s="26" t="inlineStr">
        <is>
          <t>XPCI11</t>
        </is>
      </c>
      <c r="B48" s="27" t="inlineStr">
        <is>
          <t>FII</t>
        </is>
      </c>
      <c r="C48" s="27" t="inlineStr">
        <is>
          <t>XP CRÉDITO IMOBILIÁRIO - FUNDO DE INVESTIMENTO IMOBILIÁRIO</t>
        </is>
      </c>
      <c r="D48" s="27" t="n">
        <v>83.95</v>
      </c>
      <c r="E48" s="27" t="inlineStr">
        <is>
          <t>28.516.301/0001-91</t>
        </is>
      </c>
      <c r="F48" s="27" t="inlineStr">
        <is>
          <t>CRIs</t>
        </is>
      </c>
      <c r="G48" s="28" t="inlineStr">
        <is>
          <t>12,96</t>
        </is>
      </c>
      <c r="H48" s="28" t="inlineStr">
        <is>
          <t>0,00</t>
        </is>
      </c>
      <c r="I48" s="27" t="n"/>
    </row>
    <row r="49">
      <c r="A49" s="23" t="inlineStr">
        <is>
          <t>APTO11</t>
        </is>
      </c>
      <c r="B49" s="24" t="inlineStr">
        <is>
          <t>FII</t>
        </is>
      </c>
      <c r="C49" s="24" t="inlineStr">
        <is>
          <t>NAVI RESIDENCIAL FUNDO DE INVESTIMENTO IMOBILIÁRIO - RESPONSABILIDADE LIMITADA</t>
        </is>
      </c>
      <c r="D49" s="24" t="n">
        <v>8.42</v>
      </c>
      <c r="E49" s="24" t="inlineStr">
        <is>
          <t>42.432.327/0001-82</t>
        </is>
      </c>
      <c r="F49" s="24" t="inlineStr">
        <is>
          <t>Híbrido</t>
        </is>
      </c>
      <c r="G49" s="29" t="inlineStr">
        <is>
          <t>12,72</t>
        </is>
      </c>
      <c r="H49" s="29" t="inlineStr">
        <is>
          <t>0,00</t>
        </is>
      </c>
      <c r="I49" s="24" t="n"/>
    </row>
    <row r="50">
      <c r="A50" s="23" t="inlineStr">
        <is>
          <t>VGHF11</t>
        </is>
      </c>
      <c r="B50" s="24" t="inlineStr">
        <is>
          <t>FII</t>
        </is>
      </c>
      <c r="C50" s="24" t="inlineStr">
        <is>
          <t>VALORA HEDGE FUND FUNDO DE INVESTIMENTO IMOBILIÁRIO DE RESPONSABILIDADE LIMITADA</t>
        </is>
      </c>
      <c r="D50" s="24" t="n">
        <v>7.09</v>
      </c>
      <c r="E50" s="24" t="inlineStr">
        <is>
          <t>36.771.692/0001-19</t>
        </is>
      </c>
      <c r="F50" s="24" t="inlineStr">
        <is>
          <t>CRIs</t>
        </is>
      </c>
      <c r="G50" s="29" t="inlineStr">
        <is>
          <t>13,84</t>
        </is>
      </c>
      <c r="H50" s="29" t="inlineStr">
        <is>
          <t>0,00</t>
        </is>
      </c>
      <c r="I50" s="24" t="n"/>
    </row>
    <row r="51">
      <c r="A51" s="26" t="inlineStr">
        <is>
          <t>VGIR11</t>
        </is>
      </c>
      <c r="B51" s="27" t="inlineStr">
        <is>
          <t>FII</t>
        </is>
      </c>
      <c r="C51" s="27" t="inlineStr">
        <is>
          <t>VALORA CRI CDI FUNDO DE INVESTIMENTO IMOBILIÁRIO - FII RESPONSABILIDADE LIMITADA</t>
        </is>
      </c>
      <c r="D51" s="27" t="n">
        <v>9.720000000000001</v>
      </c>
      <c r="E51" s="27" t="inlineStr">
        <is>
          <t>29.852.732/0001-91</t>
        </is>
      </c>
      <c r="F51" s="27" t="inlineStr">
        <is>
          <t>CRIs</t>
        </is>
      </c>
      <c r="G51" s="28" t="inlineStr">
        <is>
          <t>15,62</t>
        </is>
      </c>
      <c r="H51" s="28" t="inlineStr">
        <is>
          <t>0,00</t>
        </is>
      </c>
      <c r="I51" s="27" t="n"/>
    </row>
    <row r="52">
      <c r="A52" s="26" t="inlineStr">
        <is>
          <t>VGIA11</t>
        </is>
      </c>
      <c r="B52" s="27" t="inlineStr">
        <is>
          <t>FII</t>
        </is>
      </c>
      <c r="C52" s="27" t="n"/>
      <c r="D52" s="27" t="n">
        <v>9.82</v>
      </c>
      <c r="E52" s="27" t="n"/>
      <c r="F52" s="27" t="inlineStr">
        <is>
          <t>Fiagro</t>
        </is>
      </c>
      <c r="G52" s="28" t="inlineStr">
        <is>
          <t>0,00</t>
        </is>
      </c>
      <c r="H52" s="28" t="n"/>
      <c r="I52" s="27" t="n"/>
    </row>
    <row r="53">
      <c r="A53" s="23" t="inlineStr">
        <is>
          <t>IRDM11</t>
        </is>
      </c>
      <c r="B53" s="24" t="inlineStr">
        <is>
          <t>FII</t>
        </is>
      </c>
      <c r="C53" s="24" t="inlineStr">
        <is>
          <t>FUNDO DE INVESTIMENTO IMOBILIÁRIO IRIDIUM RECEBÍVEIS IMOBILIÁRIOS RESPONSABILIDADE LIMITADA</t>
        </is>
      </c>
      <c r="D53" s="24" t="n">
        <v>58.5</v>
      </c>
      <c r="E53" s="24" t="inlineStr">
        <is>
          <t>28.830.325/0001-10</t>
        </is>
      </c>
      <c r="F53" s="24" t="inlineStr">
        <is>
          <t>CRIs</t>
        </is>
      </c>
      <c r="G53" s="29" t="inlineStr">
        <is>
          <t>11,49</t>
        </is>
      </c>
      <c r="H53" s="29" t="n"/>
      <c r="I53" s="24" t="n"/>
    </row>
    <row r="54">
      <c r="A54" s="26" t="inlineStr">
        <is>
          <t>VSLH11</t>
        </is>
      </c>
      <c r="B54" s="27" t="inlineStr">
        <is>
          <t>FII</t>
        </is>
      </c>
      <c r="C54" s="27" t="inlineStr">
        <is>
          <t>VERSALHES RECEBÍVEIS IMOBILIÁRIOS FUNDO DE INVESTIMENTO IMOBILIÁRIO DE RESPONSABILIDADE LIMITADA</t>
        </is>
      </c>
      <c r="D54" s="27" t="n">
        <v>2.13</v>
      </c>
      <c r="E54" s="27" t="inlineStr">
        <is>
          <t>36.244.015/0001-42</t>
        </is>
      </c>
      <c r="F54" s="27" t="inlineStr">
        <is>
          <t>CRIs</t>
        </is>
      </c>
      <c r="G54" s="28" t="inlineStr">
        <is>
          <t>16,90</t>
        </is>
      </c>
      <c r="H54" s="28" t="inlineStr">
        <is>
          <t>0,00</t>
        </is>
      </c>
      <c r="I54" s="27" t="n"/>
    </row>
    <row r="55">
      <c r="A55" s="23" t="inlineStr">
        <is>
          <t>BIDB11</t>
        </is>
      </c>
      <c r="B55" s="24" t="inlineStr">
        <is>
          <t>FII</t>
        </is>
      </c>
      <c r="C55" s="24" t="inlineStr">
        <is>
          <t>INTER INFRA FIC INFRA RENDA FIXA CRÉDITO PRIVADO</t>
        </is>
      </c>
      <c r="D55" s="24" t="n">
        <v>81.3</v>
      </c>
      <c r="E55" s="24" t="inlineStr">
        <is>
          <t>42.294.971/0001-31</t>
        </is>
      </c>
      <c r="F55" s="24" t="inlineStr">
        <is>
          <t>FI-Infra</t>
        </is>
      </c>
      <c r="G55" s="29" t="inlineStr">
        <is>
          <t>0,00</t>
        </is>
      </c>
      <c r="H55" s="29" t="n"/>
      <c r="I55" s="24" t="n"/>
    </row>
    <row r="56">
      <c r="A56" s="26" t="inlineStr">
        <is>
          <t>ALZC11</t>
        </is>
      </c>
      <c r="B56" s="27" t="inlineStr">
        <is>
          <t>FII</t>
        </is>
      </c>
      <c r="C56" s="27" t="inlineStr">
        <is>
          <t>ALIANZA CRÉDITO IMOBILIÁRIO FUNDO DE INVESTIMENTO IMOBILIÁRIO RESPONSABILIDADE LIMITADA</t>
        </is>
      </c>
      <c r="D56" s="27" t="n">
        <v>7.93</v>
      </c>
      <c r="E56" s="27" t="inlineStr">
        <is>
          <t>40.011.324/0001-40</t>
        </is>
      </c>
      <c r="F56" s="27" t="inlineStr">
        <is>
          <t>CRIs</t>
        </is>
      </c>
      <c r="G56" s="28" t="inlineStr">
        <is>
          <t>16,44</t>
        </is>
      </c>
      <c r="H56" s="28" t="n"/>
      <c r="I56" s="27" t="n"/>
    </row>
    <row r="57">
      <c r="A57" s="26" t="inlineStr">
        <is>
          <t>AERO11</t>
        </is>
      </c>
      <c r="B57" s="27" t="inlineStr">
        <is>
          <t>FII</t>
        </is>
      </c>
      <c r="C57" s="27" t="inlineStr">
        <is>
          <t>HCO OPPS AERO I FII DE RESPONSABILIDADE LIMITADA</t>
        </is>
      </c>
      <c r="D57" s="27" t="n">
        <v>100.01</v>
      </c>
      <c r="E57" s="27" t="n"/>
      <c r="F57" s="27" t="n"/>
      <c r="G57" s="28" t="inlineStr">
        <is>
          <t>0,00</t>
        </is>
      </c>
      <c r="H57" s="28" t="n"/>
      <c r="I57" s="27" t="n"/>
    </row>
    <row r="58">
      <c r="A58" s="23" t="inlineStr">
        <is>
          <t>AFHF11</t>
        </is>
      </c>
      <c r="B58" s="24" t="inlineStr">
        <is>
          <t>FII</t>
        </is>
      </c>
      <c r="C58" s="24" t="inlineStr">
        <is>
          <t>AF INVEST REAL ESTATE MULTIESTRATÉGIA FUNDO DE INVESTIMENTO IMOBILIÁRIO - RESPONSABILIDADE LIMITADA</t>
        </is>
      </c>
      <c r="D58" s="24" t="n">
        <v>10.04</v>
      </c>
      <c r="E58" s="24" t="n"/>
      <c r="F58" s="24" t="n"/>
      <c r="G58" s="29" t="inlineStr">
        <is>
          <t>0,00</t>
        </is>
      </c>
      <c r="H58" s="29" t="n"/>
      <c r="I58" s="24" t="n"/>
    </row>
    <row r="59">
      <c r="A59" s="26" t="inlineStr">
        <is>
          <t>AFHI11</t>
        </is>
      </c>
      <c r="B59" s="27" t="inlineStr">
        <is>
          <t>FII</t>
        </is>
      </c>
      <c r="C59" s="27" t="inlineStr">
        <is>
          <t>AF INVEST CRI FUNDO DE INVESTIMENTO IMOBILIÁRIO RECEBÍVEIS IMOBILIÁRIOS RESPONSABILIDADE LIMITADA</t>
        </is>
      </c>
      <c r="D59" s="27" t="n">
        <v>96.15000000000001</v>
      </c>
      <c r="E59" s="27" t="inlineStr">
        <is>
          <t>36.642.293/0001-58</t>
        </is>
      </c>
      <c r="F59" s="27" t="inlineStr">
        <is>
          <t>CRIs</t>
        </is>
      </c>
      <c r="G59" s="28" t="inlineStr">
        <is>
          <t>13,59</t>
        </is>
      </c>
      <c r="H59" s="28" t="n"/>
      <c r="I59" s="27" t="n"/>
    </row>
    <row r="60">
      <c r="A60" s="23" t="inlineStr">
        <is>
          <t>AIEC11</t>
        </is>
      </c>
      <c r="B60" s="24" t="inlineStr">
        <is>
          <t>FII</t>
        </is>
      </c>
      <c r="C60" s="24" t="inlineStr">
        <is>
          <t>ARCH EDIFÍCIOS CORPORATIVOS FUNDO DE INVESTIMENTO IMOBILIÁRIO - RESPONSABILIDADE LIMITADA</t>
        </is>
      </c>
      <c r="D60" s="24" t="n">
        <v>60</v>
      </c>
      <c r="E60" s="24" t="inlineStr">
        <is>
          <t>35.765.826/0001-26</t>
        </is>
      </c>
      <c r="F60" s="24" t="inlineStr">
        <is>
          <t>Escritórios</t>
        </is>
      </c>
      <c r="G60" s="29" t="inlineStr">
        <is>
          <t>6,67</t>
        </is>
      </c>
      <c r="H60" s="29" t="n"/>
      <c r="I60" s="24" t="n"/>
    </row>
    <row r="61">
      <c r="A61" s="26" t="inlineStr">
        <is>
          <t>AJFI11</t>
        </is>
      </c>
      <c r="B61" s="27" t="inlineStr">
        <is>
          <t>FII</t>
        </is>
      </c>
      <c r="C61" s="27" t="inlineStr">
        <is>
          <t>AJ MALLS FUNDO DE INVESTIMENTO IMOBILIÁRIO RESPONSABILIDADE LIMITADA</t>
        </is>
      </c>
      <c r="D61" s="27" t="n">
        <v>8.1</v>
      </c>
      <c r="E61" s="27" t="inlineStr">
        <is>
          <t>51.472.985/0001-99</t>
        </is>
      </c>
      <c r="F61" s="27" t="inlineStr">
        <is>
          <t>Shoppings</t>
        </is>
      </c>
      <c r="G61" s="28" t="inlineStr">
        <is>
          <t>8,05</t>
        </is>
      </c>
      <c r="H61" s="28" t="n"/>
      <c r="I61" s="27" t="n"/>
    </row>
    <row r="62">
      <c r="A62" s="23" t="inlineStr">
        <is>
          <t>ALMI11</t>
        </is>
      </c>
      <c r="B62" s="24" t="inlineStr">
        <is>
          <t>FII</t>
        </is>
      </c>
      <c r="C62" s="24" t="inlineStr">
        <is>
          <t>FII TORRE ALMIRANTE</t>
        </is>
      </c>
      <c r="D62" s="24" t="n">
        <v>655</v>
      </c>
      <c r="E62" s="24" t="inlineStr">
        <is>
          <t>07.122.725/0001-00</t>
        </is>
      </c>
      <c r="F62" s="24" t="inlineStr">
        <is>
          <t>Escritórios</t>
        </is>
      </c>
      <c r="G62" s="29" t="inlineStr">
        <is>
          <t>6,84</t>
        </is>
      </c>
      <c r="H62" s="29" t="n"/>
      <c r="I62" s="24" t="n"/>
    </row>
    <row r="63">
      <c r="A63" s="26" t="inlineStr">
        <is>
          <t>ANCR11</t>
        </is>
      </c>
      <c r="B63" s="27" t="inlineStr">
        <is>
          <t>FII</t>
        </is>
      </c>
      <c r="C63" s="27" t="inlineStr">
        <is>
          <t>FUNDO DE INVESTIMENTO IMOBILIÁRIO - FII ANCAR IC - RESPONSABILIDADE LIMITADA</t>
        </is>
      </c>
      <c r="D63" s="27" t="n">
        <v>497.23</v>
      </c>
      <c r="E63" s="27" t="n"/>
      <c r="F63" s="27" t="n"/>
      <c r="G63" s="28" t="inlineStr">
        <is>
          <t>0,00</t>
        </is>
      </c>
      <c r="H63" s="28" t="n"/>
      <c r="I63" s="27" t="n"/>
    </row>
    <row r="64">
      <c r="A64" s="23" t="inlineStr">
        <is>
          <t>APXM11</t>
        </is>
      </c>
      <c r="B64" s="24" t="inlineStr">
        <is>
          <t>FII</t>
        </is>
      </c>
      <c r="C64" s="24" t="inlineStr">
        <is>
          <t>APEX MALLS FUNDO DE INVESTIMENTO IMOBILIÁRIO RESPONSABILIDADE LIMITADA</t>
        </is>
      </c>
      <c r="D64" s="24" t="n">
        <v>73.48</v>
      </c>
      <c r="E64" s="24" t="inlineStr">
        <is>
          <t>43.010.485/0001-07</t>
        </is>
      </c>
      <c r="F64" s="24" t="n"/>
      <c r="G64" s="29" t="inlineStr">
        <is>
          <t>5,95</t>
        </is>
      </c>
      <c r="H64" s="29" t="n"/>
      <c r="I64" s="24" t="n"/>
    </row>
    <row r="65">
      <c r="A65" s="26" t="inlineStr">
        <is>
          <t>APXR11</t>
        </is>
      </c>
      <c r="B65" s="27" t="inlineStr">
        <is>
          <t>FII</t>
        </is>
      </c>
      <c r="C65" s="27" t="inlineStr">
        <is>
          <t>FUNDO DE INVESTIMENTO IMOBILIÁRIO APEX REALTY - FII</t>
        </is>
      </c>
      <c r="D65" s="27" t="n">
        <v>100</v>
      </c>
      <c r="E65" s="27" t="inlineStr">
        <is>
          <t>52.446.271/0001-79</t>
        </is>
      </c>
      <c r="F65" s="27" t="n"/>
      <c r="G65" s="28" t="inlineStr">
        <is>
          <t>0,00</t>
        </is>
      </c>
      <c r="H65" s="28" t="n"/>
      <c r="I65" s="27" t="n"/>
    </row>
    <row r="66">
      <c r="A66" s="23" t="inlineStr">
        <is>
          <t>APXU11</t>
        </is>
      </c>
      <c r="B66" s="24" t="inlineStr">
        <is>
          <t>FII</t>
        </is>
      </c>
      <c r="C66" s="24" t="inlineStr">
        <is>
          <t>APEX URB FUNDO DE INVESTIMENTO IMOBILIÁRIO RESPONSABILIDADE LIMITADA</t>
        </is>
      </c>
      <c r="D66" s="24" t="n">
        <v>88</v>
      </c>
      <c r="E66" s="24" t="inlineStr">
        <is>
          <t>52.521.137/0001-95</t>
        </is>
      </c>
      <c r="F66" s="24" t="n"/>
      <c r="G66" s="29" t="inlineStr">
        <is>
          <t>0,00</t>
        </is>
      </c>
      <c r="H66" s="29" t="n"/>
      <c r="I66" s="24" t="n"/>
    </row>
    <row r="67">
      <c r="A67" s="26" t="inlineStr">
        <is>
          <t>AROA11</t>
        </is>
      </c>
      <c r="B67" s="27" t="inlineStr">
        <is>
          <t>FII</t>
        </is>
      </c>
      <c r="C67" s="27" t="inlineStr">
        <is>
          <t>AROEIRA 333 RENDA LOGÍSTICA FUNDO DE INVESTIMENTO IMOBILIÁRIO RESPONSABILIDADE LIMITADA</t>
        </is>
      </c>
      <c r="D67" s="27" t="n">
        <v>1.15</v>
      </c>
      <c r="E67" s="27" t="inlineStr">
        <is>
          <t>44.674.528/0001-11</t>
        </is>
      </c>
      <c r="F67" s="27" t="n"/>
      <c r="G67" s="28" t="inlineStr">
        <is>
          <t>8,62</t>
        </is>
      </c>
      <c r="H67" s="28" t="n"/>
      <c r="I67" s="27" t="n"/>
    </row>
    <row r="68">
      <c r="A68" s="23" t="inlineStr">
        <is>
          <t>ARTE11</t>
        </is>
      </c>
      <c r="B68" s="24" t="inlineStr">
        <is>
          <t>FII</t>
        </is>
      </c>
      <c r="C68" s="24" t="inlineStr">
        <is>
          <t>ÁRTEMIS FUNDO DE INVESTIMENTO IMOBILIÁRIO RESPONSABILIDADE LIMITADA</t>
        </is>
      </c>
      <c r="D68" s="24" t="n"/>
      <c r="E68" s="24" t="inlineStr">
        <is>
          <t>53.193.237/0001-00</t>
        </is>
      </c>
      <c r="F68" s="24" t="n"/>
      <c r="G68" s="29" t="inlineStr">
        <is>
          <t>0,00</t>
        </is>
      </c>
      <c r="H68" s="29" t="n"/>
      <c r="I68" s="24" t="n"/>
    </row>
    <row r="69">
      <c r="A69" s="26" t="inlineStr">
        <is>
          <t>ARXD11</t>
        </is>
      </c>
      <c r="B69" s="27" t="inlineStr">
        <is>
          <t>FII</t>
        </is>
      </c>
      <c r="C69" s="27" t="inlineStr">
        <is>
          <t>ARX DOVER RECEBÍVEIS FUNDO DE INVESTIMENTO IMOBILIÁRIO DE RESPONSABILIDADE LIMITADA</t>
        </is>
      </c>
      <c r="D69" s="27" t="n">
        <v>7.91</v>
      </c>
      <c r="E69" s="27" t="inlineStr">
        <is>
          <t>44.527.494/0001-32</t>
        </is>
      </c>
      <c r="F69" s="27" t="inlineStr">
        <is>
          <t>CRIs</t>
        </is>
      </c>
      <c r="G69" s="28" t="inlineStr">
        <is>
          <t>14,03</t>
        </is>
      </c>
      <c r="H69" s="28" t="n"/>
      <c r="I69" s="27" t="n"/>
    </row>
    <row r="70">
      <c r="A70" s="23" t="inlineStr">
        <is>
          <t>ASRF11</t>
        </is>
      </c>
      <c r="B70" s="24" t="inlineStr">
        <is>
          <t>FII</t>
        </is>
      </c>
      <c r="C70" s="24" t="inlineStr">
        <is>
          <t>DAYCOVAL RETROFITS I FUNDO DE INVESTIMENTO IMOBILIÁRIO RESPONSABILIDADE LIMITADA</t>
        </is>
      </c>
      <c r="D70" s="24" t="n">
        <v>10974</v>
      </c>
      <c r="E70" s="24" t="inlineStr">
        <is>
          <t>45.188.033/0001-45</t>
        </is>
      </c>
      <c r="F70" s="24" t="n"/>
      <c r="G70" s="29" t="inlineStr">
        <is>
          <t>0,00</t>
        </is>
      </c>
      <c r="H70" s="29" t="n"/>
      <c r="I70" s="24" t="n"/>
    </row>
    <row r="71">
      <c r="A71" s="26" t="inlineStr">
        <is>
          <t>ATCR11</t>
        </is>
      </c>
      <c r="B71" s="27" t="inlineStr">
        <is>
          <t>FII</t>
        </is>
      </c>
      <c r="C71" s="27" t="inlineStr">
        <is>
          <t>HAZ FUNDO DE INVESTIMENTO IMOBILIÁRIO</t>
        </is>
      </c>
      <c r="D71" s="27" t="n">
        <v>0</v>
      </c>
      <c r="E71" s="27" t="inlineStr">
        <is>
          <t>14.631.148/0001-39</t>
        </is>
      </c>
      <c r="F71" s="27" t="inlineStr">
        <is>
          <t>Escritórios</t>
        </is>
      </c>
      <c r="G71" s="28" t="inlineStr">
        <is>
          <t>0,00</t>
        </is>
      </c>
      <c r="H71" s="28" t="n"/>
      <c r="I71" s="27" t="n"/>
    </row>
    <row r="72">
      <c r="A72" s="23" t="inlineStr">
        <is>
          <t>ATSA11</t>
        </is>
      </c>
      <c r="B72" s="24" t="inlineStr">
        <is>
          <t>FII</t>
        </is>
      </c>
      <c r="C72" s="24" t="inlineStr">
        <is>
          <t>HEDGE ATRIUM SHOPPING SANTO ANDRÉ FUNDO DE INVESTIMENTO IMOBILIÁRIO DE RESPONSABILIDADE LIMITADA</t>
        </is>
      </c>
      <c r="D72" s="24" t="n">
        <v>58.61</v>
      </c>
      <c r="E72" s="24" t="inlineStr">
        <is>
          <t>12.809.972/0001-00</t>
        </is>
      </c>
      <c r="F72" s="24" t="inlineStr">
        <is>
          <t>Shoppings</t>
        </is>
      </c>
      <c r="G72" s="29" t="inlineStr">
        <is>
          <t>4,62</t>
        </is>
      </c>
      <c r="H72" s="29" t="n"/>
      <c r="I72" s="24" t="n"/>
    </row>
    <row r="73">
      <c r="A73" s="26" t="inlineStr">
        <is>
          <t>ATWN11</t>
        </is>
      </c>
      <c r="B73" s="27" t="inlineStr">
        <is>
          <t>FII</t>
        </is>
      </c>
      <c r="C73" s="27" t="inlineStr">
        <is>
          <t>AIRPORT TOWN FUNDO DE INVESTIMENTO IMOBILIARIO - FII</t>
        </is>
      </c>
      <c r="D73" s="27" t="n"/>
      <c r="E73" s="27" t="inlineStr">
        <is>
          <t>27.773.327/0001-52</t>
        </is>
      </c>
      <c r="F73" s="27" t="n"/>
      <c r="G73" s="28" t="inlineStr">
        <is>
          <t>0,00</t>
        </is>
      </c>
      <c r="H73" s="28" t="n"/>
      <c r="I73" s="27" t="n"/>
    </row>
    <row r="74">
      <c r="A74" s="23" t="inlineStr">
        <is>
          <t>AURB11</t>
        </is>
      </c>
      <c r="B74" s="24" t="inlineStr">
        <is>
          <t>FII</t>
        </is>
      </c>
      <c r="C74" s="24" t="inlineStr">
        <is>
          <t>ALIANZA URBAN HUB RENDA FUNDO DE INVESTIMENTO IMOBILIÁRIO RESPONSABILIDADE LIMITADA</t>
        </is>
      </c>
      <c r="D74" s="24" t="n">
        <v>72.92</v>
      </c>
      <c r="E74" s="24" t="inlineStr">
        <is>
          <t>41.076.823/0001-88</t>
        </is>
      </c>
      <c r="F74" s="24" t="n"/>
      <c r="G74" s="29" t="inlineStr">
        <is>
          <t>4,47</t>
        </is>
      </c>
      <c r="H74" s="29" t="n"/>
      <c r="I74" s="24" t="n"/>
    </row>
    <row r="75">
      <c r="A75" s="26" t="inlineStr">
        <is>
          <t>AZPE11</t>
        </is>
      </c>
      <c r="B75" s="27" t="inlineStr">
        <is>
          <t>FII</t>
        </is>
      </c>
      <c r="C75" s="27" t="inlineStr">
        <is>
          <t>AZ QUEST PANORAMA CRÉDITO ESTRUTURADO FUNDO DE INVESTIMENTO IMOBILIÁRIO DE RESPONSABILIDADE LIMITADA</t>
        </is>
      </c>
      <c r="D75" s="27" t="n">
        <v>0</v>
      </c>
      <c r="E75" s="27" t="inlineStr">
        <is>
          <t>55.985.307/0001-80</t>
        </is>
      </c>
      <c r="F75" s="27" t="n"/>
      <c r="G75" s="28" t="inlineStr">
        <is>
          <t>0,00</t>
        </is>
      </c>
      <c r="H75" s="28" t="n"/>
      <c r="I75" s="27" t="n"/>
    </row>
    <row r="76">
      <c r="A76" s="23" t="inlineStr">
        <is>
          <t>AZPL11</t>
        </is>
      </c>
      <c r="B76" s="24" t="inlineStr">
        <is>
          <t>FII</t>
        </is>
      </c>
      <c r="C76" s="24" t="inlineStr">
        <is>
          <t>AZ QUEST PANORAMA LOGÍSTICA FUNDO DE INVESTIMENTO IMOBILIÁRIO - RESPONSABILIDADE LIMITADA</t>
        </is>
      </c>
      <c r="D76" s="24" t="n">
        <v>7.66</v>
      </c>
      <c r="E76" s="24" t="inlineStr">
        <is>
          <t>51.890.054/0001-00</t>
        </is>
      </c>
      <c r="F76" s="24" t="n"/>
      <c r="G76" s="29" t="inlineStr">
        <is>
          <t>12,53</t>
        </is>
      </c>
      <c r="H76" s="29" t="n"/>
      <c r="I76" s="24" t="n"/>
    </row>
    <row r="77">
      <c r="A77" s="26" t="inlineStr">
        <is>
          <t>BARI11</t>
        </is>
      </c>
      <c r="B77" s="27" t="inlineStr">
        <is>
          <t>FII</t>
        </is>
      </c>
      <c r="C77" s="27" t="inlineStr">
        <is>
          <t>FUNDO DE INVESTIMENTO IMOBILIÁRIO VBI RENDIMENTOS IMOBILIÁRIOS I - RESPONSABILIDADE LIMITADA</t>
        </is>
      </c>
      <c r="D77" s="27" t="n"/>
      <c r="E77" s="27" t="inlineStr">
        <is>
          <t>29.267.567/0001-00</t>
        </is>
      </c>
      <c r="F77" s="27" t="inlineStr">
        <is>
          <t>CRIs</t>
        </is>
      </c>
      <c r="G77" s="28" t="inlineStr">
        <is>
          <t>7,17</t>
        </is>
      </c>
      <c r="H77" s="28" t="n"/>
      <c r="I77" s="27" t="n"/>
    </row>
    <row r="78">
      <c r="A78" s="23" t="inlineStr">
        <is>
          <t>BBFI11</t>
        </is>
      </c>
      <c r="B78" s="24" t="inlineStr">
        <is>
          <t>FII</t>
        </is>
      </c>
      <c r="C78" s="24" t="inlineStr">
        <is>
          <t>BB FUNDO DE INVESTIMENTO IMOBILIÁRIO PROGRESSIVO RESPONSABILIDADE LIMITADA</t>
        </is>
      </c>
      <c r="D78" s="24" t="n">
        <v>629</v>
      </c>
      <c r="E78" s="24" t="inlineStr">
        <is>
          <t>07.000.400/0001-46</t>
        </is>
      </c>
      <c r="F78" s="24" t="n"/>
      <c r="G78" s="29" t="inlineStr">
        <is>
          <t>6.100,00</t>
        </is>
      </c>
      <c r="H78" s="29" t="n"/>
      <c r="I78" s="24" t="n"/>
    </row>
    <row r="79">
      <c r="A79" s="26" t="inlineStr">
        <is>
          <t>BBFO11</t>
        </is>
      </c>
      <c r="B79" s="27" t="inlineStr">
        <is>
          <t>FII</t>
        </is>
      </c>
      <c r="C79" s="27" t="inlineStr">
        <is>
          <t>BB FUNDO DE FUNDOS - FUNDO DE INVESTIMENTO IMOBILIÁRIO RESPONSABILIDADE LIMITADA</t>
        </is>
      </c>
      <c r="D79" s="27" t="n">
        <v>72</v>
      </c>
      <c r="E79" s="27" t="inlineStr">
        <is>
          <t>37.180.091/0001-02</t>
        </is>
      </c>
      <c r="F79" s="27" t="inlineStr">
        <is>
          <t>Fundo de Fundos</t>
        </is>
      </c>
      <c r="G79" s="28" t="inlineStr">
        <is>
          <t>12,54</t>
        </is>
      </c>
      <c r="H79" s="28" t="n"/>
      <c r="I79" s="27" t="n"/>
    </row>
    <row r="80">
      <c r="A80" s="23" t="inlineStr">
        <is>
          <t>BBIG11</t>
        </is>
      </c>
      <c r="B80" s="24" t="inlineStr">
        <is>
          <t>FII</t>
        </is>
      </c>
      <c r="C80" s="24" t="inlineStr">
        <is>
          <t>BB PREMIUM MALLS FUNDO DE INVESTIMENTO IMOBILIÁRIO DE RESPONSABILIDADE LIMITADA</t>
        </is>
      </c>
      <c r="D80" s="24" t="n">
        <v>7.1</v>
      </c>
      <c r="E80" s="24" t="inlineStr">
        <is>
          <t>54.375.187/0001-37</t>
        </is>
      </c>
      <c r="F80" s="24" t="inlineStr">
        <is>
          <t>Shoppings</t>
        </is>
      </c>
      <c r="G80" s="29" t="inlineStr">
        <is>
          <t>13,62</t>
        </is>
      </c>
      <c r="H80" s="29" t="inlineStr">
        <is>
          <t>0,00</t>
        </is>
      </c>
      <c r="I80" s="24" t="n"/>
    </row>
    <row r="81">
      <c r="A81" s="26" t="inlineStr">
        <is>
          <t>BBRC11</t>
        </is>
      </c>
      <c r="B81" s="27" t="inlineStr">
        <is>
          <t>FII</t>
        </is>
      </c>
      <c r="C81" s="27" t="inlineStr">
        <is>
          <t>BB RENDA CORPORATIVA FUNDO DE INVESTIMENTO IMOBILIÁRIO RESPONSABILIDADE LIMITADA</t>
        </is>
      </c>
      <c r="D81" s="27" t="n">
        <v>104.49</v>
      </c>
      <c r="E81" s="27" t="inlineStr">
        <is>
          <t>12.681.340/0001-04</t>
        </is>
      </c>
      <c r="F81" s="27" t="inlineStr">
        <is>
          <t>Bancário</t>
        </is>
      </c>
      <c r="G81" s="28" t="inlineStr">
        <is>
          <t>13,03</t>
        </is>
      </c>
      <c r="H81" s="28" t="n"/>
      <c r="I81" s="27" t="n"/>
    </row>
    <row r="82">
      <c r="A82" s="23" t="inlineStr">
        <is>
          <t>BCIA11</t>
        </is>
      </c>
      <c r="B82" s="24" t="inlineStr">
        <is>
          <t>FII</t>
        </is>
      </c>
      <c r="C82" s="24" t="inlineStr">
        <is>
          <t>BRADESCO CARTEIRA IMOBILIÁRIA ATIVA - FUNDO DE FUNDOS DE INVESTIMENTO IMOBILIÁRIO - FII</t>
        </is>
      </c>
      <c r="D82" s="24" t="n">
        <v>93.28</v>
      </c>
      <c r="E82" s="24" t="inlineStr">
        <is>
          <t>20.216.935/0001-17</t>
        </is>
      </c>
      <c r="F82" s="24" t="inlineStr">
        <is>
          <t>Fundo de Fundos</t>
        </is>
      </c>
      <c r="G82" s="29" t="inlineStr">
        <is>
          <t>10,91</t>
        </is>
      </c>
      <c r="H82" s="29" t="n"/>
      <c r="I82" s="24" t="n"/>
    </row>
    <row r="83">
      <c r="A83" s="26" t="inlineStr">
        <is>
          <t>BCRI11</t>
        </is>
      </c>
      <c r="B83" s="27" t="inlineStr">
        <is>
          <t>FII</t>
        </is>
      </c>
      <c r="C83" s="27" t="inlineStr">
        <is>
          <t>BANESTES RECEBÍVEIS IMOBILIÁRIOS FUNDO DE INVESTIMENTO IMOBILIÁRIO - FII - RESPONSABILIDADE LIMITAD</t>
        </is>
      </c>
      <c r="D83" s="27" t="n">
        <v>63.5</v>
      </c>
      <c r="E83" s="27" t="inlineStr">
        <is>
          <t>22.219.335/0001-38</t>
        </is>
      </c>
      <c r="F83" s="27" t="inlineStr">
        <is>
          <t>CRIs</t>
        </is>
      </c>
      <c r="G83" s="28" t="inlineStr">
        <is>
          <t>15,76</t>
        </is>
      </c>
      <c r="H83" s="28" t="n"/>
      <c r="I83" s="27" t="n"/>
    </row>
    <row r="84">
      <c r="A84" s="23" t="inlineStr">
        <is>
          <t>BETW11</t>
        </is>
      </c>
      <c r="B84" s="24" t="inlineStr">
        <is>
          <t>FII</t>
        </is>
      </c>
      <c r="C84" s="24" t="inlineStr">
        <is>
          <t>BRPR E-TOWER FUNDO DE INVESTIMENTO IMOBILIÁRIO</t>
        </is>
      </c>
      <c r="D84" s="24" t="n"/>
      <c r="E84" s="24" t="inlineStr">
        <is>
          <t>51.666.294/0001-26</t>
        </is>
      </c>
      <c r="F84" s="24" t="n"/>
      <c r="G84" s="29" t="inlineStr">
        <is>
          <t>0,00</t>
        </is>
      </c>
      <c r="H84" s="29" t="n"/>
      <c r="I84" s="24" t="n"/>
    </row>
    <row r="85">
      <c r="A85" s="26" t="inlineStr">
        <is>
          <t>BGRB11</t>
        </is>
      </c>
      <c r="B85" s="27" t="inlineStr">
        <is>
          <t>FII</t>
        </is>
      </c>
      <c r="C85" s="27" t="inlineStr">
        <is>
          <t>BGR B32 FUNDO DE INVESTIMENTO IMOBILIÁRIO</t>
        </is>
      </c>
      <c r="D85" s="27" t="n">
        <v>115.1</v>
      </c>
      <c r="E85" s="27" t="inlineStr">
        <is>
          <t>57.216.258/0001-47</t>
        </is>
      </c>
      <c r="F85" s="27" t="n"/>
      <c r="G85" s="28" t="inlineStr">
        <is>
          <t>6,32</t>
        </is>
      </c>
      <c r="H85" s="28" t="n"/>
      <c r="I85" s="27" t="n"/>
    </row>
    <row r="86">
      <c r="A86" s="23" t="inlineStr">
        <is>
          <t>BGS111</t>
        </is>
      </c>
      <c r="B86" s="24" t="inlineStr">
        <is>
          <t>FII</t>
        </is>
      </c>
      <c r="C86" s="24" t="inlineStr">
        <is>
          <t>JUBARTE BGS LOGÍSTICA DE GRÃOS DESENVOLVIMENTO FII RESPONSABILIDADE LIMITADA</t>
        </is>
      </c>
      <c r="D86" s="24" t="n"/>
      <c r="E86" s="24" t="n"/>
      <c r="F86" s="24" t="n"/>
      <c r="G86" s="29" t="inlineStr">
        <is>
          <t>0,00</t>
        </is>
      </c>
      <c r="H86" s="29" t="n"/>
      <c r="I86" s="24" t="n"/>
    </row>
    <row r="87">
      <c r="A87" s="26" t="inlineStr">
        <is>
          <t>BICE11</t>
        </is>
      </c>
      <c r="B87" s="27" t="inlineStr">
        <is>
          <t>FII</t>
        </is>
      </c>
      <c r="C87" s="27" t="inlineStr">
        <is>
          <t>BRIO CRÉDITO ESTRUTURADO - FUNDO DE INVESTIMENTO IMOBILIÁRIO - RESPONSABILIDADE LIMITADA</t>
        </is>
      </c>
      <c r="D87" s="27" t="n">
        <v>888</v>
      </c>
      <c r="E87" s="27" t="inlineStr">
        <is>
          <t>39.332.032/0001-20</t>
        </is>
      </c>
      <c r="F87" s="27" t="inlineStr">
        <is>
          <t>CRIs</t>
        </is>
      </c>
      <c r="G87" s="28" t="inlineStr">
        <is>
          <t>5,31</t>
        </is>
      </c>
      <c r="H87" s="28" t="n"/>
      <c r="I87" s="27" t="n"/>
    </row>
    <row r="88">
      <c r="A88" s="23" t="inlineStr">
        <is>
          <t>BINR11</t>
        </is>
      </c>
      <c r="B88" s="24" t="inlineStr">
        <is>
          <t>FII</t>
        </is>
      </c>
      <c r="C88" s="24" t="inlineStr">
        <is>
          <t>BE IN RIO FUNDO DE INVESTIMENTO IMOBILIÁRIO - RESPONSABILIDADE LIMITADA</t>
        </is>
      </c>
      <c r="D88" s="24" t="n">
        <v>0</v>
      </c>
      <c r="E88" s="24" t="inlineStr">
        <is>
          <t>35.360.651/0001-77</t>
        </is>
      </c>
      <c r="F88" s="24" t="n"/>
      <c r="G88" s="29" t="inlineStr">
        <is>
          <t>28,55</t>
        </is>
      </c>
      <c r="H88" s="29" t="n"/>
      <c r="I88" s="24" t="n"/>
    </row>
    <row r="89">
      <c r="A89" s="26" t="inlineStr">
        <is>
          <t>BIPD11</t>
        </is>
      </c>
      <c r="B89" s="27" t="inlineStr">
        <is>
          <t>FII</t>
        </is>
      </c>
      <c r="C89" s="27" t="inlineStr">
        <is>
          <t>BRIO REAL ESTATE IV - FUNDO DE INVESTIMENTO IMOBILIÁRIO - RESPONSABILIDADE LIMITADA</t>
        </is>
      </c>
      <c r="D89" s="27" t="n">
        <v>989.33</v>
      </c>
      <c r="E89" s="27" t="inlineStr">
        <is>
          <t>42.869.892/0001-01</t>
        </is>
      </c>
      <c r="F89" s="27" t="n"/>
      <c r="G89" s="28" t="inlineStr">
        <is>
          <t>6,98</t>
        </is>
      </c>
      <c r="H89" s="28" t="n"/>
      <c r="I89" s="27" t="n"/>
    </row>
    <row r="90">
      <c r="A90" s="23" t="inlineStr">
        <is>
          <t>BIPE11</t>
        </is>
      </c>
      <c r="B90" s="24" t="inlineStr">
        <is>
          <t>FII</t>
        </is>
      </c>
      <c r="C90" s="24" t="inlineStr">
        <is>
          <t>BRIO REAL ESTATE V FUNDO DE INVESTIMENTO IMOBILIÁRIO</t>
        </is>
      </c>
      <c r="D90" s="24" t="n">
        <v>1000</v>
      </c>
      <c r="E90" s="24" t="inlineStr">
        <is>
          <t>51.817.522/0001-11</t>
        </is>
      </c>
      <c r="F90" s="24" t="n"/>
      <c r="G90" s="29" t="inlineStr">
        <is>
          <t>0,00</t>
        </is>
      </c>
      <c r="H90" s="29" t="n"/>
      <c r="I90" s="24" t="n"/>
    </row>
    <row r="91">
      <c r="A91" s="26" t="inlineStr">
        <is>
          <t>BLCA11</t>
        </is>
      </c>
      <c r="B91" s="27" t="inlineStr">
        <is>
          <t>FII</t>
        </is>
      </c>
      <c r="C91" s="27" t="inlineStr">
        <is>
          <t>CATUAÍ VBI TRIPLE A FUNDO DE INVESTIMENTO IMOBILIÁRIO - RESPONSABILIDADE LIMITADA</t>
        </is>
      </c>
      <c r="D91" s="27" t="n">
        <v>93.44</v>
      </c>
      <c r="E91" s="27" t="inlineStr">
        <is>
          <t>41.076.748/0001-55</t>
        </is>
      </c>
      <c r="F91" s="27" t="inlineStr">
        <is>
          <t>Escritórios</t>
        </is>
      </c>
      <c r="G91" s="28" t="inlineStr">
        <is>
          <t>6,80</t>
        </is>
      </c>
      <c r="H91" s="28" t="n"/>
      <c r="I91" s="27" t="n"/>
    </row>
    <row r="92">
      <c r="A92" s="23" t="inlineStr">
        <is>
          <t>BLMG11</t>
        </is>
      </c>
      <c r="B92" s="24" t="inlineStr">
        <is>
          <t>FII</t>
        </is>
      </c>
      <c r="C92" s="24" t="inlineStr">
        <is>
          <t>BLUEMACAW LOGÍSTICA FUNDO DE INVESTIMENTO IMOBILIÁRIO</t>
        </is>
      </c>
      <c r="D92" s="24" t="n">
        <v>33.7</v>
      </c>
      <c r="E92" s="24" t="inlineStr">
        <is>
          <t>34.081.637/0001-71</t>
        </is>
      </c>
      <c r="F92" s="24" t="inlineStr">
        <is>
          <t>Logística</t>
        </is>
      </c>
      <c r="G92" s="29" t="inlineStr">
        <is>
          <t>13,22</t>
        </is>
      </c>
      <c r="H92" s="29" t="n"/>
      <c r="I92" s="24" t="n"/>
    </row>
    <row r="93">
      <c r="A93" s="26" t="inlineStr">
        <is>
          <t>BLMO11</t>
        </is>
      </c>
      <c r="B93" s="27" t="inlineStr">
        <is>
          <t>FII</t>
        </is>
      </c>
      <c r="C93" s="27" t="inlineStr">
        <is>
          <t>VBI OFFICE FUND II - FUNDO DE INVESTIMENTO IMOBILIÁRIO - RESPONSABILIDADE LIMITADA</t>
        </is>
      </c>
      <c r="D93" s="27" t="n">
        <v>86.17</v>
      </c>
      <c r="E93" s="27" t="inlineStr">
        <is>
          <t>34.895.894/0001-47</t>
        </is>
      </c>
      <c r="F93" s="27" t="inlineStr">
        <is>
          <t>Escritórios</t>
        </is>
      </c>
      <c r="G93" s="28" t="inlineStr">
        <is>
          <t>7,47</t>
        </is>
      </c>
      <c r="H93" s="28" t="n"/>
      <c r="I93" s="27" t="n"/>
    </row>
    <row r="94">
      <c r="A94" s="23" t="inlineStr">
        <is>
          <t>BLOG11</t>
        </is>
      </c>
      <c r="B94" s="24" t="inlineStr">
        <is>
          <t>FII</t>
        </is>
      </c>
      <c r="C94" s="24" t="inlineStr">
        <is>
          <t>BLUECAP LOG FUNDO DE INVESTIMENTO IMOBILIÁRIO</t>
        </is>
      </c>
      <c r="D94" s="24" t="n">
        <v>8.49</v>
      </c>
      <c r="E94" s="24" t="inlineStr">
        <is>
          <t>49.592.781/0001-40</t>
        </is>
      </c>
      <c r="F94" s="24" t="n"/>
      <c r="G94" s="29" t="inlineStr">
        <is>
          <t>3,42</t>
        </is>
      </c>
      <c r="H94" s="29" t="n"/>
      <c r="I94" s="24" t="n"/>
    </row>
    <row r="95">
      <c r="A95" s="26" t="inlineStr">
        <is>
          <t>BLUE11</t>
        </is>
      </c>
      <c r="B95" s="27" t="inlineStr">
        <is>
          <t>FII</t>
        </is>
      </c>
      <c r="C95" s="27" t="inlineStr">
        <is>
          <t>FUNDO DE INVESTIMENTO IMOBILIÁRIO MACAM SHOPPING RESPONSABILIDADE LIMITADA</t>
        </is>
      </c>
      <c r="D95" s="27" t="n">
        <v>188</v>
      </c>
      <c r="E95" s="27" t="n"/>
      <c r="F95" s="27" t="n"/>
      <c r="G95" s="28" t="inlineStr">
        <is>
          <t>0,00</t>
        </is>
      </c>
      <c r="H95" s="28" t="n"/>
      <c r="I95" s="27" t="n"/>
    </row>
    <row r="96">
      <c r="A96" s="23" t="inlineStr">
        <is>
          <t>BMLC11</t>
        </is>
      </c>
      <c r="B96" s="24" t="inlineStr">
        <is>
          <t>FII</t>
        </is>
      </c>
      <c r="C96" s="24" t="inlineStr">
        <is>
          <t>BM BRASCAN LAJES CORPORATIVAS FUNDO DE INVESTIMENTO IMOBILIÁRIO RESPONSABILIDADE LIMITADA</t>
        </is>
      </c>
      <c r="D96" s="24" t="n">
        <v>98.98999999999999</v>
      </c>
      <c r="E96" s="24" t="inlineStr">
        <is>
          <t>14.376.247/0001-11</t>
        </is>
      </c>
      <c r="F96" s="24" t="inlineStr">
        <is>
          <t>Híbrido</t>
        </is>
      </c>
      <c r="G96" s="29" t="inlineStr">
        <is>
          <t>8,52</t>
        </is>
      </c>
      <c r="H96" s="29" t="n"/>
      <c r="I96" s="24" t="n"/>
    </row>
    <row r="97">
      <c r="A97" s="26" t="inlineStr">
        <is>
          <t>BMLT11</t>
        </is>
      </c>
      <c r="B97" s="27" t="inlineStr">
        <is>
          <t>FII</t>
        </is>
      </c>
      <c r="C97" s="27" t="inlineStr">
        <is>
          <t>FUNDO DE INVESTIMENTOS IMOBILIÁRIOS DE PERMUTA FINANCEIRA LOTE5 MEZANINO RESPONSABILIDADE LIMITADA</t>
        </is>
      </c>
      <c r="D97" s="27" t="n">
        <v>108.51</v>
      </c>
      <c r="E97" s="27" t="n"/>
      <c r="F97" s="27" t="n"/>
      <c r="G97" s="28" t="inlineStr">
        <is>
          <t>0,00</t>
        </is>
      </c>
      <c r="H97" s="28" t="n"/>
      <c r="I97" s="27" t="n"/>
    </row>
    <row r="98">
      <c r="A98" s="23" t="inlineStr">
        <is>
          <t>BNFS11</t>
        </is>
      </c>
      <c r="B98" s="24" t="inlineStr">
        <is>
          <t>FII</t>
        </is>
      </c>
      <c r="C98" s="24" t="inlineStr">
        <is>
          <t>BANRISUL NOVAS FRONTEIRAS FUNDO DE INVESTIMENTO IMOBILIARIO - RESPONSABILIDADE LIMITADA</t>
        </is>
      </c>
      <c r="D98" s="24" t="n">
        <v>60.01</v>
      </c>
      <c r="E98" s="24" t="inlineStr">
        <is>
          <t>15.570.431/0001-60</t>
        </is>
      </c>
      <c r="F98" s="24" t="inlineStr">
        <is>
          <t>Bancário</t>
        </is>
      </c>
      <c r="G98" s="29" t="inlineStr">
        <is>
          <t>17,74</t>
        </is>
      </c>
      <c r="H98" s="29" t="n"/>
      <c r="I98" s="24" t="n"/>
    </row>
    <row r="99">
      <c r="A99" s="26" t="inlineStr">
        <is>
          <t>BPDR11</t>
        </is>
      </c>
      <c r="B99" s="27" t="inlineStr">
        <is>
          <t>FII</t>
        </is>
      </c>
      <c r="C99" s="27" t="inlineStr">
        <is>
          <t>BASÍLICA PARTNERS GDR FUNDO DE INVESTIMENTO IMOBILIÁRIO FII RESPONSABILIDADE LIMITADA</t>
        </is>
      </c>
      <c r="D99" s="27" t="n"/>
      <c r="E99" s="27" t="n"/>
      <c r="F99" s="27" t="n"/>
      <c r="G99" s="28" t="inlineStr">
        <is>
          <t>0,00</t>
        </is>
      </c>
      <c r="H99" s="28" t="n"/>
      <c r="I99" s="27" t="n"/>
    </row>
    <row r="100">
      <c r="A100" s="23" t="inlineStr">
        <is>
          <t>BPFF11</t>
        </is>
      </c>
      <c r="B100" s="24" t="inlineStr">
        <is>
          <t>FII</t>
        </is>
      </c>
      <c r="C100" s="24" t="inlineStr">
        <is>
          <t>BRASIL PLURAL ABSOLUTO FII RESPONSABILIDADE LIMITADA</t>
        </is>
      </c>
      <c r="D100" s="24" t="n"/>
      <c r="E100" s="24" t="inlineStr">
        <is>
          <t>17.324.357/0001-28</t>
        </is>
      </c>
      <c r="F100" s="24" t="inlineStr">
        <is>
          <t>Fundo de Fundos</t>
        </is>
      </c>
      <c r="G100" s="29" t="inlineStr">
        <is>
          <t>8,64</t>
        </is>
      </c>
      <c r="H100" s="29" t="n"/>
      <c r="I100" s="24" t="n"/>
    </row>
    <row r="101">
      <c r="A101" s="26" t="inlineStr">
        <is>
          <t>BPLC11</t>
        </is>
      </c>
      <c r="B101" s="27" t="inlineStr">
        <is>
          <t>FII</t>
        </is>
      </c>
      <c r="C101" s="27" t="inlineStr">
        <is>
          <t>BASÍLICA PARTNERS LED CORPORATE FUNDO DE INVESTIMENTO IMOBILIÁRIO FII</t>
        </is>
      </c>
      <c r="D101" s="27" t="n"/>
      <c r="E101" s="27" t="inlineStr">
        <is>
          <t>28.267.555/0001-13</t>
        </is>
      </c>
      <c r="F101" s="27" t="n"/>
      <c r="G101" s="28" t="inlineStr">
        <is>
          <t>0,00</t>
        </is>
      </c>
      <c r="H101" s="28" t="n"/>
      <c r="I101" s="27" t="n"/>
    </row>
    <row r="102">
      <c r="A102" s="23" t="inlineStr">
        <is>
          <t>BPML11</t>
        </is>
      </c>
      <c r="B102" s="24" t="inlineStr">
        <is>
          <t>FII</t>
        </is>
      </c>
      <c r="C102" s="24" t="inlineStr">
        <is>
          <t>BTG PACTUAL SHOPPINGS FUNDO DE INVESTIMENTO IMOBILIÁRIO RESPONSABILIDADE LIMITADA</t>
        </is>
      </c>
      <c r="D102" s="24" t="n">
        <v>95.17</v>
      </c>
      <c r="E102" s="24" t="inlineStr">
        <is>
          <t>33.046.142/0001-49</t>
        </is>
      </c>
      <c r="F102" s="24" t="inlineStr">
        <is>
          <t>Shoppings</t>
        </is>
      </c>
      <c r="G102" s="29" t="inlineStr">
        <is>
          <t>15,41</t>
        </is>
      </c>
      <c r="H102" s="29" t="n"/>
      <c r="I102" s="24" t="n"/>
    </row>
    <row r="103">
      <c r="A103" s="26" t="inlineStr">
        <is>
          <t>BPMW11</t>
        </is>
      </c>
      <c r="B103" s="27" t="inlineStr">
        <is>
          <t>FII</t>
        </is>
      </c>
      <c r="C103" s="27" t="inlineStr">
        <is>
          <t>BASÍLICA PARTNERS MEDWELL FUNDO DE INVESTIMENTO IMOBILIÁRIO FII RESPONSABILIDADE LIMITADA</t>
        </is>
      </c>
      <c r="D103" s="27" t="n"/>
      <c r="E103" s="27" t="n"/>
      <c r="F103" s="27" t="n"/>
      <c r="G103" s="28" t="inlineStr">
        <is>
          <t>0,00</t>
        </is>
      </c>
      <c r="H103" s="28" t="n"/>
      <c r="I103" s="27" t="n"/>
    </row>
    <row r="104">
      <c r="A104" s="23" t="inlineStr">
        <is>
          <t>BRCD11</t>
        </is>
      </c>
      <c r="B104" s="24" t="inlineStr">
        <is>
          <t>FII</t>
        </is>
      </c>
      <c r="C104" s="24" t="inlineStr">
        <is>
          <t>BRESCO DESENVOLVIMENTO FUNDO DE INVESTIMENTO IMOBILIÁRIO RESPONSABILIDADE LIMITADA</t>
        </is>
      </c>
      <c r="D104" s="24" t="n"/>
      <c r="E104" s="24" t="n"/>
      <c r="F104" s="24" t="n"/>
      <c r="G104" s="29" t="inlineStr">
        <is>
          <t>0,00</t>
        </is>
      </c>
      <c r="H104" s="29" t="n"/>
      <c r="I104" s="24" t="n"/>
    </row>
    <row r="105">
      <c r="A105" s="26" t="inlineStr">
        <is>
          <t>BRCO11</t>
        </is>
      </c>
      <c r="B105" s="27" t="inlineStr">
        <is>
          <t>FII</t>
        </is>
      </c>
      <c r="C105" s="27" t="inlineStr">
        <is>
          <t>BRESCO LOGÍSTICA FUNDO DE INVESTIMENTO IMOBILIÁRIO RESPONSABILIDADE LIMITADA</t>
        </is>
      </c>
      <c r="D105" s="27" t="n">
        <v>121.07</v>
      </c>
      <c r="E105" s="27" t="inlineStr">
        <is>
          <t>20.748.515/0001-81</t>
        </is>
      </c>
      <c r="F105" s="27" t="inlineStr">
        <is>
          <t>Logística</t>
        </is>
      </c>
      <c r="G105" s="28" t="inlineStr">
        <is>
          <t>8,81</t>
        </is>
      </c>
      <c r="H105" s="28" t="n"/>
      <c r="I105" s="27" t="n"/>
    </row>
    <row r="106">
      <c r="A106" s="23" t="inlineStr">
        <is>
          <t>BRCR11</t>
        </is>
      </c>
      <c r="B106" s="24" t="inlineStr">
        <is>
          <t>FII</t>
        </is>
      </c>
      <c r="C106" s="24" t="inlineStr">
        <is>
          <t>BTG PACTUAL CORPORATE OFFICE FUND - FUNDO DE INVESTIMENTO IMOBILIÁRIO RESPONSABILIDADE LIMITADA</t>
        </is>
      </c>
      <c r="D106" s="24" t="n">
        <v>48.26</v>
      </c>
      <c r="E106" s="24" t="inlineStr">
        <is>
          <t>08.924.783/0001-01</t>
        </is>
      </c>
      <c r="F106" s="24" t="inlineStr">
        <is>
          <t>Escritórios</t>
        </is>
      </c>
      <c r="G106" s="29" t="inlineStr">
        <is>
          <t>10,36</t>
        </is>
      </c>
      <c r="H106" s="29" t="n"/>
      <c r="I106" s="24" t="n"/>
    </row>
    <row r="107">
      <c r="A107" s="26" t="inlineStr">
        <is>
          <t>BRHT11</t>
        </is>
      </c>
      <c r="B107" s="27" t="inlineStr">
        <is>
          <t>FII</t>
        </is>
      </c>
      <c r="C107" s="27" t="inlineStr">
        <is>
          <t>FUNDO DE INVESTIMENTO IMOBILIÁRIO BR HOTÉIS</t>
        </is>
      </c>
      <c r="D107" s="27" t="n">
        <v>0</v>
      </c>
      <c r="E107" s="27" t="n"/>
      <c r="F107" s="27" t="n"/>
      <c r="G107" s="28" t="inlineStr">
        <is>
          <t>0,00</t>
        </is>
      </c>
      <c r="H107" s="28" t="n"/>
      <c r="I107" s="27" t="n"/>
    </row>
    <row r="108">
      <c r="A108" s="23" t="inlineStr">
        <is>
          <t>BRIM11</t>
        </is>
      </c>
      <c r="B108" s="24" t="inlineStr">
        <is>
          <t>FII</t>
        </is>
      </c>
      <c r="C108" s="24" t="inlineStr">
        <is>
          <t>BRIO REAL ESTATE II - FUNDO DE INVESTIMENTO IMOBILIÁRIO - RESPONSABILIDADE LIMITADA</t>
        </is>
      </c>
      <c r="D108" s="24" t="n">
        <v>270</v>
      </c>
      <c r="E108" s="24" t="inlineStr">
        <is>
          <t>23.964.843/0001-03</t>
        </is>
      </c>
      <c r="F108" s="24" t="inlineStr">
        <is>
          <t>Desenvolvimento</t>
        </is>
      </c>
      <c r="G108" s="29" t="inlineStr">
        <is>
          <t>0,00</t>
        </is>
      </c>
      <c r="H108" s="29" t="n"/>
      <c r="I108" s="24" t="n"/>
    </row>
    <row r="109">
      <c r="A109" s="26" t="inlineStr">
        <is>
          <t>BRIP11</t>
        </is>
      </c>
      <c r="B109" s="27" t="inlineStr">
        <is>
          <t>FII</t>
        </is>
      </c>
      <c r="C109" s="27" t="inlineStr">
        <is>
          <t>BRIO REAL ESTATE III - FUNDO DE INVESTIMENTO IMOBILIÁRIO - RESPONSABILIDADE LIMITADA</t>
        </is>
      </c>
      <c r="D109" s="27" t="n">
        <v>444.99</v>
      </c>
      <c r="E109" s="27" t="inlineStr">
        <is>
          <t>34.895.752/0001-80</t>
        </is>
      </c>
      <c r="F109" s="27" t="inlineStr">
        <is>
          <t>Híbrido</t>
        </is>
      </c>
      <c r="G109" s="28" t="inlineStr">
        <is>
          <t>9,96</t>
        </is>
      </c>
      <c r="H109" s="28" t="n"/>
      <c r="I109" s="27" t="n"/>
    </row>
    <row r="110">
      <c r="A110" s="23" t="inlineStr">
        <is>
          <t>BROF11</t>
        </is>
      </c>
      <c r="B110" s="24" t="inlineStr">
        <is>
          <t>FII</t>
        </is>
      </c>
      <c r="C110" s="24" t="inlineStr">
        <is>
          <t>BRPR CORPORATE OFFICES FUNDO DE INVESTIMENTO IMOBILIÁRIO RESPONSABILIDADE LIMITADA</t>
        </is>
      </c>
      <c r="D110" s="24" t="n">
        <v>61.22</v>
      </c>
      <c r="E110" s="24" t="inlineStr">
        <is>
          <t>48.978.859/0001-04</t>
        </is>
      </c>
      <c r="F110" s="24" t="inlineStr">
        <is>
          <t>Híbrido</t>
        </is>
      </c>
      <c r="G110" s="29" t="inlineStr">
        <is>
          <t>10,62</t>
        </is>
      </c>
      <c r="H110" s="29" t="n"/>
      <c r="I110" s="24" t="n"/>
    </row>
    <row r="111">
      <c r="A111" s="26" t="inlineStr">
        <is>
          <t>BRSE11</t>
        </is>
      </c>
      <c r="B111" s="27" t="inlineStr">
        <is>
          <t>FII</t>
        </is>
      </c>
      <c r="C111" s="27" t="inlineStr">
        <is>
          <t>BR7 SENADO FUNDO DE INVESTIMENTO IMOBILIÁRIO</t>
        </is>
      </c>
      <c r="D111" s="27" t="n"/>
      <c r="E111" s="27" t="inlineStr">
        <is>
          <t>40.944.736/0001-32</t>
        </is>
      </c>
      <c r="F111" s="27" t="n"/>
      <c r="G111" s="28" t="inlineStr">
        <is>
          <t>0,00</t>
        </is>
      </c>
      <c r="H111" s="28" t="n"/>
      <c r="I111" s="27" t="n"/>
    </row>
    <row r="112">
      <c r="A112" s="23" t="inlineStr">
        <is>
          <t>BSLT11</t>
        </is>
      </c>
      <c r="B112" s="24" t="inlineStr">
        <is>
          <t>FII</t>
        </is>
      </c>
      <c r="C112" s="24" t="inlineStr">
        <is>
          <t>FUNDO DE INVESTIMENTOS IMOBILIÁRIOS DE PERMUTA FINANCEIRA LOTE5 (SENIOR) RESPONSABILIDADE LIMITADA</t>
        </is>
      </c>
      <c r="D112" s="24" t="n">
        <v>71.2</v>
      </c>
      <c r="E112" s="24" t="inlineStr">
        <is>
          <t>60.373.688/0001-87</t>
        </is>
      </c>
      <c r="F112" s="24" t="n"/>
      <c r="G112" s="29" t="inlineStr">
        <is>
          <t>0,00</t>
        </is>
      </c>
      <c r="H112" s="29" t="n"/>
      <c r="I112" s="24" t="n"/>
    </row>
    <row r="113">
      <c r="A113" s="26" t="inlineStr">
        <is>
          <t>BTAL11</t>
        </is>
      </c>
      <c r="B113" s="27" t="inlineStr">
        <is>
          <t>FII</t>
        </is>
      </c>
      <c r="C113" s="27" t="inlineStr">
        <is>
          <t>BTG PACTUAL AGRO LOGÍSTICA FUNDO DE INVESTIMENTO IMOBILIÁRIO RESPONSABILIDADE LIMITADA</t>
        </is>
      </c>
      <c r="D113" s="27" t="n">
        <v>90.20999999999999</v>
      </c>
      <c r="E113" s="27" t="inlineStr">
        <is>
          <t>36.642.244/0001-15</t>
        </is>
      </c>
      <c r="F113" s="27" t="inlineStr">
        <is>
          <t>Outros</t>
        </is>
      </c>
      <c r="G113" s="28" t="inlineStr">
        <is>
          <t>12,23</t>
        </is>
      </c>
      <c r="H113" s="28" t="n"/>
      <c r="I113" s="27" t="n"/>
    </row>
    <row r="114">
      <c r="A114" s="23" t="inlineStr">
        <is>
          <t>BTCI11</t>
        </is>
      </c>
      <c r="B114" s="24" t="inlineStr">
        <is>
          <t>FII</t>
        </is>
      </c>
      <c r="C114" s="24" t="inlineStr">
        <is>
          <t>BTG PACTUAL CRÉDITO IMOBILIÁRIO - FUNDO DE CRI - FI IMOBILIÁRIO RESPONSABILIDADE LIMITADA</t>
        </is>
      </c>
      <c r="D114" s="24" t="n">
        <v>9.279999999999999</v>
      </c>
      <c r="E114" s="24" t="inlineStr">
        <is>
          <t>09.552.812/0001-14</t>
        </is>
      </c>
      <c r="F114" s="24" t="inlineStr">
        <is>
          <t>CRIs</t>
        </is>
      </c>
      <c r="G114" s="29" t="inlineStr">
        <is>
          <t>12,52</t>
        </is>
      </c>
      <c r="H114" s="29" t="n"/>
      <c r="I114" s="24" t="n"/>
    </row>
    <row r="115">
      <c r="A115" s="26" t="inlineStr">
        <is>
          <t>BTHI11</t>
        </is>
      </c>
      <c r="B115" s="27" t="inlineStr">
        <is>
          <t>FII</t>
        </is>
      </c>
      <c r="C115" s="27" t="inlineStr">
        <is>
          <t>BTG HOTÉIS FUNDO DE INVESTIMENTO IMOBILIÁRIO RESPONSABILIDADE LIMITADA</t>
        </is>
      </c>
      <c r="D115" s="27" t="n">
        <v>45</v>
      </c>
      <c r="E115" s="27" t="inlineStr">
        <is>
          <t>18.308.516/0001-63</t>
        </is>
      </c>
      <c r="F115" s="27" t="inlineStr">
        <is>
          <t>Hotéis</t>
        </is>
      </c>
      <c r="G115" s="28" t="inlineStr">
        <is>
          <t>9,49</t>
        </is>
      </c>
      <c r="H115" s="28" t="n"/>
      <c r="I115" s="27" t="n"/>
    </row>
    <row r="116">
      <c r="A116" s="23" t="inlineStr">
        <is>
          <t>BTHR11</t>
        </is>
      </c>
      <c r="B116" s="24" t="inlineStr">
        <is>
          <t>FII</t>
        </is>
      </c>
      <c r="C116" s="24" t="inlineStr">
        <is>
          <t>BTG HOSPITALIDADE RETORNO TOTAL FUNDO DE INVESTIMENTO IMOBILIÁRIO RESPONSABILIDADE LIMITADA</t>
        </is>
      </c>
      <c r="D116" s="24" t="n"/>
      <c r="E116" s="24" t="inlineStr">
        <is>
          <t>60.329.826/0001-20</t>
        </is>
      </c>
      <c r="F116" s="24" t="n"/>
      <c r="G116" s="29" t="inlineStr">
        <is>
          <t>0,00</t>
        </is>
      </c>
      <c r="H116" s="29" t="n"/>
      <c r="I116" s="24" t="n"/>
    </row>
    <row r="117">
      <c r="A117" s="26" t="inlineStr">
        <is>
          <t>BTML11</t>
        </is>
      </c>
      <c r="B117" s="27" t="inlineStr">
        <is>
          <t>FII</t>
        </is>
      </c>
      <c r="C117" s="27" t="inlineStr">
        <is>
          <t>BARRA MALLS FUNDO DE INVESTIMENTO IMOBILIÁRIO</t>
        </is>
      </c>
      <c r="D117" s="27" t="n">
        <v>111.28</v>
      </c>
      <c r="E117" s="27" t="inlineStr">
        <is>
          <t>36.501.210/0001-00</t>
        </is>
      </c>
      <c r="F117" s="27" t="n"/>
      <c r="G117" s="28" t="inlineStr">
        <is>
          <t>11,82</t>
        </is>
      </c>
      <c r="H117" s="28" t="n"/>
      <c r="I117" s="27" t="n"/>
    </row>
    <row r="118">
      <c r="A118" s="23" t="inlineStr">
        <is>
          <t>BTRA11</t>
        </is>
      </c>
      <c r="B118" s="24" t="inlineStr">
        <is>
          <t>FII</t>
        </is>
      </c>
      <c r="C118" s="24" t="inlineStr">
        <is>
          <t>BTG PACTUAL TERRAS AGRÍCOLAS FUNDO DE INVESTIMENTO IMOBILIÁRIO RESPONSABILIDADE LIMITADA</t>
        </is>
      </c>
      <c r="D118" s="24" t="n">
        <v>67.59999999999999</v>
      </c>
      <c r="E118" s="24" t="inlineStr">
        <is>
          <t>41.076.607/0001-32</t>
        </is>
      </c>
      <c r="F118" s="24" t="inlineStr">
        <is>
          <t>Outros</t>
        </is>
      </c>
      <c r="G118" s="29" t="inlineStr">
        <is>
          <t>8,62</t>
        </is>
      </c>
      <c r="H118" s="29" t="n"/>
      <c r="I118" s="24" t="n"/>
    </row>
    <row r="119">
      <c r="A119" s="26" t="inlineStr">
        <is>
          <t>BTSG11</t>
        </is>
      </c>
      <c r="B119" s="27" t="inlineStr">
        <is>
          <t>FII</t>
        </is>
      </c>
      <c r="C119" s="27" t="inlineStr">
        <is>
          <t>BTSP I FUNDO DE INVESTIMENTO IMOBILIÁRIO FII RESPONSABILIDADE LIMITADA</t>
        </is>
      </c>
      <c r="D119" s="27" t="n">
        <v>146.92</v>
      </c>
      <c r="E119" s="27" t="inlineStr">
        <is>
          <t>36.098.375/0001-83</t>
        </is>
      </c>
      <c r="F119" s="27" t="inlineStr">
        <is>
          <t>Híbrido</t>
        </is>
      </c>
      <c r="G119" s="28" t="inlineStr">
        <is>
          <t>8,09</t>
        </is>
      </c>
      <c r="H119" s="28" t="n"/>
      <c r="I119" s="27" t="n"/>
    </row>
    <row r="120">
      <c r="A120" s="23" t="inlineStr">
        <is>
          <t>BTSI11</t>
        </is>
      </c>
      <c r="B120" s="24" t="inlineStr">
        <is>
          <t>FII</t>
        </is>
      </c>
      <c r="C120" s="24" t="inlineStr">
        <is>
          <t>BTSP II FUNDO DE INVESTIMENTO IMOBILIÁRIO FII RESPONSABILIDADE LIMITADA</t>
        </is>
      </c>
      <c r="D120" s="24" t="n">
        <v>109.59</v>
      </c>
      <c r="E120" s="24" t="inlineStr">
        <is>
          <t>36.930.464/0001-44</t>
        </is>
      </c>
      <c r="F120" s="24" t="n"/>
      <c r="G120" s="29" t="inlineStr">
        <is>
          <t>8,71</t>
        </is>
      </c>
      <c r="H120" s="29" t="n"/>
      <c r="I120" s="24" t="n"/>
    </row>
    <row r="121">
      <c r="A121" s="26" t="inlineStr">
        <is>
          <t>BTWR11</t>
        </is>
      </c>
      <c r="B121" s="27" t="inlineStr">
        <is>
          <t>FII</t>
        </is>
      </c>
      <c r="C121" s="27" t="inlineStr">
        <is>
          <t>BTOWERS FUNDO DE INVESTIMENTO IMOBILIÁRIO RESPONSABILIDADE LIMITADA</t>
        </is>
      </c>
      <c r="D121" s="27" t="n">
        <v>93.77</v>
      </c>
      <c r="E121" s="27" t="inlineStr">
        <is>
          <t>20.132.453/0001-89</t>
        </is>
      </c>
      <c r="F121" s="27" t="inlineStr">
        <is>
          <t>Escritórios</t>
        </is>
      </c>
      <c r="G121" s="28" t="inlineStr">
        <is>
          <t>8,58</t>
        </is>
      </c>
      <c r="H121" s="28" t="n"/>
      <c r="I121" s="27" t="n"/>
    </row>
    <row r="122">
      <c r="A122" s="23" t="inlineStr">
        <is>
          <t>BTYU11</t>
        </is>
      </c>
      <c r="B122" s="24" t="inlineStr">
        <is>
          <t>FII</t>
        </is>
      </c>
      <c r="C122" s="24" t="inlineStr">
        <is>
          <t>BTG PACTUAL YOU INC. DESENVOLVIMENTO IMOBILIÁRIO - FUNDO DE INVESTIMENTO IMOBILIÁRIO RESPONSABILIDAD</t>
        </is>
      </c>
      <c r="D122" s="24" t="n">
        <v>8.67</v>
      </c>
      <c r="E122" s="24" t="inlineStr">
        <is>
          <t>54.645.216/0001-33</t>
        </is>
      </c>
      <c r="F122" s="24" t="n"/>
      <c r="G122" s="29" t="inlineStr">
        <is>
          <t>16,25</t>
        </is>
      </c>
      <c r="H122" s="29" t="n"/>
      <c r="I122" s="24" t="n"/>
    </row>
    <row r="123">
      <c r="A123" s="26" t="inlineStr">
        <is>
          <t>BVAR11</t>
        </is>
      </c>
      <c r="B123" s="27" t="inlineStr">
        <is>
          <t>FII</t>
        </is>
      </c>
      <c r="C123" s="27" t="inlineStr">
        <is>
          <t>BRASIL VAREJO FUNDO DE INVESTIMENTO IMOBILIÁRIO RESPONSABILIDADE LIMITADA</t>
        </is>
      </c>
      <c r="D123" s="27" t="n">
        <v>1260.89</v>
      </c>
      <c r="E123" s="27" t="inlineStr">
        <is>
          <t>21.126.204/0001-43</t>
        </is>
      </c>
      <c r="F123" s="27" t="inlineStr">
        <is>
          <t>Varejo</t>
        </is>
      </c>
      <c r="G123" s="28" t="inlineStr">
        <is>
          <t>5,77</t>
        </is>
      </c>
      <c r="H123" s="28" t="n"/>
      <c r="I123" s="27" t="n"/>
    </row>
    <row r="124">
      <c r="A124" s="23" t="inlineStr">
        <is>
          <t>BZEL11</t>
        </is>
      </c>
      <c r="B124" s="24" t="inlineStr">
        <is>
          <t>FII</t>
        </is>
      </c>
      <c r="C124" s="24" t="inlineStr">
        <is>
          <t>BARZEL CD1 FUNDO DE INVESTIMENTO IMOBILIARIO RESPONSABILIDADE LIMITADA</t>
        </is>
      </c>
      <c r="D124" s="24" t="n"/>
      <c r="E124" s="24" t="inlineStr">
        <is>
          <t>35.507.610/0001-60</t>
        </is>
      </c>
      <c r="F124" s="24" t="n"/>
      <c r="G124" s="29" t="inlineStr">
        <is>
          <t>0,00</t>
        </is>
      </c>
      <c r="H124" s="29" t="n"/>
      <c r="I124" s="24" t="n"/>
    </row>
    <row r="125">
      <c r="A125" s="26" t="inlineStr">
        <is>
          <t>CACR11</t>
        </is>
      </c>
      <c r="B125" s="27" t="inlineStr">
        <is>
          <t>FII</t>
        </is>
      </c>
      <c r="C125" s="27" t="inlineStr">
        <is>
          <t>CARTESIA RECEBÍVEIS IMOBILIÁRIOS - FUNDO DE INVESTIMENTO IMOBILIÁRIO DE RESPONSABILIDADE LIMITADA</t>
        </is>
      </c>
      <c r="D125" s="27" t="n">
        <v>80.34999999999999</v>
      </c>
      <c r="E125" s="27" t="inlineStr">
        <is>
          <t>32.065.364/0001-46</t>
        </is>
      </c>
      <c r="F125" s="27" t="inlineStr">
        <is>
          <t>CRIs</t>
        </is>
      </c>
      <c r="G125" s="28" t="inlineStr">
        <is>
          <t>19,89</t>
        </is>
      </c>
      <c r="H125" s="28" t="n"/>
      <c r="I125" s="27" t="n"/>
    </row>
    <row r="126">
      <c r="A126" s="23" t="inlineStr">
        <is>
          <t>CARE11</t>
        </is>
      </c>
      <c r="B126" s="24" t="inlineStr">
        <is>
          <t>FII</t>
        </is>
      </c>
      <c r="C126" s="24" t="inlineStr">
        <is>
          <t>BRAZILIAN GRAVEYARD AND DEATH CARE SERVICES FUNDO DE INVESTIMENTO IMOBILIÁRIO - FII RESP LIMITADA</t>
        </is>
      </c>
      <c r="D126" s="24" t="n">
        <v>5.11</v>
      </c>
      <c r="E126" s="24" t="inlineStr">
        <is>
          <t>13.584.584/0001-31</t>
        </is>
      </c>
      <c r="F126" s="24" t="inlineStr">
        <is>
          <t>Outros</t>
        </is>
      </c>
      <c r="G126" s="29" t="inlineStr">
        <is>
          <t>0,00</t>
        </is>
      </c>
      <c r="H126" s="29" t="n"/>
      <c r="I126" s="24" t="n"/>
    </row>
    <row r="127">
      <c r="A127" s="26" t="inlineStr">
        <is>
          <t>CBOP11</t>
        </is>
      </c>
      <c r="B127" s="27" t="inlineStr">
        <is>
          <t>FII</t>
        </is>
      </c>
      <c r="C127" s="27" t="inlineStr">
        <is>
          <t>CASTELLO BRANCO OFFICE PARK - FUNDO DE INVESTIMENTO IMOBILIÁRIO - RESPONSABILIDADE LIMITADA</t>
        </is>
      </c>
      <c r="D127" s="27" t="n">
        <v>38.53</v>
      </c>
      <c r="E127" s="27" t="inlineStr">
        <is>
          <t>17.144.039/0001-85</t>
        </is>
      </c>
      <c r="F127" s="27" t="inlineStr">
        <is>
          <t>Escritórios</t>
        </is>
      </c>
      <c r="G127" s="28" t="inlineStr">
        <is>
          <t>5,76</t>
        </is>
      </c>
      <c r="H127" s="28" t="n"/>
      <c r="I127" s="27" t="n"/>
    </row>
    <row r="128">
      <c r="A128" s="23" t="inlineStr">
        <is>
          <t>CCME11</t>
        </is>
      </c>
      <c r="B128" s="24" t="inlineStr">
        <is>
          <t>FII</t>
        </is>
      </c>
      <c r="C128" s="24" t="inlineStr">
        <is>
          <t>CANUMA CAPITAL MULTIESTRATÉGIA FUNDO DE INVESTIMENTO IMOBILIÁRIO RESPONSABILIDADE LIMITADA</t>
        </is>
      </c>
      <c r="D128" s="24" t="n">
        <v>8.84</v>
      </c>
      <c r="E128" s="24" t="inlineStr">
        <is>
          <t>43.010.844/0001-26</t>
        </is>
      </c>
      <c r="F128" s="24" t="n"/>
      <c r="G128" s="29" t="inlineStr">
        <is>
          <t>11,47</t>
        </is>
      </c>
      <c r="H128" s="29" t="n"/>
      <c r="I128" s="24" t="n"/>
    </row>
    <row r="129">
      <c r="A129" s="26" t="inlineStr">
        <is>
          <t>CCVA11</t>
        </is>
      </c>
      <c r="B129" s="27" t="inlineStr">
        <is>
          <t>FII</t>
        </is>
      </c>
      <c r="C129" s="27" t="inlineStr">
        <is>
          <t>CANUMA CAPITAL RENDA VAREJO FUNDO DE INVESTIMENTO IMOBILIÁRIO RESPONSABILIDADE LIMITADA</t>
        </is>
      </c>
      <c r="D129" s="27" t="n">
        <v>100.07</v>
      </c>
      <c r="E129" s="27" t="inlineStr">
        <is>
          <t>52.713.882/0001-36</t>
        </is>
      </c>
      <c r="F129" s="27" t="n"/>
      <c r="G129" s="28" t="inlineStr">
        <is>
          <t>7,54</t>
        </is>
      </c>
      <c r="H129" s="28" t="n"/>
      <c r="I129" s="27" t="n"/>
    </row>
    <row r="130">
      <c r="A130" s="23" t="inlineStr">
        <is>
          <t>CDHY11</t>
        </is>
      </c>
      <c r="B130" s="24" t="inlineStr">
        <is>
          <t>FII</t>
        </is>
      </c>
      <c r="C130" s="24" t="inlineStr">
        <is>
          <t>CENTRAL REAL ESTATE HIGH YIELD DEBT FUNDO DE INVESTIMENTO IMOBILIÁRIO RESPONSABILIDADE LIMITADA</t>
        </is>
      </c>
      <c r="D130" s="24" t="n"/>
      <c r="E130" s="24" t="n"/>
      <c r="F130" s="24" t="n"/>
      <c r="G130" s="29" t="inlineStr">
        <is>
          <t>0,00</t>
        </is>
      </c>
      <c r="H130" s="29" t="n"/>
      <c r="I130" s="24" t="n"/>
    </row>
    <row r="131">
      <c r="A131" s="26" t="inlineStr">
        <is>
          <t>CEBB11</t>
        </is>
      </c>
      <c r="B131" s="27" t="inlineStr">
        <is>
          <t>FII</t>
        </is>
      </c>
      <c r="C131" s="27" t="inlineStr">
        <is>
          <t>BALTIMORE FUNDO DE INVESTIMENTO IMOBILIÁRIO DE RESPONSABILIDADE LIMITADA</t>
        </is>
      </c>
      <c r="D131" s="27" t="n"/>
      <c r="E131" s="27" t="n"/>
      <c r="F131" s="27" t="n"/>
      <c r="G131" s="28" t="inlineStr">
        <is>
          <t>0,00</t>
        </is>
      </c>
      <c r="H131" s="28" t="n"/>
      <c r="I131" s="27" t="n"/>
    </row>
    <row r="132">
      <c r="A132" s="23" t="inlineStr">
        <is>
          <t>CENU11</t>
        </is>
      </c>
      <c r="B132" s="24" t="inlineStr">
        <is>
          <t>FII</t>
        </is>
      </c>
      <c r="C132" s="24" t="inlineStr">
        <is>
          <t>CENU - FUNDO DE INVESTIMENTO IMOBILIÁRIO RESPONSABILIDADE LIMITADA</t>
        </is>
      </c>
      <c r="D132" s="24" t="n">
        <v>100</v>
      </c>
      <c r="E132" s="24" t="inlineStr">
        <is>
          <t>37.899.356/0001-19</t>
        </is>
      </c>
      <c r="F132" s="24" t="n"/>
      <c r="G132" s="29" t="inlineStr">
        <is>
          <t>0,00</t>
        </is>
      </c>
      <c r="H132" s="29" t="n"/>
      <c r="I132" s="24" t="n"/>
    </row>
    <row r="133">
      <c r="A133" s="26" t="inlineStr">
        <is>
          <t>CEOC11</t>
        </is>
      </c>
      <c r="B133" s="27" t="inlineStr">
        <is>
          <t>FII</t>
        </is>
      </c>
      <c r="C133" s="27" t="inlineStr">
        <is>
          <t>FUNDO DE INVESTIMENTO IMOBILIÁRIO - FII CEO CYRELA COMMERCIAL PROPERTIES RESPONSABILIDADE LIMITADA</t>
        </is>
      </c>
      <c r="D133" s="27" t="n">
        <v>43.92</v>
      </c>
      <c r="E133" s="27" t="inlineStr">
        <is>
          <t>15.799.397/0001-09</t>
        </is>
      </c>
      <c r="F133" s="27" t="inlineStr">
        <is>
          <t>Escritórios</t>
        </is>
      </c>
      <c r="G133" s="28" t="inlineStr">
        <is>
          <t>12,93</t>
        </is>
      </c>
      <c r="H133" s="28" t="n"/>
      <c r="I133" s="27" t="n"/>
    </row>
    <row r="134">
      <c r="A134" s="23" t="inlineStr">
        <is>
          <t>CFHI11</t>
        </is>
      </c>
      <c r="B134" s="24" t="inlineStr">
        <is>
          <t>FII</t>
        </is>
      </c>
      <c r="C134" s="24" t="inlineStr">
        <is>
          <t>CF2 FUNDO DE INVESTIMENTO IMOBILIÁRIO RESPONSABILIDADE LIMITADA</t>
        </is>
      </c>
      <c r="D134" s="24" t="n"/>
      <c r="E134" s="24" t="inlineStr">
        <is>
          <t>34.508.923/0001-70</t>
        </is>
      </c>
      <c r="F134" s="24" t="inlineStr">
        <is>
          <t>Desenvolvimento</t>
        </is>
      </c>
      <c r="G134" s="29" t="inlineStr">
        <is>
          <t>308,56</t>
        </is>
      </c>
      <c r="H134" s="29" t="n"/>
      <c r="I134" s="24" t="n"/>
    </row>
    <row r="135">
      <c r="A135" s="26" t="inlineStr">
        <is>
          <t>CFII11</t>
        </is>
      </c>
      <c r="B135" s="27" t="inlineStr">
        <is>
          <t>FII</t>
        </is>
      </c>
      <c r="C135" s="27" t="inlineStr">
        <is>
          <t>CF3 FUNDO DE INVESTIMENTO IMOBILIÁRIO</t>
        </is>
      </c>
      <c r="D135" s="27" t="n">
        <v>768.97</v>
      </c>
      <c r="E135" s="27" t="inlineStr">
        <is>
          <t>41.325.993/0001-59</t>
        </is>
      </c>
      <c r="F135" s="27" t="n"/>
      <c r="G135" s="28" t="inlineStr">
        <is>
          <t>31,57</t>
        </is>
      </c>
      <c r="H135" s="28" t="n"/>
      <c r="I135" s="27" t="n"/>
    </row>
    <row r="136">
      <c r="A136" s="23" t="inlineStr">
        <is>
          <t>CIXF11</t>
        </is>
      </c>
      <c r="B136" s="24" t="inlineStr">
        <is>
          <t>FII</t>
        </is>
      </c>
      <c r="C136" s="24" t="inlineStr">
        <is>
          <t>CIX RETROFIT FUNDO DE INVESTIMENTO IMOBILIÁRIO RESPONSABILIDADE LIMITADA</t>
        </is>
      </c>
      <c r="D136" s="24" t="n">
        <v>114.52</v>
      </c>
      <c r="E136" s="24" t="n"/>
      <c r="F136" s="24" t="n"/>
      <c r="G136" s="29" t="inlineStr">
        <is>
          <t>0,00</t>
        </is>
      </c>
      <c r="H136" s="29" t="n"/>
      <c r="I136" s="24" t="n"/>
    </row>
    <row r="137">
      <c r="A137" s="26" t="inlineStr">
        <is>
          <t>CIXM11</t>
        </is>
      </c>
      <c r="B137" s="27" t="inlineStr">
        <is>
          <t>FII</t>
        </is>
      </c>
      <c r="C137" s="27" t="inlineStr">
        <is>
          <t>CIX MUIRAQUITAN FUNDO DE INVESTIMENTO IMOBILIÁRIO RESPONSABILIDADE LIMITADA</t>
        </is>
      </c>
      <c r="D137" s="27" t="n"/>
      <c r="E137" s="27" t="inlineStr">
        <is>
          <t>48.389.780/0001-30</t>
        </is>
      </c>
      <c r="F137" s="27" t="n"/>
      <c r="G137" s="28" t="inlineStr">
        <is>
          <t>0,00</t>
        </is>
      </c>
      <c r="H137" s="28" t="n"/>
      <c r="I137" s="27" t="n"/>
    </row>
    <row r="138">
      <c r="A138" s="23" t="inlineStr">
        <is>
          <t>CJCT11</t>
        </is>
      </c>
      <c r="B138" s="24" t="inlineStr">
        <is>
          <t>FII</t>
        </is>
      </c>
      <c r="C138" s="24" t="inlineStr">
        <is>
          <t>CIDADE JARDIM CONTINENTAL TOWER FUNDO DE INVESTIMENTO IMOBILIÁRIO DE RESPONSABILIDADE LIMITADA</t>
        </is>
      </c>
      <c r="D138" s="24" t="n">
        <v>63</v>
      </c>
      <c r="E138" s="24" t="inlineStr">
        <is>
          <t>10.347.985/0001-80</t>
        </is>
      </c>
      <c r="F138" s="24" t="inlineStr">
        <is>
          <t>Escritórios</t>
        </is>
      </c>
      <c r="G138" s="29" t="inlineStr">
        <is>
          <t>4,43</t>
        </is>
      </c>
      <c r="H138" s="29" t="n"/>
      <c r="I138" s="24" t="n"/>
    </row>
    <row r="139">
      <c r="A139" s="26" t="inlineStr">
        <is>
          <t>CLIN11</t>
        </is>
      </c>
      <c r="B139" s="27" t="inlineStr">
        <is>
          <t>FII</t>
        </is>
      </c>
      <c r="C139" s="27" t="inlineStr">
        <is>
          <t>CLAVE ÍNDICES DE PREÇOS FUNDO DE INVESTIMENTO IMOBILIÁRIO RESPONSABILIDADE LIMITADA</t>
        </is>
      </c>
      <c r="D139" s="27" t="n">
        <v>92.06</v>
      </c>
      <c r="E139" s="27" t="inlineStr">
        <is>
          <t>49.005.348/0001-60</t>
        </is>
      </c>
      <c r="F139" s="27" t="inlineStr">
        <is>
          <t>CRIs</t>
        </is>
      </c>
      <c r="G139" s="28" t="inlineStr">
        <is>
          <t>13,24</t>
        </is>
      </c>
      <c r="H139" s="28" t="n"/>
      <c r="I139" s="27" t="n"/>
    </row>
    <row r="140">
      <c r="A140" s="23" t="inlineStr">
        <is>
          <t>CNES11</t>
        </is>
      </c>
      <c r="B140" s="24" t="inlineStr">
        <is>
          <t>FII</t>
        </is>
      </c>
      <c r="C140" s="24" t="inlineStr">
        <is>
          <t>CENESP FUNDO DE INVESTIMENTO IMOBILIÁRIO RESPONSABILIDADE LIMITADA</t>
        </is>
      </c>
      <c r="D140" s="24" t="n">
        <v>1.73</v>
      </c>
      <c r="E140" s="24" t="inlineStr">
        <is>
          <t>13.551.286/0001-45</t>
        </is>
      </c>
      <c r="F140" s="24" t="inlineStr">
        <is>
          <t>Escritórios</t>
        </is>
      </c>
      <c r="G140" s="29" t="inlineStr">
        <is>
          <t>4,30</t>
        </is>
      </c>
      <c r="H140" s="29" t="n"/>
      <c r="I140" s="24" t="n"/>
    </row>
    <row r="141">
      <c r="A141" s="26" t="inlineStr">
        <is>
          <t>CPLG11</t>
        </is>
      </c>
      <c r="B141" s="27" t="inlineStr">
        <is>
          <t>FII</t>
        </is>
      </c>
      <c r="C141" s="27" t="inlineStr">
        <is>
          <t>CAPITÂNIA LOGÍSTICA FUNDO DE INVESTIMENTO IMOBILIÁRIO - FII</t>
        </is>
      </c>
      <c r="D141" s="27" t="n">
        <v>12.09</v>
      </c>
      <c r="E141" s="27" t="inlineStr">
        <is>
          <t>52.371.756/0001-40</t>
        </is>
      </c>
      <c r="F141" s="27" t="n"/>
      <c r="G141" s="28" t="inlineStr">
        <is>
          <t>10,56</t>
        </is>
      </c>
      <c r="H141" s="28" t="n"/>
      <c r="I141" s="27" t="n"/>
    </row>
    <row r="142">
      <c r="A142" s="23" t="inlineStr">
        <is>
          <t>CPOF11</t>
        </is>
      </c>
      <c r="B142" s="24" t="inlineStr">
        <is>
          <t>FII</t>
        </is>
      </c>
      <c r="C142" s="24" t="inlineStr">
        <is>
          <t>CAPITÂNIA OFFICE FII - FUNDO DE INVESTIMENTO IMOBILIÁRIO</t>
        </is>
      </c>
      <c r="D142" s="24" t="n">
        <v>109.8</v>
      </c>
      <c r="E142" s="24" t="inlineStr">
        <is>
          <t>48.916.699/0001-60</t>
        </is>
      </c>
      <c r="F142" s="24" t="n"/>
      <c r="G142" s="29" t="inlineStr">
        <is>
          <t>5,56</t>
        </is>
      </c>
      <c r="H142" s="29" t="n"/>
      <c r="I142" s="24" t="n"/>
    </row>
    <row r="143">
      <c r="A143" s="26" t="inlineStr">
        <is>
          <t>CPUR11</t>
        </is>
      </c>
      <c r="B143" s="27" t="inlineStr">
        <is>
          <t>FII</t>
        </is>
      </c>
      <c r="C143" s="27" t="inlineStr">
        <is>
          <t>CAPITÂNIA HBC RENDA URBANA FUNDO DE INVESTIMENTO IMOBILIÁRIO RESPONSABILIDADE LIMITADA</t>
        </is>
      </c>
      <c r="D143" s="27" t="n">
        <v>10.39</v>
      </c>
      <c r="E143" s="27" t="inlineStr">
        <is>
          <t>34.691.520/0001-00</t>
        </is>
      </c>
      <c r="F143" s="27" t="n"/>
      <c r="G143" s="28" t="inlineStr">
        <is>
          <t>10,71</t>
        </is>
      </c>
      <c r="H143" s="28" t="n"/>
      <c r="I143" s="27" t="n"/>
    </row>
    <row r="144">
      <c r="A144" s="23" t="inlineStr">
        <is>
          <t>CRFF11</t>
        </is>
      </c>
      <c r="B144" s="24" t="inlineStr">
        <is>
          <t>FII</t>
        </is>
      </c>
      <c r="C144" s="24" t="inlineStr">
        <is>
          <t>CAIXA RIO BRAVO FUNDO DE FUNDOS DE INVESTIMENTO IMOBILIÁRIO II</t>
        </is>
      </c>
      <c r="D144" s="24" t="n">
        <v>76.09999999999999</v>
      </c>
      <c r="E144" s="24" t="inlineStr">
        <is>
          <t>31.887.401/0001-39</t>
        </is>
      </c>
      <c r="F144" s="24" t="inlineStr">
        <is>
          <t>Fundo de Fundos</t>
        </is>
      </c>
      <c r="G144" s="29" t="inlineStr">
        <is>
          <t>10,53</t>
        </is>
      </c>
      <c r="H144" s="29" t="n"/>
      <c r="I144" s="24" t="n"/>
    </row>
    <row r="145">
      <c r="A145" s="26" t="inlineStr">
        <is>
          <t>CSMC11</t>
        </is>
      </c>
      <c r="B145" s="27" t="inlineStr">
        <is>
          <t>FII</t>
        </is>
      </c>
      <c r="C145" s="27" t="inlineStr">
        <is>
          <t>COSMIC FUNDO DE INVESTIMENTO IMOBILIÁRIO DE RESPONSABILIDADE LIMITADA</t>
        </is>
      </c>
      <c r="D145" s="27" t="n"/>
      <c r="E145" s="27" t="inlineStr">
        <is>
          <t>41.081.336/0001-03</t>
        </is>
      </c>
      <c r="F145" s="27" t="n"/>
      <c r="G145" s="28" t="inlineStr">
        <is>
          <t>0,00</t>
        </is>
      </c>
      <c r="H145" s="28" t="n"/>
      <c r="I145" s="27" t="n"/>
    </row>
    <row r="146">
      <c r="A146" s="23" t="inlineStr">
        <is>
          <t>CTXT11</t>
        </is>
      </c>
      <c r="B146" s="24" t="inlineStr">
        <is>
          <t>FII</t>
        </is>
      </c>
      <c r="C146" s="24" t="inlineStr">
        <is>
          <t>CENTRO TÊXTIL INTERNACIONAL FUNDO DE INVESTIMENTO IMOBILIÁRIO DE RESPONSABILIDADE LIMITADA</t>
        </is>
      </c>
      <c r="D146" s="24" t="n">
        <v>5.7</v>
      </c>
      <c r="E146" s="24" t="inlineStr">
        <is>
          <t>00.762.723/0001-28</t>
        </is>
      </c>
      <c r="F146" s="24" t="inlineStr">
        <is>
          <t>Outros</t>
        </is>
      </c>
      <c r="G146" s="29" t="inlineStr">
        <is>
          <t>0,00</t>
        </is>
      </c>
      <c r="H146" s="29" t="n"/>
      <c r="I146" s="24" t="n"/>
    </row>
    <row r="147">
      <c r="A147" s="26" t="inlineStr">
        <is>
          <t>PCIP11</t>
        </is>
      </c>
      <c r="B147" s="27" t="inlineStr">
        <is>
          <t>FII</t>
        </is>
      </c>
      <c r="C147" s="27" t="inlineStr">
        <is>
          <t>Patria Crédito Imobiliário Índice de Preços Fundo de</t>
        </is>
      </c>
      <c r="D147" s="27" t="n">
        <v>85.73</v>
      </c>
      <c r="E147" s="27" t="inlineStr">
        <is>
          <t>28.729.197/0001-13</t>
        </is>
      </c>
      <c r="F147" s="27" t="inlineStr">
        <is>
          <t>CRIs</t>
        </is>
      </c>
      <c r="G147" s="28" t="inlineStr">
        <is>
          <t>13,29</t>
        </is>
      </c>
      <c r="H147" s="28" t="n"/>
      <c r="I147" s="27" t="n"/>
    </row>
    <row r="148">
      <c r="A148" s="23" t="inlineStr">
        <is>
          <t>CVPR11</t>
        </is>
      </c>
      <c r="B148" s="24" t="inlineStr">
        <is>
          <t>FII</t>
        </is>
      </c>
      <c r="C148" s="24" t="inlineStr">
        <is>
          <t>CVPAR FUNDO DE INVESTIMENTO IMOBILIÁRIO DE CRI RESPONSABILIDADE LIMITADA</t>
        </is>
      </c>
      <c r="D148" s="24" t="n"/>
      <c r="E148" s="24" t="inlineStr">
        <is>
          <t>38.294.329/0001-85</t>
        </is>
      </c>
      <c r="F148" s="24" t="n"/>
      <c r="G148" s="29" t="inlineStr">
        <is>
          <t>0,00</t>
        </is>
      </c>
      <c r="H148" s="29" t="n"/>
      <c r="I148" s="24" t="n"/>
    </row>
    <row r="149">
      <c r="A149" s="26" t="inlineStr">
        <is>
          <t>CXAG11</t>
        </is>
      </c>
      <c r="B149" s="27" t="inlineStr">
        <is>
          <t>FII</t>
        </is>
      </c>
      <c r="C149" s="27" t="inlineStr">
        <is>
          <t>FUNDO DE INVESTIMENTO IMOBILIÁRIO CAIXA AGÊNCIAS - RESPONSABILIDADE LIMITADA</t>
        </is>
      </c>
      <c r="D149" s="27" t="n">
        <v>77.01000000000001</v>
      </c>
      <c r="E149" s="27" t="inlineStr">
        <is>
          <t>40.189.596/0001-34</t>
        </is>
      </c>
      <c r="F149" s="27" t="inlineStr">
        <is>
          <t>Outros</t>
        </is>
      </c>
      <c r="G149" s="28" t="inlineStr">
        <is>
          <t>11,80</t>
        </is>
      </c>
      <c r="H149" s="28" t="n"/>
      <c r="I149" s="27" t="n"/>
    </row>
    <row r="150">
      <c r="A150" s="23" t="inlineStr">
        <is>
          <t>CXCE11</t>
        </is>
      </c>
      <c r="B150" s="24" t="inlineStr">
        <is>
          <t>FII</t>
        </is>
      </c>
      <c r="C150" s="24" t="inlineStr">
        <is>
          <t>FUNDO DE INVESTIMENTO IMOBILIARIO CAIXA CEDAE</t>
        </is>
      </c>
      <c r="D150" s="24" t="n">
        <v>41</v>
      </c>
      <c r="E150" s="24" t="inlineStr">
        <is>
          <t>10.991.914/0001-15</t>
        </is>
      </c>
      <c r="F150" s="24" t="n"/>
      <c r="G150" s="29" t="inlineStr">
        <is>
          <t>14,49</t>
        </is>
      </c>
      <c r="H150" s="29" t="n"/>
      <c r="I150" s="24" t="n"/>
    </row>
    <row r="151">
      <c r="A151" s="26" t="inlineStr">
        <is>
          <t>CXCI11</t>
        </is>
      </c>
      <c r="B151" s="27" t="inlineStr">
        <is>
          <t>FII</t>
        </is>
      </c>
      <c r="C151" s="27" t="inlineStr">
        <is>
          <t>FUNDO DE INVESTIMENTO IMOBILIÁRIO CAIXA CARTEIRA IMOBILIÁRIA</t>
        </is>
      </c>
      <c r="D151" s="27" t="n">
        <v>73.5</v>
      </c>
      <c r="E151" s="27" t="inlineStr">
        <is>
          <t>42.066.916/0001-94</t>
        </is>
      </c>
      <c r="F151" s="27" t="inlineStr">
        <is>
          <t>Fundo de Fundos</t>
        </is>
      </c>
      <c r="G151" s="28" t="inlineStr">
        <is>
          <t>12,72</t>
        </is>
      </c>
      <c r="H151" s="28" t="n"/>
      <c r="I151" s="27" t="n"/>
    </row>
    <row r="152">
      <c r="A152" s="23" t="inlineStr">
        <is>
          <t>CXCO11</t>
        </is>
      </c>
      <c r="B152" s="24" t="inlineStr">
        <is>
          <t>FII</t>
        </is>
      </c>
      <c r="C152" s="24" t="inlineStr">
        <is>
          <t>CAIXA IMÓVEIS CORPORATIVOS FUNDO DE INVESTIMENTO IMOBILIÁRIO - RESPONSABILIDADE LIMITADA</t>
        </is>
      </c>
      <c r="D152" s="24" t="n">
        <v>71.81999999999999</v>
      </c>
      <c r="E152" s="24" t="inlineStr">
        <is>
          <t>38.658.984/0001-75</t>
        </is>
      </c>
      <c r="F152" s="24" t="inlineStr">
        <is>
          <t>Escritórios</t>
        </is>
      </c>
      <c r="G152" s="29" t="inlineStr">
        <is>
          <t>12,29</t>
        </is>
      </c>
      <c r="H152" s="29" t="n"/>
      <c r="I152" s="24" t="n"/>
    </row>
    <row r="153">
      <c r="A153" s="26" t="inlineStr">
        <is>
          <t>CXRI11</t>
        </is>
      </c>
      <c r="B153" s="27" t="inlineStr">
        <is>
          <t>FII</t>
        </is>
      </c>
      <c r="C153" s="27" t="inlineStr">
        <is>
          <t>CAIXA RIO BRAVO FUNDO DE FUNDOS DE INVESTIMENTO IMOBILIARIO - FII</t>
        </is>
      </c>
      <c r="D153" s="27" t="n">
        <v>65.25</v>
      </c>
      <c r="E153" s="27" t="inlineStr">
        <is>
          <t>17.098.794/0001-70</t>
        </is>
      </c>
      <c r="F153" s="27" t="inlineStr">
        <is>
          <t>Fundo de Fundos</t>
        </is>
      </c>
      <c r="G153" s="28" t="inlineStr">
        <is>
          <t>11,88</t>
        </is>
      </c>
      <c r="H153" s="28" t="n"/>
      <c r="I153" s="27" t="n"/>
    </row>
    <row r="154">
      <c r="A154" s="23" t="inlineStr">
        <is>
          <t>CXTL11</t>
        </is>
      </c>
      <c r="B154" s="24" t="inlineStr">
        <is>
          <t>FII</t>
        </is>
      </c>
      <c r="C154" s="24" t="inlineStr">
        <is>
          <t>FUNDO DE INVESTIMENTO IMOBILIARIO CAIXA SEQ LOGISTICA RENDA</t>
        </is>
      </c>
      <c r="D154" s="24" t="n">
        <v>340.63</v>
      </c>
      <c r="E154" s="24" t="inlineStr">
        <is>
          <t>12.887.506/0001-43</t>
        </is>
      </c>
      <c r="F154" s="24" t="inlineStr">
        <is>
          <t>Logística</t>
        </is>
      </c>
      <c r="G154" s="29" t="inlineStr">
        <is>
          <t>2,99</t>
        </is>
      </c>
      <c r="H154" s="29" t="n"/>
      <c r="I154" s="24" t="n"/>
    </row>
    <row r="155">
      <c r="A155" s="26" t="inlineStr">
        <is>
          <t>CYCR11</t>
        </is>
      </c>
      <c r="B155" s="27" t="inlineStr">
        <is>
          <t>FII</t>
        </is>
      </c>
      <c r="C155" s="27" t="inlineStr">
        <is>
          <t>CYRELA CRÉDITO - FUNDO DE INVESTIMENTO IMOBILIÁRIO - RESPONSABILIDADE LIMITADA</t>
        </is>
      </c>
      <c r="D155" s="27" t="n">
        <v>9.039999999999999</v>
      </c>
      <c r="E155" s="27" t="inlineStr">
        <is>
          <t>36.501.233/0001-15</t>
        </is>
      </c>
      <c r="F155" s="27" t="inlineStr">
        <is>
          <t>CRIs</t>
        </is>
      </c>
      <c r="G155" s="28" t="inlineStr">
        <is>
          <t>14,31</t>
        </is>
      </c>
      <c r="H155" s="28" t="inlineStr">
        <is>
          <t>0,00</t>
        </is>
      </c>
      <c r="I155" s="27" t="n"/>
    </row>
    <row r="156">
      <c r="A156" s="23" t="inlineStr">
        <is>
          <t>CYLD11</t>
        </is>
      </c>
      <c r="B156" s="24" t="inlineStr">
        <is>
          <t>FII</t>
        </is>
      </c>
      <c r="C156" s="24" t="inlineStr">
        <is>
          <t>CYRELA DESENVOLVIMENTO LOGÍSTICO FUNDO DE INVESTIMENTO IMOBILIÁRIO RESPONSABILIDADE LIMITADA</t>
        </is>
      </c>
      <c r="D156" s="24" t="n">
        <v>149.73</v>
      </c>
      <c r="E156" s="24" t="inlineStr">
        <is>
          <t>43.010.601/0001-98</t>
        </is>
      </c>
      <c r="F156" s="24" t="n"/>
      <c r="G156" s="29" t="inlineStr">
        <is>
          <t>0,00</t>
        </is>
      </c>
      <c r="H156" s="29" t="n"/>
      <c r="I156" s="24" t="n"/>
    </row>
    <row r="157">
      <c r="A157" s="26" t="inlineStr">
        <is>
          <t>DAMA11</t>
        </is>
      </c>
      <c r="B157" s="27" t="inlineStr">
        <is>
          <t>FII</t>
        </is>
      </c>
      <c r="C157" s="27" t="inlineStr">
        <is>
          <t>DAMA FUNDO DE INVESTIMENTO IMOBILIÁRIO RESPONSABILIDADE LIMITADA</t>
        </is>
      </c>
      <c r="D157" s="27" t="n">
        <v>6.74</v>
      </c>
      <c r="E157" s="27" t="inlineStr">
        <is>
          <t>53.866.872/0001-01</t>
        </is>
      </c>
      <c r="F157" s="27" t="inlineStr">
        <is>
          <t>Híbrido</t>
        </is>
      </c>
      <c r="G157" s="28" t="inlineStr">
        <is>
          <t>14,46</t>
        </is>
      </c>
      <c r="H157" s="28" t="n"/>
      <c r="I157" s="27" t="n"/>
    </row>
    <row r="158">
      <c r="A158" s="23" t="inlineStr">
        <is>
          <t>DAMT11</t>
        </is>
      </c>
      <c r="B158" s="24" t="inlineStr">
        <is>
          <t>FII</t>
        </is>
      </c>
      <c r="C158" s="24" t="inlineStr">
        <is>
          <t>DIAMANTE FUNDO DE INVESTIMENTO IMOBILIÁRIO RESPONSABILIDADE LIMITADA</t>
        </is>
      </c>
      <c r="D158" s="24" t="n">
        <v>12.5</v>
      </c>
      <c r="E158" s="24" t="n"/>
      <c r="F158" s="24" t="n"/>
      <c r="G158" s="29" t="inlineStr">
        <is>
          <t>0,00</t>
        </is>
      </c>
      <c r="H158" s="29" t="n"/>
      <c r="I158" s="24" t="n"/>
    </row>
    <row r="159">
      <c r="A159" s="26" t="inlineStr">
        <is>
          <t>DAYM11</t>
        </is>
      </c>
      <c r="B159" s="27" t="inlineStr">
        <is>
          <t>FII</t>
        </is>
      </c>
      <c r="C159" s="27" t="inlineStr">
        <is>
          <t>DAYCOVAL REAL ESTATE MULTIESTRATÉGIA FUNDO DE INVESTIMENTO IMOBILIÁRIO DE RESPONSABILIDADE LIMITADA</t>
        </is>
      </c>
      <c r="D159" s="27" t="n">
        <v>4.1</v>
      </c>
      <c r="E159" s="27" t="inlineStr">
        <is>
          <t>38.293.921/0001-62</t>
        </is>
      </c>
      <c r="F159" s="27" t="n"/>
      <c r="G159" s="28" t="inlineStr">
        <is>
          <t>6,80</t>
        </is>
      </c>
      <c r="H159" s="28" t="n"/>
      <c r="I159" s="27" t="n"/>
    </row>
    <row r="160">
      <c r="A160" s="23" t="inlineStr">
        <is>
          <t>DLMT11</t>
        </is>
      </c>
      <c r="B160" s="24" t="inlineStr">
        <is>
          <t>FII</t>
        </is>
      </c>
      <c r="C160" s="24" t="inlineStr">
        <is>
          <t>DEL MONTE AJAX FUNDO DE INVESTIMENTO IMOBILIÁRIO - FII DE RESPONSABILIDADE LIMITADA</t>
        </is>
      </c>
      <c r="D160" s="24" t="n"/>
      <c r="E160" s="24" t="inlineStr">
        <is>
          <t>28.108.193/0001-18</t>
        </is>
      </c>
      <c r="F160" s="24" t="n"/>
      <c r="G160" s="29" t="inlineStr">
        <is>
          <t>0,00</t>
        </is>
      </c>
      <c r="H160" s="29" t="n"/>
      <c r="I160" s="24" t="n"/>
    </row>
    <row r="161">
      <c r="A161" s="26" t="inlineStr">
        <is>
          <t>DOVL11</t>
        </is>
      </c>
      <c r="B161" s="27" t="inlineStr">
        <is>
          <t>FII</t>
        </is>
      </c>
      <c r="C161" s="27" t="inlineStr">
        <is>
          <t>DOVEL FUNDO DE INVESTIMENTO IMOBILIÁRIO - RESPONSABILIDADE LIMITADA</t>
        </is>
      </c>
      <c r="D161" s="27" t="n">
        <v>650.35</v>
      </c>
      <c r="E161" s="27" t="n"/>
      <c r="F161" s="27" t="n"/>
      <c r="G161" s="28" t="inlineStr">
        <is>
          <t>0,00</t>
        </is>
      </c>
      <c r="H161" s="28" t="n"/>
      <c r="I161" s="27" t="n"/>
    </row>
    <row r="162">
      <c r="A162" s="23" t="inlineStr">
        <is>
          <t>DPRO11</t>
        </is>
      </c>
      <c r="B162" s="24" t="inlineStr">
        <is>
          <t>FII</t>
        </is>
      </c>
      <c r="C162" s="24" t="inlineStr">
        <is>
          <t>DEVANT PROPERTIES FUNDO DE INVESTIMENTO IMOBILIÁRIO DE RESPONSABILIDADE LIMITADA</t>
        </is>
      </c>
      <c r="D162" s="24" t="n">
        <v>5.9</v>
      </c>
      <c r="E162" s="24" t="inlineStr">
        <is>
          <t>42.922.127/0001-08</t>
        </is>
      </c>
      <c r="F162" s="24" t="inlineStr">
        <is>
          <t>Híbrido</t>
        </is>
      </c>
      <c r="G162" s="29" t="inlineStr">
        <is>
          <t>10,93</t>
        </is>
      </c>
      <c r="H162" s="29" t="n"/>
      <c r="I162" s="24" t="n"/>
    </row>
    <row r="163">
      <c r="A163" s="26" t="inlineStr">
        <is>
          <t>DRIM11</t>
        </is>
      </c>
      <c r="B163" s="27" t="inlineStr">
        <is>
          <t>FII</t>
        </is>
      </c>
      <c r="C163" s="27" t="inlineStr">
        <is>
          <t>RB DESENVOLVIMENTO RESIDENCIAL V FUNDO DE INVESTIMENTO IMOBILIÁRIO -RESPONSABILIDADE LIMITADA</t>
        </is>
      </c>
      <c r="D163" s="27" t="n"/>
      <c r="E163" s="27" t="n"/>
      <c r="F163" s="27" t="n"/>
      <c r="G163" s="28" t="inlineStr">
        <is>
          <t>0,00</t>
        </is>
      </c>
      <c r="H163" s="28" t="n"/>
      <c r="I163" s="27" t="n"/>
    </row>
    <row r="164">
      <c r="A164" s="23" t="inlineStr">
        <is>
          <t>DVFF11</t>
        </is>
      </c>
      <c r="B164" s="24" t="inlineStr">
        <is>
          <t>FII</t>
        </is>
      </c>
      <c r="C164" s="24" t="inlineStr">
        <is>
          <t>FUNDO DE INVESTIMENTO IMOBILIÁRIO - DEVANT FUNDO DE FUNDOS IMOBILIÁRIOS DE RESPONSABILIDADE LIMITADA</t>
        </is>
      </c>
      <c r="D164" s="24" t="n">
        <v>5.85</v>
      </c>
      <c r="E164" s="24" t="inlineStr">
        <is>
          <t>39.863.059/0001-49</t>
        </is>
      </c>
      <c r="F164" s="24" t="inlineStr">
        <is>
          <t>Fundo de Fundos</t>
        </is>
      </c>
      <c r="G164" s="29" t="inlineStr">
        <is>
          <t>13,33</t>
        </is>
      </c>
      <c r="H164" s="29" t="n"/>
      <c r="I164" s="24" t="n"/>
    </row>
    <row r="165">
      <c r="A165" s="26" t="inlineStr">
        <is>
          <t>DVLP11</t>
        </is>
      </c>
      <c r="B165" s="27" t="inlineStr">
        <is>
          <t>FII</t>
        </is>
      </c>
      <c r="C165" s="27" t="inlineStr">
        <is>
          <t>SPECIALE REAL ESTATE DEVELOPMENT FUNDO DE INVESTIMENTO IMOBILIÁRIO RESPONSABILIDADE LIMITADA</t>
        </is>
      </c>
      <c r="D165" s="27" t="n">
        <v>150.29</v>
      </c>
      <c r="E165" s="27" t="inlineStr">
        <is>
          <t>42.537.601/0001-88</t>
        </is>
      </c>
      <c r="F165" s="27" t="n"/>
      <c r="G165" s="28" t="inlineStr">
        <is>
          <t>0,00</t>
        </is>
      </c>
      <c r="H165" s="28" t="n"/>
      <c r="I165" s="27" t="n"/>
    </row>
    <row r="166">
      <c r="A166" s="23" t="inlineStr">
        <is>
          <t>DVLT11</t>
        </is>
      </c>
      <c r="B166" s="24" t="inlineStr">
        <is>
          <t>FII</t>
        </is>
      </c>
      <c r="C166" s="24" t="inlineStr">
        <is>
          <t>SPECIALE REAL ESTATE DEVELOPMENT II FUNDO DE INVESTIMENTO IMOBILIÁRIO DE RESPONSABILIDADE LIMITADA</t>
        </is>
      </c>
      <c r="D166" s="24" t="n">
        <v>99.58</v>
      </c>
      <c r="E166" s="24" t="inlineStr">
        <is>
          <t>54.635.301/0001-10</t>
        </is>
      </c>
      <c r="F166" s="24" t="n"/>
      <c r="G166" s="29" t="inlineStr">
        <is>
          <t>0,00</t>
        </is>
      </c>
      <c r="H166" s="29" t="n"/>
      <c r="I166" s="24" t="n"/>
    </row>
    <row r="167">
      <c r="A167" s="26" t="inlineStr">
        <is>
          <t>EAGL11</t>
        </is>
      </c>
      <c r="B167" s="27" t="inlineStr">
        <is>
          <t>FII</t>
        </is>
      </c>
      <c r="C167" s="27" t="inlineStr">
        <is>
          <t>NEST EAGLE FUNDO DE INVESTIMENTO IMOBILIÁRIO DE RESPONSABILIDADE LIMITADA</t>
        </is>
      </c>
      <c r="D167" s="27" t="n">
        <v>0</v>
      </c>
      <c r="E167" s="27" t="inlineStr">
        <is>
          <t>54.422.883/0001-57</t>
        </is>
      </c>
      <c r="F167" s="27" t="n"/>
      <c r="G167" s="28" t="inlineStr">
        <is>
          <t>0,00</t>
        </is>
      </c>
      <c r="H167" s="28" t="n"/>
      <c r="I167" s="27" t="n"/>
    </row>
    <row r="168">
      <c r="A168" s="23" t="inlineStr">
        <is>
          <t>EDFO11</t>
        </is>
      </c>
      <c r="B168" s="24" t="inlineStr">
        <is>
          <t>FII</t>
        </is>
      </c>
      <c r="C168" s="24" t="inlineStr">
        <is>
          <t>FUNDO DE INVESTIMENTO IMOBILIÁRIO EDIFÍCIO OURINVEST - RESPONSABILIDADE LIMITADA</t>
        </is>
      </c>
      <c r="D168" s="24" t="n">
        <v>130.36</v>
      </c>
      <c r="E168" s="24" t="inlineStr">
        <is>
          <t>06.175.262/0001-73</t>
        </is>
      </c>
      <c r="F168" s="24" t="n"/>
      <c r="G168" s="29" t="inlineStr">
        <is>
          <t>8,72</t>
        </is>
      </c>
      <c r="H168" s="29" t="n"/>
      <c r="I168" s="24" t="n"/>
    </row>
    <row r="169">
      <c r="A169" s="26" t="inlineStr">
        <is>
          <t>EDGA11</t>
        </is>
      </c>
      <c r="B169" s="27" t="inlineStr">
        <is>
          <t>FII</t>
        </is>
      </c>
      <c r="C169" s="27" t="inlineStr">
        <is>
          <t>FUNDO DE INVESTIMENTO IMOBILIÁRIO - FII EDIFÍCIO GALERIA RESPONSABILIADADE LIMITADA</t>
        </is>
      </c>
      <c r="D169" s="27" t="n">
        <v>14.37</v>
      </c>
      <c r="E169" s="27" t="inlineStr">
        <is>
          <t>15.333.306/0001-37</t>
        </is>
      </c>
      <c r="F169" s="27" t="inlineStr">
        <is>
          <t>Escritórios</t>
        </is>
      </c>
      <c r="G169" s="28" t="inlineStr">
        <is>
          <t>3,45</t>
        </is>
      </c>
      <c r="H169" s="28" t="n"/>
      <c r="I169" s="27" t="n"/>
    </row>
    <row r="170">
      <c r="A170" s="23" t="inlineStr">
        <is>
          <t>EDGE11</t>
        </is>
      </c>
      <c r="B170" s="24" t="inlineStr">
        <is>
          <t>FII</t>
        </is>
      </c>
      <c r="C170" s="24" t="inlineStr">
        <is>
          <t>EDGE FUNDO DE INVESTIMENTO IMOBILIÁRIO DE RESPONSABILIDADE LIMITADA</t>
        </is>
      </c>
      <c r="D170" s="24" t="n">
        <v>1071.8</v>
      </c>
      <c r="E170" s="24" t="inlineStr">
        <is>
          <t>54.306.150/0001-57</t>
        </is>
      </c>
      <c r="F170" s="24" t="n"/>
      <c r="G170" s="29" t="inlineStr">
        <is>
          <t>7,39</t>
        </is>
      </c>
      <c r="H170" s="29" t="n"/>
      <c r="I170" s="24" t="n"/>
    </row>
    <row r="171">
      <c r="A171" s="26" t="inlineStr">
        <is>
          <t>EGDB11</t>
        </is>
      </c>
      <c r="B171" s="27" t="inlineStr">
        <is>
          <t>FII</t>
        </is>
      </c>
      <c r="C171" s="27" t="inlineStr">
        <is>
          <t>FII DE DESENVOLVIMENTO DE ESCRITÓRIOS BOUTIQUE RESPONSABILIDADE LIMITADA</t>
        </is>
      </c>
      <c r="D171" s="27" t="n">
        <v>1210.65</v>
      </c>
      <c r="E171" s="27" t="inlineStr">
        <is>
          <t>53.866.393/0001-87</t>
        </is>
      </c>
      <c r="F171" s="27" t="n"/>
      <c r="G171" s="28" t="inlineStr">
        <is>
          <t>0,00</t>
        </is>
      </c>
      <c r="H171" s="28" t="n"/>
      <c r="I171" s="27" t="n"/>
    </row>
    <row r="172">
      <c r="A172" s="23" t="inlineStr">
        <is>
          <t>EGYR11</t>
        </is>
      </c>
      <c r="B172" s="24" t="inlineStr">
        <is>
          <t>FII</t>
        </is>
      </c>
      <c r="C172" s="24" t="inlineStr">
        <is>
          <t>ENERGY RESORT FUNDO DE INVESTIMENTO IMOBILIÁRIO</t>
        </is>
      </c>
      <c r="D172" s="24" t="n">
        <v>2.98</v>
      </c>
      <c r="E172" s="24" t="inlineStr">
        <is>
          <t>36.969.658/0001-53</t>
        </is>
      </c>
      <c r="F172" s="24" t="inlineStr">
        <is>
          <t>Outros</t>
        </is>
      </c>
      <c r="G172" s="29" t="inlineStr">
        <is>
          <t>0,00</t>
        </is>
      </c>
      <c r="H172" s="29" t="n"/>
      <c r="I172" s="24" t="n"/>
    </row>
    <row r="173">
      <c r="A173" s="26" t="inlineStr">
        <is>
          <t>EIRA11</t>
        </is>
      </c>
      <c r="B173" s="27" t="inlineStr">
        <is>
          <t>FII</t>
        </is>
      </c>
      <c r="C173" s="27" t="inlineStr">
        <is>
          <t>AROEIRA FUNDO DE INVESTIMENTO IMOBILIÁRIO - RESPONSABILIDADE LIMITADA</t>
        </is>
      </c>
      <c r="D173" s="27" t="n">
        <v>104.5</v>
      </c>
      <c r="E173" s="27" t="inlineStr">
        <is>
          <t>59.202.651/0001-07</t>
        </is>
      </c>
      <c r="F173" s="27" t="n"/>
      <c r="G173" s="28" t="inlineStr">
        <is>
          <t>11,30</t>
        </is>
      </c>
      <c r="H173" s="28" t="n"/>
      <c r="I173" s="27" t="n"/>
    </row>
    <row r="174">
      <c r="A174" s="23" t="inlineStr">
        <is>
          <t>ELDO11</t>
        </is>
      </c>
      <c r="B174" s="24" t="inlineStr">
        <is>
          <t>FII</t>
        </is>
      </c>
      <c r="C174" s="24" t="inlineStr">
        <is>
          <t>FII ELDORADO FUNDO DE INVESTIMENTO IMOBILIÁRIO - RESPONSABILIDADE LIMITADA</t>
        </is>
      </c>
      <c r="D174" s="24" t="n">
        <v>928.55</v>
      </c>
      <c r="E174" s="24" t="inlineStr">
        <is>
          <t>13.022.994/0001-99</t>
        </is>
      </c>
      <c r="F174" s="24" t="n"/>
      <c r="G174" s="29" t="inlineStr">
        <is>
          <t>16,16</t>
        </is>
      </c>
      <c r="H174" s="29" t="n"/>
      <c r="I174" s="24" t="n"/>
    </row>
    <row r="175">
      <c r="A175" s="26" t="inlineStr">
        <is>
          <t>EMET11</t>
        </is>
      </c>
      <c r="B175" s="27" t="inlineStr">
        <is>
          <t>FII</t>
        </is>
      </c>
      <c r="C175" s="27" t="inlineStr">
        <is>
          <t>EMET MULTIESTRATÉGIA FUNDO DE INVESTIMENTO I MOBILIÁRIO RESPONSABILIDADE LIMITADA</t>
        </is>
      </c>
      <c r="D175" s="27" t="n">
        <v>9.199999999999999</v>
      </c>
      <c r="E175" s="27" t="inlineStr">
        <is>
          <t>53.523.736/0001-00</t>
        </is>
      </c>
      <c r="F175" s="27" t="n"/>
      <c r="G175" s="28" t="inlineStr">
        <is>
          <t>15,54</t>
        </is>
      </c>
      <c r="H175" s="28" t="n"/>
      <c r="I175" s="27" t="n"/>
    </row>
    <row r="176">
      <c r="A176" s="23" t="inlineStr">
        <is>
          <t>ERCR11</t>
        </is>
      </c>
      <c r="B176" s="24" t="inlineStr">
        <is>
          <t>FII</t>
        </is>
      </c>
      <c r="C176" s="24" t="inlineStr">
        <is>
          <t>ESTOQUE RESIDENCIAL E COMERCIAL RIO DE JANEIRO FUNDO DE INVESTIMENTO IMOBILIÁRIO - RESP LIMITADA</t>
        </is>
      </c>
      <c r="D176" s="24" t="n">
        <v>76000</v>
      </c>
      <c r="E176" s="24" t="inlineStr">
        <is>
          <t>37.266.902/0001-84</t>
        </is>
      </c>
      <c r="F176" s="24" t="n"/>
      <c r="G176" s="29" t="inlineStr">
        <is>
          <t>0,00</t>
        </is>
      </c>
      <c r="H176" s="29" t="n"/>
      <c r="I176" s="24" t="n"/>
    </row>
    <row r="177">
      <c r="A177" s="26" t="inlineStr">
        <is>
          <t>ERPA11</t>
        </is>
      </c>
      <c r="B177" s="27" t="inlineStr">
        <is>
          <t>FII</t>
        </is>
      </c>
      <c r="C177" s="27" t="inlineStr">
        <is>
          <t>EUROPA 105 FUNDO DE INVESTIMENTO IMOBILIÁRIO - RESPONSABILIDADE LIMITADA</t>
        </is>
      </c>
      <c r="D177" s="27" t="n">
        <v>126.09</v>
      </c>
      <c r="E177" s="27" t="inlineStr">
        <is>
          <t>31.469.385/0001-64</t>
        </is>
      </c>
      <c r="F177" s="27" t="inlineStr">
        <is>
          <t>Escritórios</t>
        </is>
      </c>
      <c r="G177" s="28" t="inlineStr">
        <is>
          <t>8,89</t>
        </is>
      </c>
      <c r="H177" s="28" t="n"/>
      <c r="I177" s="27" t="n"/>
    </row>
    <row r="178">
      <c r="A178" s="23" t="inlineStr">
        <is>
          <t>ESTQ11</t>
        </is>
      </c>
      <c r="B178" s="24" t="inlineStr">
        <is>
          <t>FII</t>
        </is>
      </c>
      <c r="C178" s="24" t="inlineStr">
        <is>
          <t>FUNDO DE INVESTIMENTO IMOBILIARIO POLO ESTOQUE II RESPONSABILIDADE LIMITADA</t>
        </is>
      </c>
      <c r="D178" s="24" t="n"/>
      <c r="E178" s="24" t="inlineStr">
        <is>
          <t>18.497.672/0001-10</t>
        </is>
      </c>
      <c r="F178" s="24" t="n"/>
      <c r="G178" s="29" t="inlineStr">
        <is>
          <t>0,00</t>
        </is>
      </c>
      <c r="H178" s="29" t="n"/>
      <c r="I178" s="24" t="n"/>
    </row>
    <row r="179">
      <c r="A179" s="26" t="inlineStr">
        <is>
          <t>EURO11</t>
        </is>
      </c>
      <c r="B179" s="27" t="inlineStr">
        <is>
          <t>FII</t>
        </is>
      </c>
      <c r="C179" s="27" t="inlineStr">
        <is>
          <t>FII EUROPAR</t>
        </is>
      </c>
      <c r="D179" s="27" t="n">
        <v>341.01</v>
      </c>
      <c r="E179" s="27" t="inlineStr">
        <is>
          <t>05.437.916/0001-27</t>
        </is>
      </c>
      <c r="F179" s="27" t="inlineStr">
        <is>
          <t>Logística</t>
        </is>
      </c>
      <c r="G179" s="28" t="inlineStr">
        <is>
          <t>7,14</t>
        </is>
      </c>
      <c r="H179" s="28" t="n"/>
      <c r="I179" s="27" t="n"/>
    </row>
    <row r="180">
      <c r="A180" s="23" t="inlineStr">
        <is>
          <t>EXES11</t>
        </is>
      </c>
      <c r="B180" s="24" t="inlineStr">
        <is>
          <t>FII</t>
        </is>
      </c>
      <c r="C180" s="24" t="inlineStr">
        <is>
          <t>EXES FUNDO DE INVESTIMENTO IMOBILIÁRIO RESPONSABILIDADE LIMITADA</t>
        </is>
      </c>
      <c r="D180" s="24" t="n">
        <v>9.449999999999999</v>
      </c>
      <c r="E180" s="24" t="inlineStr">
        <is>
          <t>41.076.851/0001-03</t>
        </is>
      </c>
      <c r="F180" s="24" t="n"/>
      <c r="G180" s="29" t="inlineStr">
        <is>
          <t>16,51</t>
        </is>
      </c>
      <c r="H180" s="29" t="n"/>
      <c r="I180" s="24" t="n"/>
    </row>
    <row r="181">
      <c r="A181" s="26" t="inlineStr">
        <is>
          <t>FAED11</t>
        </is>
      </c>
      <c r="B181" s="27" t="inlineStr">
        <is>
          <t>FII</t>
        </is>
      </c>
      <c r="C181" s="27" t="inlineStr">
        <is>
          <t>FUNDO DE INVESTIMENTO IMOBILIÁRIO - FII ANHANGUERA EDUCACIONAL RESPONSABILIDADE LIMITADA</t>
        </is>
      </c>
      <c r="D181" s="27" t="n">
        <v>156.1</v>
      </c>
      <c r="E181" s="27" t="inlineStr">
        <is>
          <t>11.179.118/0001-45</t>
        </is>
      </c>
      <c r="F181" s="27" t="inlineStr">
        <is>
          <t>Educacional</t>
        </is>
      </c>
      <c r="G181" s="28" t="inlineStr">
        <is>
          <t>13,01</t>
        </is>
      </c>
      <c r="H181" s="28" t="n"/>
      <c r="I181" s="27" t="n"/>
    </row>
    <row r="182">
      <c r="A182" s="23" t="inlineStr">
        <is>
          <t>FAMB11</t>
        </is>
      </c>
      <c r="B182" s="24" t="inlineStr">
        <is>
          <t>FII</t>
        </is>
      </c>
      <c r="C182" s="24" t="inlineStr">
        <is>
          <t>FUNDO DE INVESTIMENTO IMOBILIÁRIO - FII EDIFÍCIO ALMIRANTE BARROSO RESPONSABILIDADE LIMITADA</t>
        </is>
      </c>
      <c r="D182" s="24" t="n">
        <v>1040.01</v>
      </c>
      <c r="E182" s="24" t="inlineStr">
        <is>
          <t>05.562.312/0001-02</t>
        </is>
      </c>
      <c r="F182" s="24" t="n"/>
      <c r="G182" s="29" t="inlineStr">
        <is>
          <t>0,00</t>
        </is>
      </c>
      <c r="H182" s="29" t="n"/>
      <c r="I182" s="24" t="n"/>
    </row>
    <row r="183">
      <c r="A183" s="26" t="inlineStr">
        <is>
          <t>FATN11</t>
        </is>
      </c>
      <c r="B183" s="27" t="inlineStr">
        <is>
          <t>FII</t>
        </is>
      </c>
      <c r="C183" s="27" t="inlineStr">
        <is>
          <t>BRC RENDA CORPORATIVA FUNDO DE INVESTIMENTO IMOBILIÁRIO - RESPONSABILIDADE LIMITADA</t>
        </is>
      </c>
      <c r="D183" s="27" t="n">
        <v>86.13</v>
      </c>
      <c r="E183" s="27" t="inlineStr">
        <is>
          <t>30.567.216/0001-02</t>
        </is>
      </c>
      <c r="F183" s="27" t="inlineStr">
        <is>
          <t>Escritórios</t>
        </is>
      </c>
      <c r="G183" s="28" t="inlineStr">
        <is>
          <t>11,15</t>
        </is>
      </c>
      <c r="H183" s="28" t="n"/>
      <c r="I183" s="27" t="n"/>
    </row>
    <row r="184">
      <c r="A184" s="23" t="inlineStr">
        <is>
          <t>FCFL11</t>
        </is>
      </c>
      <c r="B184" s="24" t="inlineStr">
        <is>
          <t>FII</t>
        </is>
      </c>
      <c r="C184" s="24" t="inlineStr">
        <is>
          <t>FUNDO DE INVESTIMENTO IMOBILIÁRIO - FII CAMPUS FARIA LIMA RESPONSABILIDADE LIMITADA</t>
        </is>
      </c>
      <c r="D184" s="24" t="n">
        <v>124.5</v>
      </c>
      <c r="E184" s="24" t="inlineStr">
        <is>
          <t>11.602.654/0001-01</t>
        </is>
      </c>
      <c r="F184" s="24" t="inlineStr">
        <is>
          <t>Educacional</t>
        </is>
      </c>
      <c r="G184" s="29" t="inlineStr">
        <is>
          <t>8,71</t>
        </is>
      </c>
      <c r="H184" s="29" t="n"/>
      <c r="I184" s="24" t="n"/>
    </row>
    <row r="185">
      <c r="A185" s="26" t="inlineStr">
        <is>
          <t>FIGS11</t>
        </is>
      </c>
      <c r="B185" s="27" t="inlineStr">
        <is>
          <t>FII</t>
        </is>
      </c>
      <c r="C185" s="27" t="inlineStr">
        <is>
          <t>GENERAL SHOPPING ATIVO E RENDA FUNDO DE INVESTIMENTO IMOBILIÁRIO DE RESPONSABILIDADE LIMITADA</t>
        </is>
      </c>
      <c r="D185" s="27" t="n">
        <v>49.26</v>
      </c>
      <c r="E185" s="27" t="inlineStr">
        <is>
          <t>17.590.518/0001-25</t>
        </is>
      </c>
      <c r="F185" s="27" t="inlineStr">
        <is>
          <t>Shoppings</t>
        </is>
      </c>
      <c r="G185" s="28" t="inlineStr">
        <is>
          <t>11,51</t>
        </is>
      </c>
      <c r="H185" s="28" t="n"/>
      <c r="I185" s="27" t="n"/>
    </row>
    <row r="186">
      <c r="A186" s="23" t="inlineStr">
        <is>
          <t>FIIB11</t>
        </is>
      </c>
      <c r="B186" s="24" t="inlineStr">
        <is>
          <t>FII</t>
        </is>
      </c>
      <c r="C186" s="24" t="inlineStr">
        <is>
          <t>FUNDO DE INVESTIMENTO IMOBILIARIO INDUSTRIAL DO BRASIL</t>
        </is>
      </c>
      <c r="D186" s="24" t="n">
        <v>458.31</v>
      </c>
      <c r="E186" s="24" t="inlineStr">
        <is>
          <t>14.217.108/0001-45</t>
        </is>
      </c>
      <c r="F186" s="24" t="inlineStr">
        <is>
          <t>Logística</t>
        </is>
      </c>
      <c r="G186" s="29" t="inlineStr">
        <is>
          <t>9,44</t>
        </is>
      </c>
      <c r="H186" s="29" t="n"/>
      <c r="I186" s="24" t="n"/>
    </row>
    <row r="187">
      <c r="A187" s="26" t="inlineStr">
        <is>
          <t>FIIC11</t>
        </is>
      </c>
      <c r="B187" s="27" t="inlineStr">
        <is>
          <t>FII</t>
        </is>
      </c>
      <c r="C187" s="27" t="inlineStr">
        <is>
          <t>FUNDO DE INVESTIMENTOS IMOBILIÁRIO DO CAMPREV PARA SUSTENTABILIDADE PREVIDENCIÁRIA DO MUNICÍPIO</t>
        </is>
      </c>
      <c r="D187" s="27" t="n"/>
      <c r="E187" s="27" t="inlineStr">
        <is>
          <t>50.716.077/0001-30</t>
        </is>
      </c>
      <c r="F187" s="27" t="n"/>
      <c r="G187" s="28" t="inlineStr">
        <is>
          <t>0,00</t>
        </is>
      </c>
      <c r="H187" s="28" t="n"/>
      <c r="I187" s="27" t="n"/>
    </row>
    <row r="188">
      <c r="A188" s="23" t="inlineStr">
        <is>
          <t>FIIP11</t>
        </is>
      </c>
      <c r="B188" s="24" t="inlineStr">
        <is>
          <t>FII</t>
        </is>
      </c>
      <c r="C188" s="24" t="inlineStr">
        <is>
          <t>RB CAPITAL RENDA I FUNDO DE INVESTIMENTO IMOBILIARIO - FII - RESPONSABILIDADE LIMITADA</t>
        </is>
      </c>
      <c r="D188" s="24" t="n">
        <v>132.21</v>
      </c>
      <c r="E188" s="24" t="inlineStr">
        <is>
          <t>08.696.175/0001-97</t>
        </is>
      </c>
      <c r="F188" s="24" t="n"/>
      <c r="G188" s="29" t="inlineStr">
        <is>
          <t>12,71</t>
        </is>
      </c>
      <c r="H188" s="29" t="n"/>
      <c r="I188" s="24" t="n"/>
    </row>
    <row r="189">
      <c r="A189" s="26" t="inlineStr">
        <is>
          <t>FINF11</t>
        </is>
      </c>
      <c r="B189" s="27" t="inlineStr">
        <is>
          <t>FII</t>
        </is>
      </c>
      <c r="C189" s="27" t="inlineStr">
        <is>
          <t>FUNDO DE INVESTIMENTO IMOBILIÁRIO INFRA REAL ESTATE - FII RESPONSABILIDADE LIMITADA</t>
        </is>
      </c>
      <c r="D189" s="27" t="n">
        <v>0</v>
      </c>
      <c r="E189" s="27" t="inlineStr">
        <is>
          <t>18.369.510/0001-04</t>
        </is>
      </c>
      <c r="F189" s="27" t="inlineStr">
        <is>
          <t>Logística</t>
        </is>
      </c>
      <c r="G189" s="28" t="inlineStr">
        <is>
          <t>0,00</t>
        </is>
      </c>
      <c r="H189" s="28" t="n"/>
      <c r="I189" s="27" t="n"/>
    </row>
    <row r="190">
      <c r="A190" s="23" t="inlineStr">
        <is>
          <t>FISC11</t>
        </is>
      </c>
      <c r="B190" s="24" t="inlineStr">
        <is>
          <t>FII</t>
        </is>
      </c>
      <c r="C190" s="24" t="inlineStr">
        <is>
          <t>FUNDO DE INVESTIMENTO IMOBILIÁRIO SC 401 - RESPONSABILIDADE LIMITADA</t>
        </is>
      </c>
      <c r="D190" s="24" t="n">
        <v>63</v>
      </c>
      <c r="E190" s="24" t="inlineStr">
        <is>
          <t>12.804.013/0001-00</t>
        </is>
      </c>
      <c r="F190" s="24" t="inlineStr">
        <is>
          <t>Escritórios</t>
        </is>
      </c>
      <c r="G190" s="29" t="inlineStr">
        <is>
          <t>8,84</t>
        </is>
      </c>
      <c r="H190" s="29" t="n"/>
      <c r="I190" s="24" t="n"/>
    </row>
    <row r="191">
      <c r="A191" s="26" t="inlineStr">
        <is>
          <t>FISD11</t>
        </is>
      </c>
      <c r="B191" s="27" t="inlineStr">
        <is>
          <t>FII</t>
        </is>
      </c>
      <c r="C191" s="27" t="inlineStr">
        <is>
          <t>SÃO DOMINGOS - FUNDO DE INVESTIMENTO IMOBILIÁRIO - FII</t>
        </is>
      </c>
      <c r="D191" s="27" t="n">
        <v>0</v>
      </c>
      <c r="E191" s="27" t="inlineStr">
        <is>
          <t>16.543.270/0001-89</t>
        </is>
      </c>
      <c r="F191" s="27" t="inlineStr">
        <is>
          <t>CRIs</t>
        </is>
      </c>
      <c r="G191" s="28" t="inlineStr">
        <is>
          <t>0,00</t>
        </is>
      </c>
      <c r="H191" s="28" t="n"/>
      <c r="I191" s="27" t="n"/>
    </row>
    <row r="192">
      <c r="A192" s="23" t="inlineStr">
        <is>
          <t>FIVN11</t>
        </is>
      </c>
      <c r="B192" s="24" t="inlineStr">
        <is>
          <t>FII</t>
        </is>
      </c>
      <c r="C192" s="24" t="inlineStr">
        <is>
          <t>FUNDO DE INVESTIMENTO IMOBILIÁRIO VIDA NOVA - FII - RESPONSABILIDADE LIMITADA</t>
        </is>
      </c>
      <c r="D192" s="24" t="n">
        <v>2.51</v>
      </c>
      <c r="E192" s="24" t="inlineStr">
        <is>
          <t>17.854.016/0001-64</t>
        </is>
      </c>
      <c r="F192" s="24" t="inlineStr">
        <is>
          <t>Shoppings</t>
        </is>
      </c>
      <c r="G192" s="29" t="inlineStr">
        <is>
          <t>0,00</t>
        </is>
      </c>
      <c r="H192" s="29" t="n"/>
      <c r="I192" s="24" t="n"/>
    </row>
    <row r="193">
      <c r="A193" s="26" t="inlineStr">
        <is>
          <t>FLCR11</t>
        </is>
      </c>
      <c r="B193" s="27" t="inlineStr">
        <is>
          <t>FII</t>
        </is>
      </c>
      <c r="C193" s="27" t="inlineStr">
        <is>
          <t>FARIA LIMA CAPITAL RECEBÍVEIS IMOBILIÁRIOS I - FUNDO DE INVESTIMENTO IMOBILIÁRIO RESPONSABILIDADE LI</t>
        </is>
      </c>
      <c r="D193" s="27" t="n">
        <v>94.97</v>
      </c>
      <c r="E193" s="27" t="inlineStr">
        <is>
          <t>33.884.145/0001-51</t>
        </is>
      </c>
      <c r="F193" s="27" t="inlineStr">
        <is>
          <t>CRIs</t>
        </is>
      </c>
      <c r="G193" s="28" t="inlineStr">
        <is>
          <t>14,06</t>
        </is>
      </c>
      <c r="H193" s="28" t="n"/>
      <c r="I193" s="27" t="n"/>
    </row>
    <row r="194">
      <c r="A194" s="23" t="inlineStr">
        <is>
          <t>FLMA11</t>
        </is>
      </c>
      <c r="B194" s="24" t="inlineStr">
        <is>
          <t>FII</t>
        </is>
      </c>
      <c r="C194" s="24" t="inlineStr">
        <is>
          <t>FII CONTINENTAL SQUARE FARIA LIMA - RESPONSABILIDADE LIMITADA</t>
        </is>
      </c>
      <c r="D194" s="24" t="n">
        <v>148.74</v>
      </c>
      <c r="E194" s="24" t="inlineStr">
        <is>
          <t>04.141.645/0001-03</t>
        </is>
      </c>
      <c r="F194" s="24" t="inlineStr">
        <is>
          <t>Escritórios</t>
        </is>
      </c>
      <c r="G194" s="29" t="inlineStr">
        <is>
          <t>8,76</t>
        </is>
      </c>
      <c r="H194" s="29" t="n"/>
      <c r="I194" s="24" t="n"/>
    </row>
    <row r="195">
      <c r="A195" s="26" t="inlineStr">
        <is>
          <t>FLNR11</t>
        </is>
      </c>
      <c r="B195" s="27" t="inlineStr">
        <is>
          <t>FII</t>
        </is>
      </c>
      <c r="C195" s="27" t="inlineStr">
        <is>
          <t>FLORIANO FUNDO DE INVESTIMENTO IMOBILIÁRIO</t>
        </is>
      </c>
      <c r="D195" s="27" t="n">
        <v>0</v>
      </c>
      <c r="E195" s="27" t="inlineStr">
        <is>
          <t>41.820.693/0001-46</t>
        </is>
      </c>
      <c r="F195" s="27" t="n"/>
      <c r="G195" s="28" t="inlineStr">
        <is>
          <t>0,00</t>
        </is>
      </c>
      <c r="H195" s="28" t="n"/>
      <c r="I195" s="27" t="n"/>
    </row>
    <row r="196">
      <c r="A196" s="23" t="inlineStr">
        <is>
          <t>FLRP11</t>
        </is>
      </c>
      <c r="B196" s="24" t="inlineStr">
        <is>
          <t>FII</t>
        </is>
      </c>
      <c r="C196" s="24" t="inlineStr">
        <is>
          <t>HEDGE FLORIPA SHOPPING FUNDO DE INVESTIMENTO IMOBILIÁRIO DE RESPONSABILIDADE LIMITADA</t>
        </is>
      </c>
      <c r="D196" s="24" t="n">
        <v>20.67</v>
      </c>
      <c r="E196" s="24" t="inlineStr">
        <is>
          <t>10.375.382/0001-91</t>
        </is>
      </c>
      <c r="F196" s="24" t="inlineStr">
        <is>
          <t>Shoppings</t>
        </is>
      </c>
      <c r="G196" s="29" t="inlineStr">
        <is>
          <t>9,10</t>
        </is>
      </c>
      <c r="H196" s="29" t="n"/>
      <c r="I196" s="24" t="n"/>
    </row>
    <row r="197">
      <c r="A197" s="26" t="inlineStr">
        <is>
          <t>FMOF11</t>
        </is>
      </c>
      <c r="B197" s="27" t="inlineStr">
        <is>
          <t>FII</t>
        </is>
      </c>
      <c r="C197" s="27" t="inlineStr">
        <is>
          <t>FII MEMORIAL OFFICE RESPONSABILIDADE LIMITADA</t>
        </is>
      </c>
      <c r="D197" s="27" t="n">
        <v>37</v>
      </c>
      <c r="E197" s="27" t="inlineStr">
        <is>
          <t>01.633.741/0001-72</t>
        </is>
      </c>
      <c r="F197" s="27" t="inlineStr">
        <is>
          <t>Escritórios</t>
        </is>
      </c>
      <c r="G197" s="28" t="inlineStr">
        <is>
          <t>38,49</t>
        </is>
      </c>
      <c r="H197" s="28" t="n"/>
      <c r="I197" s="27" t="n"/>
    </row>
    <row r="198">
      <c r="A198" s="23" t="inlineStr">
        <is>
          <t>FPAB11</t>
        </is>
      </c>
      <c r="B198" s="24" t="inlineStr">
        <is>
          <t>FII</t>
        </is>
      </c>
      <c r="C198" s="24" t="inlineStr">
        <is>
          <t>PROJETO ÁGUA BRANCA FUNDO DE INVESTIMENTO IMOBILIÁRIO RESPONSABILIDADE LIMITADA</t>
        </is>
      </c>
      <c r="D198" s="24" t="n">
        <v>210</v>
      </c>
      <c r="E198" s="24" t="inlineStr">
        <is>
          <t>03.251.720/0001-18</t>
        </is>
      </c>
      <c r="F198" s="24" t="inlineStr">
        <is>
          <t>Escritórios</t>
        </is>
      </c>
      <c r="G198" s="29" t="inlineStr">
        <is>
          <t>9,79</t>
        </is>
      </c>
      <c r="H198" s="29" t="n"/>
      <c r="I198" s="24" t="n"/>
    </row>
    <row r="199">
      <c r="A199" s="26" t="inlineStr">
        <is>
          <t>FPNG11</t>
        </is>
      </c>
      <c r="B199" s="27" t="inlineStr">
        <is>
          <t>FII</t>
        </is>
      </c>
      <c r="C199" s="27" t="inlineStr">
        <is>
          <t>FUNDO DE INVESTIMENTO IMOBILIÁRIO PEDRA NEGRA RENDA IMOBILIÁRIA - RESPONSABILIDADE LIMITADA</t>
        </is>
      </c>
      <c r="D199" s="27" t="n">
        <v>465.05</v>
      </c>
      <c r="E199" s="27" t="inlineStr">
        <is>
          <t>17.161.979/0001-82</t>
        </is>
      </c>
      <c r="F199" s="27" t="inlineStr">
        <is>
          <t>Escritórios</t>
        </is>
      </c>
      <c r="G199" s="28" t="inlineStr">
        <is>
          <t>1,04</t>
        </is>
      </c>
      <c r="H199" s="28" t="n"/>
      <c r="I199" s="27" t="n"/>
    </row>
    <row r="200">
      <c r="A200" s="23" t="inlineStr">
        <is>
          <t>FTCE11</t>
        </is>
      </c>
      <c r="B200" s="24" t="inlineStr">
        <is>
          <t>FII</t>
        </is>
      </c>
      <c r="C200" s="24" t="inlineStr">
        <is>
          <t>OPPORTUNITY FUNDO DE INVESTIMENTO IMOBILIÁRIO - RESPONSABILIDADE LIMITADA</t>
        </is>
      </c>
      <c r="D200" s="24" t="n">
        <v>2894.66</v>
      </c>
      <c r="E200" s="24" t="n"/>
      <c r="F200" s="24" t="n"/>
      <c r="G200" s="29" t="inlineStr">
        <is>
          <t>0,00</t>
        </is>
      </c>
      <c r="H200" s="29" t="n"/>
      <c r="I200" s="24" t="n"/>
    </row>
    <row r="201">
      <c r="A201" s="26" t="inlineStr">
        <is>
          <t>FTRE11</t>
        </is>
      </c>
      <c r="B201" s="27" t="inlineStr">
        <is>
          <t>FII</t>
        </is>
      </c>
      <c r="C201" s="27" t="inlineStr">
        <is>
          <t>FIGTREE RENDA EDUCACIONAL FUNDO DE INVESTIMENTO IMOBILIÁRIO</t>
        </is>
      </c>
      <c r="D201" s="27" t="n"/>
      <c r="E201" s="27" t="n"/>
      <c r="F201" s="27" t="n"/>
      <c r="G201" s="28" t="inlineStr">
        <is>
          <t>0,00</t>
        </is>
      </c>
      <c r="H201" s="28" t="n"/>
      <c r="I201" s="27" t="n"/>
    </row>
    <row r="202">
      <c r="A202" s="23" t="inlineStr">
        <is>
          <t>FVPQ11</t>
        </is>
      </c>
      <c r="B202" s="24" t="inlineStr">
        <is>
          <t>FII</t>
        </is>
      </c>
      <c r="C202" s="24" t="inlineStr">
        <is>
          <t>VIA PARQUE SHOPPING FUNDO DE INVESTIMENTO IMOBILIÁRIO DE RESPONSABILIDADE LIMITADA</t>
        </is>
      </c>
      <c r="D202" s="24" t="n">
        <v>68</v>
      </c>
      <c r="E202" s="24" t="inlineStr">
        <is>
          <t>00.332.266/0001-31</t>
        </is>
      </c>
      <c r="F202" s="24" t="inlineStr">
        <is>
          <t>Shoppings</t>
        </is>
      </c>
      <c r="G202" s="29" t="inlineStr">
        <is>
          <t>7,63</t>
        </is>
      </c>
      <c r="H202" s="29" t="n"/>
      <c r="I202" s="24" t="n"/>
    </row>
    <row r="203">
      <c r="A203" s="26" t="inlineStr">
        <is>
          <t>GAME11</t>
        </is>
      </c>
      <c r="B203" s="27" t="inlineStr">
        <is>
          <t>FII</t>
        </is>
      </c>
      <c r="C203" s="27" t="inlineStr">
        <is>
          <t>GUARDIAN MULTIESTRATÉGIA IMOBILIÁRIA I FII DE RESPONSABILIDADE LIMITADA</t>
        </is>
      </c>
      <c r="D203" s="27" t="n">
        <v>8.85</v>
      </c>
      <c r="E203" s="27" t="inlineStr">
        <is>
          <t>41.269.052/0001-45</t>
        </is>
      </c>
      <c r="F203" s="27" t="inlineStr">
        <is>
          <t>CRIs</t>
        </is>
      </c>
      <c r="G203" s="28" t="inlineStr">
        <is>
          <t>12,99</t>
        </is>
      </c>
      <c r="H203" s="28" t="n"/>
      <c r="I203" s="27" t="n"/>
    </row>
    <row r="204">
      <c r="A204" s="23" t="inlineStr">
        <is>
          <t>GCDL11</t>
        </is>
      </c>
      <c r="B204" s="24" t="inlineStr">
        <is>
          <t>FII</t>
        </is>
      </c>
      <c r="C204" s="24" t="inlineStr">
        <is>
          <t>GALAPAGOS DESENVOLVIMENTO LOGÍSTICO FUNDO DE INVESTIMENTO IMOBILIÁRIO RESPONSABILIDADE LIMITADA</t>
        </is>
      </c>
      <c r="D204" s="24" t="n">
        <v>118.88</v>
      </c>
      <c r="E204" s="24" t="inlineStr">
        <is>
          <t>56.061.587/0001-01</t>
        </is>
      </c>
      <c r="F204" s="24" t="n"/>
      <c r="G204" s="29" t="inlineStr">
        <is>
          <t>0,00</t>
        </is>
      </c>
      <c r="H204" s="29" t="n"/>
      <c r="I204" s="24" t="n"/>
    </row>
    <row r="205">
      <c r="A205" s="26" t="inlineStr">
        <is>
          <t>GCOI11</t>
        </is>
      </c>
      <c r="B205" s="27" t="inlineStr">
        <is>
          <t>FII</t>
        </is>
      </c>
      <c r="C205" s="27" t="inlineStr">
        <is>
          <t>GALAPAGOS SPECIAL OPORTUNITIES FUNDO DE INVESTIMENTO IMOBILIÁRIO</t>
        </is>
      </c>
      <c r="D205" s="27" t="n">
        <v>72.87</v>
      </c>
      <c r="E205" s="27" t="inlineStr">
        <is>
          <t>46.285.299/0001-79</t>
        </is>
      </c>
      <c r="F205" s="27" t="inlineStr">
        <is>
          <t>Híbrido</t>
        </is>
      </c>
      <c r="G205" s="28" t="inlineStr">
        <is>
          <t>8,25</t>
        </is>
      </c>
      <c r="H205" s="28" t="n"/>
      <c r="I205" s="27" t="n"/>
    </row>
    <row r="206">
      <c r="A206" s="23" t="inlineStr">
        <is>
          <t>GCRI11</t>
        </is>
      </c>
      <c r="B206" s="24" t="inlineStr">
        <is>
          <t>FII</t>
        </is>
      </c>
      <c r="C206" s="24" t="inlineStr">
        <is>
          <t>GALAPAGOS RECEBÍVEIS IMOBILIÁRIOS FUNDO DE INVESTIMENTO IMOBILIÁRIO RESPONSABILIDADE LIMITADA</t>
        </is>
      </c>
      <c r="D206" s="24" t="n">
        <v>69.40000000000001</v>
      </c>
      <c r="E206" s="24" t="inlineStr">
        <is>
          <t>38.293.897/0001-61</t>
        </is>
      </c>
      <c r="F206" s="24" t="inlineStr">
        <is>
          <t>CRIs</t>
        </is>
      </c>
      <c r="G206" s="29" t="inlineStr">
        <is>
          <t>14,82</t>
        </is>
      </c>
      <c r="H206" s="29" t="n"/>
      <c r="I206" s="24" t="n"/>
    </row>
    <row r="207">
      <c r="A207" s="26" t="inlineStr">
        <is>
          <t>GFDL11</t>
        </is>
      </c>
      <c r="B207" s="27" t="inlineStr">
        <is>
          <t>FII</t>
        </is>
      </c>
      <c r="C207" s="27" t="inlineStr">
        <is>
          <t>GALAPAGOS FEEDER DESENVOLVIMENTO LOGÍSTICO FUNDO DE INVESTIMENTO IMOBILIÁRIO RESPONSABILIDADE LIMITA</t>
        </is>
      </c>
      <c r="D207" s="27" t="n">
        <v>111.63</v>
      </c>
      <c r="E207" s="27" t="inlineStr">
        <is>
          <t>58.523.711/0001-20</t>
        </is>
      </c>
      <c r="F207" s="27" t="n"/>
      <c r="G207" s="28" t="inlineStr">
        <is>
          <t>0,14</t>
        </is>
      </c>
      <c r="H207" s="28" t="n"/>
      <c r="I207" s="27" t="n"/>
    </row>
    <row r="208">
      <c r="A208" s="23" t="inlineStr">
        <is>
          <t>GGRC11</t>
        </is>
      </c>
      <c r="B208" s="24" t="inlineStr">
        <is>
          <t>FII</t>
        </is>
      </c>
      <c r="C208" s="24" t="inlineStr">
        <is>
          <t>GGR COVEPI RENDA FUNDO DE INVESTIMENTO IMOBILIÁRIO - RESPONSABILIDADE LIMITADA</t>
        </is>
      </c>
      <c r="D208" s="24" t="n">
        <v>10.19</v>
      </c>
      <c r="E208" s="24" t="inlineStr">
        <is>
          <t>26.614.291/0001-00</t>
        </is>
      </c>
      <c r="F208" s="24" t="inlineStr">
        <is>
          <t>Logística</t>
        </is>
      </c>
      <c r="G208" s="29" t="inlineStr">
        <is>
          <t>12,76</t>
        </is>
      </c>
      <c r="H208" s="29" t="n"/>
      <c r="I208" s="24" t="n"/>
    </row>
    <row r="209">
      <c r="A209" s="26" t="inlineStr">
        <is>
          <t>GLCR11</t>
        </is>
      </c>
      <c r="B209" s="27" t="inlineStr">
        <is>
          <t>FII</t>
        </is>
      </c>
      <c r="C209" s="27" t="inlineStr">
        <is>
          <t>GALAPAGOS CRÉDITO ESTRUTURADO PRAZO DETERMINADO FUNDO DE INVESTIMENTO IMOBILIÁRIO RESP LIMITADA</t>
        </is>
      </c>
      <c r="D209" s="27" t="n">
        <v>100.07</v>
      </c>
      <c r="E209" s="27" t="inlineStr">
        <is>
          <t>59.669.570/0001-11</t>
        </is>
      </c>
      <c r="F209" s="27" t="n"/>
      <c r="G209" s="28" t="inlineStr">
        <is>
          <t>9,66</t>
        </is>
      </c>
      <c r="H209" s="28" t="n"/>
      <c r="I209" s="27" t="n"/>
    </row>
    <row r="210">
      <c r="A210" s="23" t="inlineStr">
        <is>
          <t>GLOG11</t>
        </is>
      </c>
      <c r="B210" s="24" t="inlineStr">
        <is>
          <t>FII</t>
        </is>
      </c>
      <c r="C210" s="24" t="inlineStr">
        <is>
          <t>GENIAL LOGÍSTICA - FUNDO DE INVESTIMENTO IMOBILIÁRIO - RESPONSABILIDADE LIMITADA</t>
        </is>
      </c>
      <c r="D210" s="24" t="n">
        <v>73</v>
      </c>
      <c r="E210" s="24" t="inlineStr">
        <is>
          <t>36.501.198/0001-34</t>
        </is>
      </c>
      <c r="F210" s="24" t="n"/>
      <c r="G210" s="29" t="inlineStr">
        <is>
          <t>7,00</t>
        </is>
      </c>
      <c r="H210" s="29" t="n"/>
      <c r="I210" s="24" t="n"/>
    </row>
    <row r="211">
      <c r="A211" s="26" t="inlineStr">
        <is>
          <t>GLPF11</t>
        </is>
      </c>
      <c r="B211" s="27" t="inlineStr">
        <is>
          <t>FII</t>
        </is>
      </c>
      <c r="C211" s="27" t="inlineStr">
        <is>
          <t>GALAPAGOS FEEDER LOGÍSTICO FUNDO DE INVESTIMENTO IMOBILIÁRIO RESPONSABILIDADE LIMITADA</t>
        </is>
      </c>
      <c r="D211" s="27" t="n">
        <v>106.48</v>
      </c>
      <c r="E211" s="27" t="inlineStr">
        <is>
          <t>58.378.463/0001-71</t>
        </is>
      </c>
      <c r="F211" s="27" t="n"/>
      <c r="G211" s="28" t="inlineStr">
        <is>
          <t>9,86</t>
        </is>
      </c>
      <c r="H211" s="28" t="n"/>
      <c r="I211" s="27" t="n"/>
    </row>
    <row r="212">
      <c r="A212" s="23" t="inlineStr">
        <is>
          <t>GRUL11</t>
        </is>
      </c>
      <c r="B212" s="24" t="inlineStr">
        <is>
          <t>FII</t>
        </is>
      </c>
      <c r="C212" s="24" t="inlineStr">
        <is>
          <t>ICATU VANGUARDA GRU LOGÍSTICO FUNDO DE INVESTIMENTO IMOBILIÁRIO - RESPONSABILIDADE LIMITADA</t>
        </is>
      </c>
      <c r="D212" s="24" t="n">
        <v>8.880000000000001</v>
      </c>
      <c r="E212" s="24" t="inlineStr">
        <is>
          <t>54.483.412/0001-59</t>
        </is>
      </c>
      <c r="F212" s="24" t="n"/>
      <c r="G212" s="29" t="inlineStr">
        <is>
          <t>12,63</t>
        </is>
      </c>
      <c r="H212" s="29" t="n"/>
      <c r="I212" s="24" t="n"/>
    </row>
    <row r="213">
      <c r="A213" s="26" t="inlineStr">
        <is>
          <t>GSFI11</t>
        </is>
      </c>
      <c r="B213" s="27" t="inlineStr">
        <is>
          <t>FII</t>
        </is>
      </c>
      <c r="C213" s="27" t="inlineStr">
        <is>
          <t>GENERAL SHOPPING E OUTLETS DO BRASIL FUNDO DE INVESTIMENTO IMOBILIÁRIO RESPONSABILIDADE LIMITADA</t>
        </is>
      </c>
      <c r="D213" s="27" t="n">
        <v>11.08</v>
      </c>
      <c r="E213" s="27" t="inlineStr">
        <is>
          <t>11.769.604/0001-13</t>
        </is>
      </c>
      <c r="F213" s="27" t="inlineStr">
        <is>
          <t>Shoppings</t>
        </is>
      </c>
      <c r="G213" s="28" t="inlineStr">
        <is>
          <t>0,00</t>
        </is>
      </c>
      <c r="H213" s="28" t="n"/>
      <c r="I213" s="27" t="n"/>
    </row>
    <row r="214">
      <c r="A214" s="23" t="inlineStr">
        <is>
          <t>GTWR11</t>
        </is>
      </c>
      <c r="B214" s="24" t="inlineStr">
        <is>
          <t>FII</t>
        </is>
      </c>
      <c r="C214" s="24" t="inlineStr">
        <is>
          <t>FUNDO DE INVESTIMENTO IMOBILIÁRIO GREEN TOWERS RESPONSABILIDADE LIMITADA</t>
        </is>
      </c>
      <c r="D214" s="24" t="n">
        <v>85.61</v>
      </c>
      <c r="E214" s="24" t="inlineStr">
        <is>
          <t>23.740.527/0001-58</t>
        </is>
      </c>
      <c r="F214" s="24" t="inlineStr">
        <is>
          <t>Escritórios</t>
        </is>
      </c>
      <c r="G214" s="29" t="inlineStr">
        <is>
          <t>12,40</t>
        </is>
      </c>
      <c r="H214" s="29" t="n"/>
      <c r="I214" s="24" t="n"/>
    </row>
    <row r="215">
      <c r="A215" s="26" t="inlineStr">
        <is>
          <t>GZIT11</t>
        </is>
      </c>
      <c r="B215" s="27" t="inlineStr">
        <is>
          <t>FII</t>
        </is>
      </c>
      <c r="C215" s="27" t="inlineStr">
        <is>
          <t>GAZIT MALLS FUNDO DE INVESTIMENTO IMOBILIÁRIO RESPONSABILIDADE LIMITADA</t>
        </is>
      </c>
      <c r="D215" s="27" t="n">
        <v>45.08</v>
      </c>
      <c r="E215" s="27" t="inlineStr">
        <is>
          <t>15.447.108/0001-02</t>
        </is>
      </c>
      <c r="F215" s="27" t="inlineStr">
        <is>
          <t>Híbrido</t>
        </is>
      </c>
      <c r="G215" s="28" t="inlineStr">
        <is>
          <t>20,33</t>
        </is>
      </c>
      <c r="H215" s="28" t="n"/>
      <c r="I215" s="27" t="n"/>
    </row>
    <row r="216">
      <c r="A216" s="23" t="inlineStr">
        <is>
          <t>HAAA11</t>
        </is>
      </c>
      <c r="B216" s="24" t="inlineStr">
        <is>
          <t>FII</t>
        </is>
      </c>
      <c r="C216" s="24" t="inlineStr">
        <is>
          <t>HEDGE AAA FUNDO DE INVESTIMENTO IMOBILIÁRIO DE RESPONSABILIDADE LIMITADA</t>
        </is>
      </c>
      <c r="D216" s="24" t="n">
        <v>56</v>
      </c>
      <c r="E216" s="24" t="inlineStr">
        <is>
          <t>27.445.482/0001-40</t>
        </is>
      </c>
      <c r="F216" s="24" t="n"/>
      <c r="G216" s="29" t="inlineStr">
        <is>
          <t>4,58</t>
        </is>
      </c>
      <c r="H216" s="29" t="n"/>
      <c r="I216" s="24" t="n"/>
    </row>
    <row r="217">
      <c r="A217" s="26" t="inlineStr">
        <is>
          <t>HABT11</t>
        </is>
      </c>
      <c r="B217" s="27" t="inlineStr">
        <is>
          <t>FII</t>
        </is>
      </c>
      <c r="C217" s="27" t="inlineStr">
        <is>
          <t>HABITAT RECEBÍVEIS PULVERIZADOS FUNDO DE INVESTIMENTO IMOBILIÁRIO RESPONSABILIDADE LIMITADA</t>
        </is>
      </c>
      <c r="D217" s="27" t="n">
        <v>76.40000000000001</v>
      </c>
      <c r="E217" s="27" t="inlineStr">
        <is>
          <t>30.578.417/0001-05</t>
        </is>
      </c>
      <c r="F217" s="27" t="inlineStr">
        <is>
          <t>CRIs</t>
        </is>
      </c>
      <c r="G217" s="28" t="inlineStr">
        <is>
          <t>16,16</t>
        </is>
      </c>
      <c r="H217" s="28" t="n"/>
      <c r="I217" s="27" t="n"/>
    </row>
    <row r="218">
      <c r="A218" s="23" t="inlineStr">
        <is>
          <t>HBCR11</t>
        </is>
      </c>
      <c r="B218" s="24" t="inlineStr">
        <is>
          <t>FII</t>
        </is>
      </c>
      <c r="C218" s="24" t="inlineStr">
        <is>
          <t>FUNDO DE INVESTIMENTO IMOBILIÁRIO HBC RENDA URBANA</t>
        </is>
      </c>
      <c r="D218" s="24" t="n">
        <v>135.14</v>
      </c>
      <c r="E218" s="24" t="inlineStr">
        <is>
          <t>36.501.159/0001-37</t>
        </is>
      </c>
      <c r="F218" s="24" t="inlineStr">
        <is>
          <t>Escritórios</t>
        </is>
      </c>
      <c r="G218" s="29" t="inlineStr">
        <is>
          <t>10,17</t>
        </is>
      </c>
      <c r="H218" s="29" t="n"/>
      <c r="I218" s="24" t="n"/>
    </row>
    <row r="219">
      <c r="A219" s="26" t="inlineStr">
        <is>
          <t>HCHG11</t>
        </is>
      </c>
      <c r="B219" s="27" t="inlineStr">
        <is>
          <t>FII</t>
        </is>
      </c>
      <c r="C219" s="27" t="inlineStr">
        <is>
          <t>HECTARE RECEBÍVEIS HIGH GRADE FUNDO DE INVESTIMENTO IMOBILIÁRIO - FII - RESP LIMITADA</t>
        </is>
      </c>
      <c r="D219" s="27" t="n">
        <v>80.25</v>
      </c>
      <c r="E219" s="27" t="inlineStr">
        <is>
          <t>34.508.959/0001-54</t>
        </is>
      </c>
      <c r="F219" s="27" t="inlineStr">
        <is>
          <t>CRIs</t>
        </is>
      </c>
      <c r="G219" s="28" t="inlineStr">
        <is>
          <t>9,67</t>
        </is>
      </c>
      <c r="H219" s="28" t="n"/>
      <c r="I219" s="27" t="n"/>
    </row>
    <row r="220">
      <c r="A220" s="23" t="inlineStr">
        <is>
          <t>HCRI11</t>
        </is>
      </c>
      <c r="B220" s="24" t="inlineStr">
        <is>
          <t>FII</t>
        </is>
      </c>
      <c r="C220" s="24" t="inlineStr">
        <is>
          <t>FUNDO DE INVESTIMENTO IMOBILIÁRIO - FII HOSPITAL DA CRIANÇA RESPONSABILIDADE LIMITADA</t>
        </is>
      </c>
      <c r="D220" s="24" t="n">
        <v>291.9</v>
      </c>
      <c r="E220" s="24" t="inlineStr">
        <is>
          <t>04.066.582/0001-60</t>
        </is>
      </c>
      <c r="F220" s="24" t="inlineStr">
        <is>
          <t>Hospital</t>
        </is>
      </c>
      <c r="G220" s="29" t="inlineStr">
        <is>
          <t>17,54</t>
        </is>
      </c>
      <c r="H220" s="29" t="n"/>
      <c r="I220" s="24" t="n"/>
    </row>
    <row r="221">
      <c r="A221" s="26" t="inlineStr">
        <is>
          <t>HCST11</t>
        </is>
      </c>
      <c r="B221" s="27" t="inlineStr">
        <is>
          <t>FII</t>
        </is>
      </c>
      <c r="C221" s="27" t="inlineStr">
        <is>
          <t>HECTARE DESENVOLVIMENTO STUDENT HOUSING - FUNDO DE INVESTIMENTO IMOBILIÁRIO RESPONSABILIDADE LIMITAD</t>
        </is>
      </c>
      <c r="D221" s="27" t="n">
        <v>79.14</v>
      </c>
      <c r="E221" s="27" t="inlineStr">
        <is>
          <t>31.152.015/0001-07</t>
        </is>
      </c>
      <c r="F221" s="27" t="inlineStr">
        <is>
          <t>Shoppings</t>
        </is>
      </c>
      <c r="G221" s="28" t="inlineStr">
        <is>
          <t>0,00</t>
        </is>
      </c>
      <c r="H221" s="28" t="n"/>
      <c r="I221" s="27" t="n"/>
    </row>
    <row r="222">
      <c r="A222" s="23" t="inlineStr">
        <is>
          <t>HCTR11</t>
        </is>
      </c>
      <c r="B222" s="24" t="inlineStr">
        <is>
          <t>FII</t>
        </is>
      </c>
      <c r="C222" s="24" t="inlineStr">
        <is>
          <t>HECTARE CE FUNDO DE INVESTIMENTO IMOBILIÁRIO RESPONSABILIDADE LIMITADA</t>
        </is>
      </c>
      <c r="D222" s="24" t="n">
        <v>21.51</v>
      </c>
      <c r="E222" s="24" t="inlineStr">
        <is>
          <t>30.248.180/0001-96</t>
        </is>
      </c>
      <c r="F222" s="24" t="inlineStr">
        <is>
          <t>CRIs</t>
        </is>
      </c>
      <c r="G222" s="29" t="inlineStr">
        <is>
          <t>17,28</t>
        </is>
      </c>
      <c r="H222" s="29" t="n"/>
      <c r="I222" s="24" t="n"/>
    </row>
    <row r="223">
      <c r="A223" s="26" t="inlineStr">
        <is>
          <t>HDEL11</t>
        </is>
      </c>
      <c r="B223" s="27" t="inlineStr">
        <is>
          <t>FII</t>
        </is>
      </c>
      <c r="C223" s="27" t="inlineStr">
        <is>
          <t>HEDGE DESENVOLVIMENTO LOGÍSTICO FUNDO DE INVESTIMENTO IMOBILIÁRIO DE RESPONSABILIDADE LIMITADA</t>
        </is>
      </c>
      <c r="D223" s="27" t="n">
        <v>100.05</v>
      </c>
      <c r="E223" s="27" t="inlineStr">
        <is>
          <t>44.514.162/0001-13</t>
        </is>
      </c>
      <c r="F223" s="27" t="n"/>
      <c r="G223" s="28" t="inlineStr">
        <is>
          <t>30,87</t>
        </is>
      </c>
      <c r="H223" s="28" t="n"/>
      <c r="I223" s="27" t="n"/>
    </row>
    <row r="224">
      <c r="A224" s="23" t="inlineStr">
        <is>
          <t>HDOF11</t>
        </is>
      </c>
      <c r="B224" s="24" t="inlineStr">
        <is>
          <t>FII</t>
        </is>
      </c>
      <c r="C224" s="24" t="inlineStr">
        <is>
          <t>HEDGE PALADIN DESIGN OFFICES FUNDO DE INVESTIMENTO IMOBILIÁRIO DE RESPONSABILIDADE LIMITADA</t>
        </is>
      </c>
      <c r="D224" s="24" t="n">
        <v>90</v>
      </c>
      <c r="E224" s="24" t="inlineStr">
        <is>
          <t>35.688.460/0001-39</t>
        </is>
      </c>
      <c r="F224" s="24" t="inlineStr">
        <is>
          <t>Escritórios</t>
        </is>
      </c>
      <c r="G224" s="29" t="inlineStr">
        <is>
          <t>0,00</t>
        </is>
      </c>
      <c r="H224" s="29" t="n"/>
      <c r="I224" s="24" t="n"/>
    </row>
    <row r="225">
      <c r="A225" s="26" t="inlineStr">
        <is>
          <t>HFOF11</t>
        </is>
      </c>
      <c r="B225" s="27" t="inlineStr">
        <is>
          <t>FII</t>
        </is>
      </c>
      <c r="C225" s="27" t="inlineStr">
        <is>
          <t>HEDGE TOP FOFII 3 FUNDO DE INVESTIMENTO IMOBILIÁRIO DE RESPONSABILIDADE LIMITADA</t>
        </is>
      </c>
      <c r="D225" s="27" t="n">
        <v>6.86</v>
      </c>
      <c r="E225" s="27" t="inlineStr">
        <is>
          <t>18.307.582/0001-19</t>
        </is>
      </c>
      <c r="F225" s="27" t="inlineStr">
        <is>
          <t>Fundo de Fundos</t>
        </is>
      </c>
      <c r="G225" s="28" t="inlineStr">
        <is>
          <t>9,93</t>
        </is>
      </c>
      <c r="H225" s="28" t="n"/>
      <c r="I225" s="27" t="n"/>
    </row>
    <row r="226">
      <c r="A226" s="23" t="inlineStr">
        <is>
          <t>HGBS11</t>
        </is>
      </c>
      <c r="B226" s="24" t="inlineStr">
        <is>
          <t>FII</t>
        </is>
      </c>
      <c r="C226" s="24" t="inlineStr">
        <is>
          <t>HEDGE BRASIL SHOPPING FUNDO DE INVESTIMENTO IMOBILIÁRIO DE RESPONSABILIDADE LIMITADA</t>
        </is>
      </c>
      <c r="D226" s="24" t="n">
        <v>20.5</v>
      </c>
      <c r="E226" s="24" t="inlineStr">
        <is>
          <t>08.431.747/0001-06</t>
        </is>
      </c>
      <c r="F226" s="24" t="inlineStr">
        <is>
          <t>Shoppings</t>
        </is>
      </c>
      <c r="G226" s="29" t="inlineStr">
        <is>
          <t>9,14</t>
        </is>
      </c>
      <c r="H226" s="29" t="n"/>
      <c r="I226" s="24" t="n"/>
    </row>
    <row r="227">
      <c r="A227" s="26" t="inlineStr">
        <is>
          <t>HGCR11</t>
        </is>
      </c>
      <c r="B227" s="27" t="inlineStr">
        <is>
          <t>FII</t>
        </is>
      </c>
      <c r="C227" s="27" t="inlineStr">
        <is>
          <t>PÁTRIA RECEBÍVEIS IMOBILIÁRIOS - FUNDO DE INVESTIMENTO IMOBILIÁRIO - RESPONSABILIDADE LIMITADA</t>
        </is>
      </c>
      <c r="D227" s="27" t="n">
        <v>94.62</v>
      </c>
      <c r="E227" s="27" t="inlineStr">
        <is>
          <t>11.160.521/0001-22</t>
        </is>
      </c>
      <c r="F227" s="27" t="inlineStr">
        <is>
          <t>CRIs</t>
        </is>
      </c>
      <c r="G227" s="28" t="inlineStr">
        <is>
          <t>12,98</t>
        </is>
      </c>
      <c r="H227" s="28" t="n"/>
      <c r="I227" s="27" t="n"/>
    </row>
    <row r="228">
      <c r="A228" s="23" t="inlineStr">
        <is>
          <t>HGFF11</t>
        </is>
      </c>
      <c r="B228" s="24" t="inlineStr">
        <is>
          <t>FII</t>
        </is>
      </c>
      <c r="C228" s="24" t="inlineStr">
        <is>
          <t>PATRIA IMOBILIÁRIO FOF - FUNDO DE INVESTIMENTO IMOBILIÁRIO - RESPONSABILIDADE LIMITADA</t>
        </is>
      </c>
      <c r="D228" s="24" t="n">
        <v>62.38</v>
      </c>
      <c r="E228" s="24" t="inlineStr">
        <is>
          <t>32.784.898/0001-22</t>
        </is>
      </c>
      <c r="F228" s="24" t="inlineStr">
        <is>
          <t>Fundo de Fundos</t>
        </is>
      </c>
      <c r="G228" s="29" t="inlineStr">
        <is>
          <t>9,73</t>
        </is>
      </c>
      <c r="H228" s="29" t="n"/>
      <c r="I228" s="24" t="n"/>
    </row>
    <row r="229">
      <c r="A229" s="26" t="inlineStr">
        <is>
          <t>HGIC11</t>
        </is>
      </c>
      <c r="B229" s="27" t="inlineStr">
        <is>
          <t>FII</t>
        </is>
      </c>
      <c r="C229" s="27" t="inlineStr">
        <is>
          <t>HGI CRÉDITOS IMOBILIÁRIOS FUNDO DE INVESTIMENTO IMOBILIÁRIO RESPONSABILIDADE LIMITADA</t>
        </is>
      </c>
      <c r="D229" s="27" t="n">
        <v>64.5</v>
      </c>
      <c r="E229" s="27" t="inlineStr">
        <is>
          <t>38.456.508/0001-71</t>
        </is>
      </c>
      <c r="F229" s="27" t="inlineStr">
        <is>
          <t>CRIs</t>
        </is>
      </c>
      <c r="G229" s="28" t="inlineStr">
        <is>
          <t>14,34</t>
        </is>
      </c>
      <c r="H229" s="28" t="n"/>
      <c r="I229" s="27" t="n"/>
    </row>
    <row r="230">
      <c r="A230" s="23" t="inlineStr">
        <is>
          <t>HGLG11</t>
        </is>
      </c>
      <c r="B230" s="24" t="inlineStr">
        <is>
          <t>FII</t>
        </is>
      </c>
      <c r="C230" s="24" t="inlineStr">
        <is>
          <t>PÁTRIA LOG - FUNDO DE INVESTIMENTO IMOBILIÁRIO - RESPONSABILIDADE LIMITADA</t>
        </is>
      </c>
      <c r="D230" s="24" t="n">
        <v>158.33</v>
      </c>
      <c r="E230" s="24" t="inlineStr">
        <is>
          <t>11.728.688/0001-47</t>
        </is>
      </c>
      <c r="F230" s="24" t="inlineStr">
        <is>
          <t>Logística</t>
        </is>
      </c>
      <c r="G230" s="29" t="inlineStr">
        <is>
          <t>8,35</t>
        </is>
      </c>
      <c r="H230" s="29" t="n"/>
      <c r="I230" s="24" t="n"/>
    </row>
    <row r="231">
      <c r="A231" s="26" t="inlineStr">
        <is>
          <t>HGPO11</t>
        </is>
      </c>
      <c r="B231" s="27" t="inlineStr">
        <is>
          <t>FII</t>
        </is>
      </c>
      <c r="C231" s="27" t="inlineStr">
        <is>
          <t>PATRIA PRIME OFFICES - FUNDO DE INVESTIMENTO IMOBILIÁRIO - RESPONSABILIDADE LIMITADA</t>
        </is>
      </c>
      <c r="D231" s="27" t="n">
        <v>150.03</v>
      </c>
      <c r="E231" s="27" t="inlineStr">
        <is>
          <t>11.260.134/0001-68</t>
        </is>
      </c>
      <c r="F231" s="27" t="inlineStr">
        <is>
          <t>Escritórios</t>
        </is>
      </c>
      <c r="G231" s="28" t="inlineStr">
        <is>
          <t>0,00</t>
        </is>
      </c>
      <c r="H231" s="28" t="n"/>
      <c r="I231" s="27" t="n"/>
    </row>
    <row r="232">
      <c r="A232" s="23" t="inlineStr">
        <is>
          <t>HGRE11</t>
        </is>
      </c>
      <c r="B232" s="24" t="inlineStr">
        <is>
          <t>FII</t>
        </is>
      </c>
      <c r="C232" s="24" t="inlineStr">
        <is>
          <t>PATRIA ESCRITÓRIOS - FUNDO DE INVESTIMENTO IMOBILIÁRIO - RESPONSABILIDADE LIMITADA</t>
        </is>
      </c>
      <c r="D232" s="24" t="n">
        <v>130.63</v>
      </c>
      <c r="E232" s="24" t="inlineStr">
        <is>
          <t>09.072.017/0001-29</t>
        </is>
      </c>
      <c r="F232" s="24" t="inlineStr">
        <is>
          <t>Escritórios</t>
        </is>
      </c>
      <c r="G232" s="29" t="inlineStr">
        <is>
          <t>9,66</t>
        </is>
      </c>
      <c r="H232" s="29" t="n"/>
      <c r="I232" s="24" t="n"/>
    </row>
    <row r="233">
      <c r="A233" s="26" t="inlineStr">
        <is>
          <t>HGRU11</t>
        </is>
      </c>
      <c r="B233" s="27" t="inlineStr">
        <is>
          <t>FII</t>
        </is>
      </c>
      <c r="C233" s="27" t="inlineStr">
        <is>
          <t>PÁTRIA RENDA URBANA - FUNDO DE INVESTIMENTO IMOBILIÁRIO - RESPONSABILIDADE LIMITADA</t>
        </is>
      </c>
      <c r="D233" s="27" t="n">
        <v>129.83</v>
      </c>
      <c r="E233" s="27" t="inlineStr">
        <is>
          <t>29.641.226/0001-53</t>
        </is>
      </c>
      <c r="F233" s="27" t="inlineStr">
        <is>
          <t>Híbrido</t>
        </is>
      </c>
      <c r="G233" s="28" t="inlineStr">
        <is>
          <t>9,73</t>
        </is>
      </c>
      <c r="H233" s="28" t="n"/>
      <c r="I233" s="27" t="n"/>
    </row>
    <row r="234">
      <c r="A234" s="23" t="inlineStr">
        <is>
          <t>HILG11</t>
        </is>
      </c>
      <c r="B234" s="24" t="inlineStr">
        <is>
          <t>FII</t>
        </is>
      </c>
      <c r="C234" s="24" t="inlineStr">
        <is>
          <t>HIRE LOG I - FUNDO DE INVESTIMENTO IMOBILIÁRIO</t>
        </is>
      </c>
      <c r="D234" s="24" t="n">
        <v>186.81</v>
      </c>
      <c r="E234" s="24" t="inlineStr">
        <is>
          <t>34.867.728/0001-37</t>
        </is>
      </c>
      <c r="F234" s="24" t="n"/>
      <c r="G234" s="29" t="inlineStr">
        <is>
          <t>23,73</t>
        </is>
      </c>
      <c r="H234" s="29" t="n"/>
      <c r="I234" s="24" t="n"/>
    </row>
    <row r="235">
      <c r="A235" s="26" t="inlineStr">
        <is>
          <t>HLMB11</t>
        </is>
      </c>
      <c r="B235" s="27" t="inlineStr">
        <is>
          <t>FII</t>
        </is>
      </c>
      <c r="C235" s="27" t="inlineStr">
        <is>
          <t>FRAM CAPITAL HELMER MULTIATIVOS RENDA PREFERENCIAL FUNDO DE INVESTIMENTO IMOBILIÁRIO</t>
        </is>
      </c>
      <c r="D235" s="27" t="n"/>
      <c r="E235" s="27" t="inlineStr">
        <is>
          <t>40.944.707/0001-70</t>
        </is>
      </c>
      <c r="F235" s="27" t="n"/>
      <c r="G235" s="28" t="inlineStr">
        <is>
          <t>0,00</t>
        </is>
      </c>
      <c r="H235" s="28" t="n"/>
      <c r="I235" s="27" t="n"/>
    </row>
    <row r="236">
      <c r="A236" s="23" t="inlineStr">
        <is>
          <t>HLOG11</t>
        </is>
      </c>
      <c r="B236" s="24" t="inlineStr">
        <is>
          <t>FII</t>
        </is>
      </c>
      <c r="C236" s="24" t="inlineStr">
        <is>
          <t>HEDGE LOGÍSTICA FUNDO DE INVESTIMENTO IMOBILIÁRIO DE RESPONSABILIDADE LIMITADA</t>
        </is>
      </c>
      <c r="D236" s="24" t="n">
        <v>9.34</v>
      </c>
      <c r="E236" s="24" t="inlineStr">
        <is>
          <t>27.486.542/0001-72</t>
        </is>
      </c>
      <c r="F236" s="24" t="inlineStr">
        <is>
          <t>Logística</t>
        </is>
      </c>
      <c r="G236" s="29" t="inlineStr">
        <is>
          <t>9,52</t>
        </is>
      </c>
      <c r="H236" s="29" t="n"/>
      <c r="I236" s="24" t="n"/>
    </row>
    <row r="237">
      <c r="A237" s="26" t="inlineStr">
        <is>
          <t>HOFC11</t>
        </is>
      </c>
      <c r="B237" s="27" t="inlineStr">
        <is>
          <t>FII</t>
        </is>
      </c>
      <c r="C237" s="27" t="inlineStr">
        <is>
          <t>HEDGE OFFICE INCOME FUNDO DE INVESTIMENTO IMOBILIÁRIO DE RESPONSABILIDADE LIMITADA</t>
        </is>
      </c>
      <c r="D237" s="27" t="n">
        <v>32.2</v>
      </c>
      <c r="E237" s="27" t="inlineStr">
        <is>
          <t>31.894.369/0001-19</t>
        </is>
      </c>
      <c r="F237" s="27" t="inlineStr">
        <is>
          <t>Escritórios</t>
        </is>
      </c>
      <c r="G237" s="28" t="inlineStr">
        <is>
          <t>0,00</t>
        </is>
      </c>
      <c r="H237" s="28" t="n"/>
      <c r="I237" s="27" t="n"/>
    </row>
    <row r="238">
      <c r="A238" s="23" t="inlineStr">
        <is>
          <t>HOMS11</t>
        </is>
      </c>
      <c r="B238" s="24" t="inlineStr">
        <is>
          <t>FII</t>
        </is>
      </c>
      <c r="C238" s="24" t="inlineStr">
        <is>
          <t>FUNDO DE INVESTIMENTO IMOBILIÁRIO ROOFTOP III RESPONSABILIDADE LIMITADA</t>
        </is>
      </c>
      <c r="D238" s="24" t="n">
        <v>123.7</v>
      </c>
      <c r="E238" s="24" t="inlineStr">
        <is>
          <t>55.793.516/0001-22</t>
        </is>
      </c>
      <c r="F238" s="24" t="n"/>
      <c r="G238" s="29" t="inlineStr">
        <is>
          <t>0,00</t>
        </is>
      </c>
      <c r="H238" s="29" t="n"/>
      <c r="I238" s="24" t="n"/>
    </row>
    <row r="239">
      <c r="A239" s="26" t="inlineStr">
        <is>
          <t>HOSI11</t>
        </is>
      </c>
      <c r="B239" s="27" t="inlineStr">
        <is>
          <t>FII</t>
        </is>
      </c>
      <c r="C239" s="27" t="inlineStr">
        <is>
          <t>FUNDO DE INVESTIMENTO IMOBILIÁRIO HOUSI RESPONSABILIDADE LIMITADA</t>
        </is>
      </c>
      <c r="D239" s="27" t="n">
        <v>84.31999999999999</v>
      </c>
      <c r="E239" s="27" t="inlineStr">
        <is>
          <t>34.081.631/0001-02</t>
        </is>
      </c>
      <c r="F239" s="27" t="inlineStr">
        <is>
          <t>Outros</t>
        </is>
      </c>
      <c r="G239" s="28" t="inlineStr">
        <is>
          <t>6,56</t>
        </is>
      </c>
      <c r="H239" s="28" t="n"/>
      <c r="I239" s="27" t="n"/>
    </row>
    <row r="240">
      <c r="A240" s="23" t="inlineStr">
        <is>
          <t>HPDP11</t>
        </is>
      </c>
      <c r="B240" s="24" t="inlineStr">
        <is>
          <t>FII</t>
        </is>
      </c>
      <c r="C240" s="24" t="inlineStr">
        <is>
          <t>HEDGE SHOPPING PARQUE DOM PEDRO FUNDO DE INVESTIMENTO IMOBILIÁRIO DE RESPONSABILIDADE LIMITADA</t>
        </is>
      </c>
      <c r="D240" s="24" t="n">
        <v>92.43000000000001</v>
      </c>
      <c r="E240" s="24" t="inlineStr">
        <is>
          <t>35.586.415/0001-73</t>
        </is>
      </c>
      <c r="F240" s="24" t="inlineStr">
        <is>
          <t>Shoppings</t>
        </is>
      </c>
      <c r="G240" s="29" t="inlineStr">
        <is>
          <t>7,00</t>
        </is>
      </c>
      <c r="H240" s="29" t="n"/>
      <c r="I240" s="24" t="n"/>
    </row>
    <row r="241">
      <c r="A241" s="26" t="inlineStr">
        <is>
          <t>HRDF11</t>
        </is>
      </c>
      <c r="B241" s="27" t="inlineStr">
        <is>
          <t>FII</t>
        </is>
      </c>
      <c r="C241" s="27" t="inlineStr">
        <is>
          <t>HEDGE REALTY DEVELOPMENT FUNDO DE INVESTIMENTO IMOBILIÁRIO DE RESPONSABILIDADE LIMITADA</t>
        </is>
      </c>
      <c r="D241" s="27" t="n">
        <v>3.61</v>
      </c>
      <c r="E241" s="27" t="inlineStr">
        <is>
          <t>16.929.519/0001-99</t>
        </is>
      </c>
      <c r="F241" s="27" t="inlineStr">
        <is>
          <t>Desenvolvimento</t>
        </is>
      </c>
      <c r="G241" s="28" t="inlineStr">
        <is>
          <t>0,00</t>
        </is>
      </c>
      <c r="H241" s="28" t="n"/>
      <c r="I241" s="27" t="n"/>
    </row>
    <row r="242">
      <c r="A242" s="23" t="inlineStr">
        <is>
          <t>HREC11</t>
        </is>
      </c>
      <c r="B242" s="24" t="inlineStr">
        <is>
          <t>FII</t>
        </is>
      </c>
      <c r="C242" s="24" t="inlineStr">
        <is>
          <t>HEDGE RECEBÍVEIS IMOBILIÁRIOS FUNDO DE INVESTIMENTO IMOBILIÁRIO DE RESPONSABILIDADE LIMITADA</t>
        </is>
      </c>
      <c r="D242" s="24" t="n">
        <v>8.33</v>
      </c>
      <c r="E242" s="24" t="inlineStr">
        <is>
          <t>35.507.262/0001-21</t>
        </is>
      </c>
      <c r="F242" s="24" t="n"/>
      <c r="G242" s="29" t="inlineStr">
        <is>
          <t>12,17</t>
        </is>
      </c>
      <c r="H242" s="29" t="n"/>
      <c r="I242" s="24" t="n"/>
    </row>
    <row r="243">
      <c r="A243" s="26" t="inlineStr">
        <is>
          <t>HRES11</t>
        </is>
      </c>
      <c r="B243" s="27" t="inlineStr">
        <is>
          <t>FII</t>
        </is>
      </c>
      <c r="C243" s="27" t="inlineStr">
        <is>
          <t>FII HIRE RESIDENCIAL I - FUNDO DE INVESTIMENTO IMOBILIÁRIO</t>
        </is>
      </c>
      <c r="D243" s="27" t="n">
        <v>145.45</v>
      </c>
      <c r="E243" s="27" t="inlineStr">
        <is>
          <t>42.869.853/0001-04</t>
        </is>
      </c>
      <c r="F243" s="27" t="n"/>
      <c r="G243" s="28" t="inlineStr">
        <is>
          <t>25,42</t>
        </is>
      </c>
      <c r="H243" s="28" t="n"/>
      <c r="I243" s="27" t="n"/>
    </row>
    <row r="244">
      <c r="A244" s="23" t="inlineStr">
        <is>
          <t>HSAF11</t>
        </is>
      </c>
      <c r="B244" s="24" t="inlineStr">
        <is>
          <t>FII</t>
        </is>
      </c>
      <c r="C244" s="24" t="inlineStr">
        <is>
          <t>HSI ATIVOS FINANCEIROS FUNDO DE INVESTIMENTO IMOBILIÁRIO DE RESP LIMITADA</t>
        </is>
      </c>
      <c r="D244" s="24" t="n">
        <v>80.68000000000001</v>
      </c>
      <c r="E244" s="24" t="inlineStr">
        <is>
          <t>35.360.687/0001-50</t>
        </is>
      </c>
      <c r="F244" s="24" t="inlineStr">
        <is>
          <t>CRIs</t>
        </is>
      </c>
      <c r="G244" s="29" t="inlineStr">
        <is>
          <t>14,05</t>
        </is>
      </c>
      <c r="H244" s="29" t="n"/>
      <c r="I244" s="24" t="n"/>
    </row>
    <row r="245">
      <c r="A245" s="26" t="inlineStr">
        <is>
          <t>HSLG11</t>
        </is>
      </c>
      <c r="B245" s="27" t="inlineStr">
        <is>
          <t>FII</t>
        </is>
      </c>
      <c r="C245" s="27" t="inlineStr">
        <is>
          <t>HSI LOGÍSTICA FUNDO DE INVESTIMENTO IMOBILIÁRIO DE RESP LIMITADA</t>
        </is>
      </c>
      <c r="D245" s="27" t="n">
        <v>95.29000000000001</v>
      </c>
      <c r="E245" s="27" t="inlineStr">
        <is>
          <t>32.903.621/0001-71</t>
        </is>
      </c>
      <c r="F245" s="27" t="inlineStr">
        <is>
          <t>Logística</t>
        </is>
      </c>
      <c r="G245" s="28" t="inlineStr">
        <is>
          <t>8,59</t>
        </is>
      </c>
      <c r="H245" s="28" t="n"/>
      <c r="I245" s="27" t="n"/>
    </row>
    <row r="246">
      <c r="A246" s="23" t="inlineStr">
        <is>
          <t>HSML11</t>
        </is>
      </c>
      <c r="B246" s="24" t="inlineStr">
        <is>
          <t>FII</t>
        </is>
      </c>
      <c r="C246" s="24" t="inlineStr">
        <is>
          <t>HSI MALLS FUNDO DE INVESTIMENTO IMOBILIÁRIO DE RESPONSABILIDADE LIMITADA</t>
        </is>
      </c>
      <c r="D246" s="24" t="n">
        <v>94.56</v>
      </c>
      <c r="E246" s="24" t="inlineStr">
        <is>
          <t>32.892.018/0001-31</t>
        </is>
      </c>
      <c r="F246" s="24" t="inlineStr">
        <is>
          <t>Shoppings</t>
        </is>
      </c>
      <c r="G246" s="29" t="inlineStr">
        <is>
          <t>8,62</t>
        </is>
      </c>
      <c r="H246" s="29" t="n"/>
      <c r="I246" s="24" t="n"/>
    </row>
    <row r="247">
      <c r="A247" s="26" t="inlineStr">
        <is>
          <t>HSRE11</t>
        </is>
      </c>
      <c r="B247" s="27" t="inlineStr">
        <is>
          <t>FII</t>
        </is>
      </c>
      <c r="C247" s="27" t="inlineStr">
        <is>
          <t>HSI RENDA IMOBILIÁRIA FUNDO DE INVESTIMENTO IMOBILIÁRIO DE RESP LIMITADA</t>
        </is>
      </c>
      <c r="D247" s="27" t="n">
        <v>102</v>
      </c>
      <c r="E247" s="27" t="inlineStr">
        <is>
          <t>08.098.114/0001-28</t>
        </is>
      </c>
      <c r="F247" s="27" t="inlineStr">
        <is>
          <t>Híbrido</t>
        </is>
      </c>
      <c r="G247" s="28" t="inlineStr">
        <is>
          <t>10,71</t>
        </is>
      </c>
      <c r="H247" s="28" t="n"/>
      <c r="I247" s="27" t="n"/>
    </row>
    <row r="248">
      <c r="A248" s="23" t="inlineStr">
        <is>
          <t>HTMX11</t>
        </is>
      </c>
      <c r="B248" s="24" t="inlineStr">
        <is>
          <t>FII</t>
        </is>
      </c>
      <c r="C248" s="24" t="inlineStr">
        <is>
          <t>HOTEL MAXINVEST FUNDO DE INVESTIMENTO IMOBILIÁRIO RESPONSABILIDADE LIMITADA</t>
        </is>
      </c>
      <c r="D248" s="24" t="n">
        <v>136.95</v>
      </c>
      <c r="E248" s="24" t="inlineStr">
        <is>
          <t>08.706.065/0001-69</t>
        </is>
      </c>
      <c r="F248" s="24" t="n"/>
      <c r="G248" s="29" t="inlineStr">
        <is>
          <t>11,12</t>
        </is>
      </c>
      <c r="H248" s="29" t="n"/>
      <c r="I248" s="24" t="n"/>
    </row>
    <row r="249">
      <c r="A249" s="26" t="inlineStr">
        <is>
          <t>HUCG11</t>
        </is>
      </c>
      <c r="B249" s="27" t="inlineStr">
        <is>
          <t>FII</t>
        </is>
      </c>
      <c r="C249" s="27" t="inlineStr">
        <is>
          <t>FUNDO DE INVESTIMENTO IMOBILIÁRIO HOSPITAL UNIMED CAMPINA GRANDE RESPONSABILIDADE LIMITADA</t>
        </is>
      </c>
      <c r="D249" s="27" t="n">
        <v>96.62</v>
      </c>
      <c r="E249" s="27" t="inlineStr">
        <is>
          <t>39.347.413/0001-82</t>
        </is>
      </c>
      <c r="F249" s="27" t="n"/>
      <c r="G249" s="28" t="inlineStr">
        <is>
          <t>6,19</t>
        </is>
      </c>
      <c r="H249" s="28" t="n"/>
      <c r="I249" s="27" t="n"/>
    </row>
    <row r="250">
      <c r="A250" s="23" t="inlineStr">
        <is>
          <t>HUSC11</t>
        </is>
      </c>
      <c r="B250" s="24" t="inlineStr">
        <is>
          <t>FII</t>
        </is>
      </c>
      <c r="C250" s="24" t="inlineStr">
        <is>
          <t>FUNDO DE INVESTIMENTO IMOBILIARIO HOSPITAL UNIMED SUL CAPIXABA</t>
        </is>
      </c>
      <c r="D250" s="24" t="n">
        <v>96.01000000000001</v>
      </c>
      <c r="E250" s="24" t="inlineStr">
        <is>
          <t>28.851.767/0001-43</t>
        </is>
      </c>
      <c r="F250" s="24" t="n"/>
      <c r="G250" s="29" t="inlineStr">
        <is>
          <t>9,88</t>
        </is>
      </c>
      <c r="H250" s="29" t="n"/>
      <c r="I250" s="24" t="n"/>
    </row>
    <row r="251">
      <c r="A251" s="26" t="inlineStr">
        <is>
          <t>HUSI11</t>
        </is>
      </c>
      <c r="B251" s="27" t="inlineStr">
        <is>
          <t>FII</t>
        </is>
      </c>
      <c r="C251" s="27" t="inlineStr">
        <is>
          <t>HUSI FUNDO DE INVESTIMENTO IMOBILIÁRIO</t>
        </is>
      </c>
      <c r="D251" s="27" t="n">
        <v>1220</v>
      </c>
      <c r="E251" s="27" t="inlineStr">
        <is>
          <t>30.017.492/0001-99</t>
        </is>
      </c>
      <c r="F251" s="27" t="n"/>
      <c r="G251" s="28" t="inlineStr">
        <is>
          <t>9,51</t>
        </is>
      </c>
      <c r="H251" s="28" t="n"/>
      <c r="I251" s="27" t="n"/>
    </row>
    <row r="252">
      <c r="A252" s="23" t="inlineStr">
        <is>
          <t>HYPI11</t>
        </is>
      </c>
      <c r="B252" s="24" t="inlineStr">
        <is>
          <t>FII</t>
        </is>
      </c>
      <c r="C252" s="24" t="inlineStr">
        <is>
          <t>FII HIRE PROPERTIES I - FUNDO DE INVESTIMENTO IMOBILIÁRIO</t>
        </is>
      </c>
      <c r="D252" s="24" t="n">
        <v>181.5</v>
      </c>
      <c r="E252" s="24" t="inlineStr">
        <is>
          <t>28.899.178/0001-35</t>
        </is>
      </c>
      <c r="F252" s="24" t="n"/>
      <c r="G252" s="29" t="inlineStr">
        <is>
          <t>63,59</t>
        </is>
      </c>
      <c r="H252" s="29" t="n"/>
      <c r="I252" s="24" t="n"/>
    </row>
    <row r="253">
      <c r="A253" s="26" t="inlineStr">
        <is>
          <t>IBBP11</t>
        </is>
      </c>
      <c r="B253" s="27" t="inlineStr">
        <is>
          <t>FII</t>
        </is>
      </c>
      <c r="C253" s="27" t="inlineStr">
        <is>
          <t>INVISTA BRAZILIAN BUSINESS PARK FUNDO DE INVESTIMENTO IMOBILIÁRIO</t>
        </is>
      </c>
      <c r="D253" s="27" t="n">
        <v>8.32</v>
      </c>
      <c r="E253" s="27" t="inlineStr">
        <is>
          <t>52.551.605/0001-74</t>
        </is>
      </c>
      <c r="F253" s="27" t="n"/>
      <c r="G253" s="28" t="inlineStr">
        <is>
          <t>10,34</t>
        </is>
      </c>
      <c r="H253" s="28" t="n"/>
      <c r="I253" s="27" t="n"/>
    </row>
    <row r="254">
      <c r="A254" s="23" t="inlineStr">
        <is>
          <t>IBCR11</t>
        </is>
      </c>
      <c r="B254" s="24" t="inlineStr">
        <is>
          <t>FII</t>
        </is>
      </c>
      <c r="C254" s="24" t="inlineStr">
        <is>
          <t>CRI INTEGRAL BREI FUNDO DE INVESTIMENTO IMOBILIÁRIO RESPONSABILIDADE LIMITADA</t>
        </is>
      </c>
      <c r="D254" s="24" t="n">
        <v>52.2</v>
      </c>
      <c r="E254" s="24" t="inlineStr">
        <is>
          <t>40.011.251/0001-96</t>
        </is>
      </c>
      <c r="F254" s="24" t="n"/>
      <c r="G254" s="29" t="inlineStr">
        <is>
          <t>17,09</t>
        </is>
      </c>
      <c r="H254" s="29" t="n"/>
      <c r="I254" s="24" t="n"/>
    </row>
    <row r="255">
      <c r="A255" s="26" t="inlineStr">
        <is>
          <t>ICNE11</t>
        </is>
      </c>
      <c r="B255" s="27" t="inlineStr">
        <is>
          <t>FII</t>
        </is>
      </c>
      <c r="C255" s="27" t="inlineStr">
        <is>
          <t>ÍCONE - FUNDO DE INVESTIMENTO IMOBILIÁRIO RESPONSABILIDADE LIMITADA</t>
        </is>
      </c>
      <c r="D255" s="27" t="n">
        <v>769.63</v>
      </c>
      <c r="E255" s="27" t="inlineStr">
        <is>
          <t>53.137.434/0001-02</t>
        </is>
      </c>
      <c r="F255" s="27" t="n"/>
      <c r="G255" s="28" t="inlineStr">
        <is>
          <t>18,08</t>
        </is>
      </c>
      <c r="H255" s="28" t="n"/>
      <c r="I255" s="27" t="n"/>
    </row>
    <row r="256">
      <c r="A256" s="23" t="inlineStr">
        <is>
          <t>ICRI11</t>
        </is>
      </c>
      <c r="B256" s="24" t="inlineStr">
        <is>
          <t>FII</t>
        </is>
      </c>
      <c r="C256" s="24" t="inlineStr">
        <is>
          <t>ITAÚ CRÉDITO IMOBILIÁRIO IPCA FUNDO DE INVESTIMENTO IMOBILIÁRIO RESPONSABILIDADE LIMITADA</t>
        </is>
      </c>
      <c r="D256" s="24" t="n">
        <v>96.68000000000001</v>
      </c>
      <c r="E256" s="24" t="inlineStr">
        <is>
          <t>51.294.441/0001-84</t>
        </is>
      </c>
      <c r="F256" s="24" t="n"/>
      <c r="G256" s="29" t="inlineStr">
        <is>
          <t>12,47</t>
        </is>
      </c>
      <c r="H256" s="29" t="n"/>
      <c r="I256" s="24" t="n"/>
    </row>
    <row r="257">
      <c r="A257" s="26" t="inlineStr">
        <is>
          <t>IDUA11</t>
        </is>
      </c>
      <c r="B257" s="27" t="inlineStr">
        <is>
          <t>FII</t>
        </is>
      </c>
      <c r="C257" s="27" t="inlineStr">
        <is>
          <t>FUNDO DE INVESTIMENTO IMOBILIÁRIO DE UNIDADES AUTÔNOMAS IV</t>
        </is>
      </c>
      <c r="D257" s="27" t="n">
        <v>0</v>
      </c>
      <c r="E257" s="27" t="inlineStr">
        <is>
          <t>52.324.762/0001-47</t>
        </is>
      </c>
      <c r="F257" s="27" t="n"/>
      <c r="G257" s="28" t="inlineStr">
        <is>
          <t>13,62</t>
        </is>
      </c>
      <c r="H257" s="28" t="n"/>
      <c r="I257" s="27" t="n"/>
    </row>
    <row r="258">
      <c r="A258" s="23" t="inlineStr">
        <is>
          <t>INDE11</t>
        </is>
      </c>
      <c r="B258" s="24" t="inlineStr">
        <is>
          <t>FII</t>
        </is>
      </c>
      <c r="C258" s="24" t="inlineStr">
        <is>
          <t>INTER DESENVOLVIMENTO FUNDO DE INVESTIMENTO IMOBILIÁRIO RESPONSABILIDADE LIMITADA</t>
        </is>
      </c>
      <c r="D258" s="24" t="n">
        <v>76</v>
      </c>
      <c r="E258" s="24" t="inlineStr">
        <is>
          <t>52.635.194/0001-03</t>
        </is>
      </c>
      <c r="F258" s="24" t="n"/>
      <c r="G258" s="29" t="inlineStr">
        <is>
          <t>0,00</t>
        </is>
      </c>
      <c r="H258" s="29" t="n"/>
      <c r="I258" s="24" t="n"/>
    </row>
    <row r="259">
      <c r="A259" s="26" t="inlineStr">
        <is>
          <t>INOI11</t>
        </is>
      </c>
      <c r="B259" s="27" t="inlineStr">
        <is>
          <t>FII</t>
        </is>
      </c>
      <c r="C259" s="27" t="inlineStr">
        <is>
          <t>INTER OPORTUNIDADE IMOBILIÁRIA FUNDO DE INVESTIMENTO IMOBILIÁRIO - RESPONSABILIDADE LIMITADA</t>
        </is>
      </c>
      <c r="D259" s="27" t="n"/>
      <c r="E259" s="27" t="n"/>
      <c r="F259" s="27" t="n"/>
      <c r="G259" s="28" t="inlineStr">
        <is>
          <t>0,00</t>
        </is>
      </c>
      <c r="H259" s="28" t="n"/>
      <c r="I259" s="27" t="n"/>
    </row>
    <row r="260">
      <c r="A260" s="23" t="inlineStr">
        <is>
          <t>INRD11</t>
        </is>
      </c>
      <c r="B260" s="24" t="inlineStr">
        <is>
          <t>FII</t>
        </is>
      </c>
      <c r="C260" s="24" t="inlineStr">
        <is>
          <t>INTER RESIDENCE FUNDO DE INVESTIMENTO IMOBILIÁRIO FII RESPONSABILIDADE LIMITADA</t>
        </is>
      </c>
      <c r="D260" s="24" t="n">
        <v>76.19</v>
      </c>
      <c r="E260" s="24" t="inlineStr">
        <is>
          <t>34.835.191/0001-23</t>
        </is>
      </c>
      <c r="F260" s="24" t="n"/>
      <c r="G260" s="29" t="inlineStr">
        <is>
          <t>9,96</t>
        </is>
      </c>
      <c r="H260" s="29" t="n"/>
      <c r="I260" s="24" t="n"/>
    </row>
    <row r="261">
      <c r="A261" s="26" t="inlineStr">
        <is>
          <t>ISCJ11</t>
        </is>
      </c>
      <c r="B261" s="27" t="inlineStr">
        <is>
          <t>FII</t>
        </is>
      </c>
      <c r="C261" s="27" t="inlineStr">
        <is>
          <t>INVISTA SCJ FUNDO DE INVESTIMENTO IMOBILIÁRIO - RESPONSABILIDADE LIMITADA</t>
        </is>
      </c>
      <c r="D261" s="27" t="n">
        <v>50.71</v>
      </c>
      <c r="E261" s="27" t="inlineStr">
        <is>
          <t>50.418.740/0001-10</t>
        </is>
      </c>
      <c r="F261" s="27" t="n"/>
      <c r="G261" s="28" t="inlineStr">
        <is>
          <t>45,84</t>
        </is>
      </c>
      <c r="H261" s="28" t="n"/>
      <c r="I261" s="27" t="n"/>
    </row>
    <row r="262">
      <c r="A262" s="23" t="inlineStr">
        <is>
          <t>ITIP11</t>
        </is>
      </c>
      <c r="B262" s="24" t="inlineStr">
        <is>
          <t>FII</t>
        </is>
      </c>
      <c r="C262" s="24" t="inlineStr">
        <is>
          <t>INTER TEVA ÍNDICE DE PAPEL FUNDO DE INVESTIMENTO IMOBILIÁRIO FII RESPONSABILIDADE LIMITADA</t>
        </is>
      </c>
      <c r="D262" s="24" t="n">
        <v>65.95</v>
      </c>
      <c r="E262" s="24" t="inlineStr">
        <is>
          <t>36.312.772/0001-06</t>
        </is>
      </c>
      <c r="F262" s="24" t="n"/>
      <c r="G262" s="29" t="inlineStr">
        <is>
          <t>13,53</t>
        </is>
      </c>
      <c r="H262" s="29" t="n"/>
      <c r="I262" s="24" t="n"/>
    </row>
    <row r="263">
      <c r="A263" s="26" t="inlineStr">
        <is>
          <t>ITIT11</t>
        </is>
      </c>
      <c r="B263" s="27" t="inlineStr">
        <is>
          <t>FII</t>
        </is>
      </c>
      <c r="C263" s="27" t="inlineStr">
        <is>
          <t>INTER TEVA ÍNDICE DE TIJOLO FUNDO DE INVESTIMENTO IMOBILIÁRIO FII RESPONSABILIDADE LIMITADA</t>
        </is>
      </c>
      <c r="D263" s="27" t="n">
        <v>74.01000000000001</v>
      </c>
      <c r="E263" s="27" t="inlineStr">
        <is>
          <t>36.293.425/0001-83</t>
        </is>
      </c>
      <c r="F263" s="27" t="n"/>
      <c r="G263" s="28" t="inlineStr">
        <is>
          <t>10,01</t>
        </is>
      </c>
      <c r="H263" s="28" t="n"/>
      <c r="I263" s="27" t="n"/>
    </row>
    <row r="264">
      <c r="A264" s="23" t="inlineStr">
        <is>
          <t>ITRI11</t>
        </is>
      </c>
      <c r="B264" s="24" t="inlineStr">
        <is>
          <t>FII</t>
        </is>
      </c>
      <c r="C264" s="24" t="inlineStr">
        <is>
          <t>ITAÚ TOTAL RETURN FUNDO DE INVESTIMENTO IMOBILIÁRIO RESPONSABILIDADE LIMITADA</t>
        </is>
      </c>
      <c r="D264" s="24" t="n">
        <v>89.05</v>
      </c>
      <c r="E264" s="24" t="inlineStr">
        <is>
          <t>52.270.671/0001-76</t>
        </is>
      </c>
      <c r="F264" s="24" t="n"/>
      <c r="G264" s="29" t="inlineStr">
        <is>
          <t>11,79</t>
        </is>
      </c>
      <c r="H264" s="29" t="n"/>
      <c r="I264" s="24" t="n"/>
    </row>
    <row r="265">
      <c r="A265" s="26" t="inlineStr">
        <is>
          <t>IVCI11</t>
        </is>
      </c>
      <c r="B265" s="27" t="inlineStr">
        <is>
          <t>FII</t>
        </is>
      </c>
      <c r="C265" s="27" t="inlineStr">
        <is>
          <t>ICATU VANGUARDA CRÉDITO IMOBILIÁRIO FUNDO DE INVESTIMENTO IMOBILIÁRIO - RESPONSABILIDADE LIMITADA</t>
        </is>
      </c>
      <c r="D265" s="27" t="n">
        <v>0</v>
      </c>
      <c r="E265" s="27" t="inlineStr">
        <is>
          <t>53.305.536/0001-81</t>
        </is>
      </c>
      <c r="F265" s="27" t="n"/>
      <c r="G265" s="28" t="inlineStr">
        <is>
          <t>14,03</t>
        </is>
      </c>
      <c r="H265" s="28" t="n"/>
      <c r="I265" s="27" t="n"/>
    </row>
    <row r="266">
      <c r="A266" s="23" t="inlineStr">
        <is>
          <t>JASC11</t>
        </is>
      </c>
      <c r="B266" s="24" t="inlineStr">
        <is>
          <t>FII</t>
        </is>
      </c>
      <c r="C266" s="24" t="inlineStr">
        <is>
          <t>JASC RENDA VAREJO ESSENCIAL FUNDO DE INVESTIMENTO IMOBILIÁRIO RESPONSABILIDADE LIMITADA</t>
        </is>
      </c>
      <c r="D266" s="24" t="n">
        <v>100</v>
      </c>
      <c r="E266" s="24" t="inlineStr">
        <is>
          <t>40.886.241/0001-02</t>
        </is>
      </c>
      <c r="F266" s="24" t="n"/>
      <c r="G266" s="29" t="inlineStr">
        <is>
          <t>8,09</t>
        </is>
      </c>
      <c r="H266" s="29" t="n"/>
      <c r="I266" s="24" t="n"/>
    </row>
    <row r="267">
      <c r="A267" s="26" t="inlineStr">
        <is>
          <t>JBFO11</t>
        </is>
      </c>
      <c r="B267" s="27" t="inlineStr">
        <is>
          <t>FII</t>
        </is>
      </c>
      <c r="C267" s="27" t="inlineStr">
        <is>
          <t>JBFO FOF FUNDO DE INVESTIMENTO IMOBILIÁRIO</t>
        </is>
      </c>
      <c r="D267" s="27" t="n">
        <v>82.01000000000001</v>
      </c>
      <c r="E267" s="27" t="inlineStr">
        <is>
          <t>36.615.915/0001-59</t>
        </is>
      </c>
      <c r="F267" s="27" t="n"/>
      <c r="G267" s="28" t="inlineStr">
        <is>
          <t>0,78</t>
        </is>
      </c>
      <c r="H267" s="28" t="n"/>
      <c r="I267" s="27" t="n"/>
    </row>
    <row r="268">
      <c r="A268" s="23" t="inlineStr">
        <is>
          <t>JCCJ11</t>
        </is>
      </c>
      <c r="B268" s="24" t="inlineStr">
        <is>
          <t>FII</t>
        </is>
      </c>
      <c r="C268" s="24" t="inlineStr">
        <is>
          <t>JHSF CAPITAL CIDADE JARDIM - FUNDO DE INVESTIMENTO IMOBILIÁRIO RESPONSABILIDADE LIMITADA</t>
        </is>
      </c>
      <c r="D268" s="24" t="n">
        <v>157.9</v>
      </c>
      <c r="E268" s="24" t="inlineStr">
        <is>
          <t>50.701.686/0001-16</t>
        </is>
      </c>
      <c r="F268" s="24" t="n"/>
      <c r="G268" s="29" t="inlineStr">
        <is>
          <t>5,82</t>
        </is>
      </c>
      <c r="H268" s="29" t="n"/>
      <c r="I268" s="24" t="n"/>
    </row>
    <row r="269">
      <c r="A269" s="26" t="inlineStr">
        <is>
          <t>JCDA11</t>
        </is>
      </c>
      <c r="B269" s="27" t="inlineStr">
        <is>
          <t>FII</t>
        </is>
      </c>
      <c r="C269" s="27" t="inlineStr">
        <is>
          <t>JACARANDÁ I FUNDO DE INVESTIMENTO IMOBILIÁRIO - RESPONSABILIDADE LIMITADA</t>
        </is>
      </c>
      <c r="D269" s="27" t="n"/>
      <c r="E269" s="27" t="inlineStr">
        <is>
          <t>31.772.231/0001-47</t>
        </is>
      </c>
      <c r="F269" s="27" t="n"/>
      <c r="G269" s="28" t="inlineStr">
        <is>
          <t>0,00</t>
        </is>
      </c>
      <c r="H269" s="28" t="n"/>
      <c r="I269" s="27" t="n"/>
    </row>
    <row r="270">
      <c r="A270" s="23" t="inlineStr">
        <is>
          <t>JCDB11</t>
        </is>
      </c>
      <c r="B270" s="24" t="inlineStr">
        <is>
          <t>FII</t>
        </is>
      </c>
      <c r="C270" s="24" t="inlineStr">
        <is>
          <t>JACARANDÁ 02 FUNDO DE INVESTIMENTO IMOBILIÁRIO RESPONSABILIDADE LIMITADA</t>
        </is>
      </c>
      <c r="D270" s="24" t="n"/>
      <c r="E270" s="24" t="inlineStr">
        <is>
          <t>35.705.542/0001-44</t>
        </is>
      </c>
      <c r="F270" s="24" t="n"/>
      <c r="G270" s="29" t="inlineStr">
        <is>
          <t>0,00</t>
        </is>
      </c>
      <c r="H270" s="29" t="n"/>
      <c r="I270" s="24" t="n"/>
    </row>
    <row r="271">
      <c r="A271" s="26" t="inlineStr">
        <is>
          <t>JCIN11</t>
        </is>
      </c>
      <c r="B271" s="27" t="inlineStr">
        <is>
          <t>FII</t>
        </is>
      </c>
      <c r="C271" s="27" t="inlineStr">
        <is>
          <t>FOF JHSF INSTITUCIONAL - FUNDO DE INVESTIMENTO IMOBILIÁRIO RESPONSABILIDADE LIMITADA</t>
        </is>
      </c>
      <c r="D271" s="27" t="n">
        <v>148.9</v>
      </c>
      <c r="E271" s="27" t="inlineStr">
        <is>
          <t>50.718.976/0001-72</t>
        </is>
      </c>
      <c r="F271" s="27" t="n"/>
      <c r="G271" s="28" t="inlineStr">
        <is>
          <t>3,62</t>
        </is>
      </c>
      <c r="H271" s="28" t="n"/>
      <c r="I271" s="27" t="n"/>
    </row>
    <row r="272">
      <c r="A272" s="23" t="inlineStr">
        <is>
          <t>JFLL11</t>
        </is>
      </c>
      <c r="B272" s="24" t="inlineStr">
        <is>
          <t>FII</t>
        </is>
      </c>
      <c r="C272" s="24" t="inlineStr">
        <is>
          <t>JFL LIVING FUNDO DE INVESTIMENTO IMOBILIÁRIO RESPONSABILIDADE LIMITADA</t>
        </is>
      </c>
      <c r="D272" s="24" t="n">
        <v>58.91</v>
      </c>
      <c r="E272" s="24" t="inlineStr">
        <is>
          <t>36.501.181/0001-87</t>
        </is>
      </c>
      <c r="F272" s="24" t="n"/>
      <c r="G272" s="29" t="inlineStr">
        <is>
          <t>9,58</t>
        </is>
      </c>
      <c r="H272" s="29" t="n"/>
      <c r="I272" s="24" t="n"/>
    </row>
    <row r="273">
      <c r="A273" s="26" t="inlineStr">
        <is>
          <t>JPPA11</t>
        </is>
      </c>
      <c r="B273" s="27" t="inlineStr">
        <is>
          <t>FII</t>
        </is>
      </c>
      <c r="C273" s="27" t="inlineStr">
        <is>
          <t>JPP CAPITAL RECEBÍVEIS IMOBILIÁRIOS FUNDO DE INVESTIMENTO IMOBILIÁRIO DE RESPONSABILIDADE LIMITADA</t>
        </is>
      </c>
      <c r="D273" s="27" t="n">
        <v>85.45999999999999</v>
      </c>
      <c r="E273" s="27" t="inlineStr">
        <is>
          <t>30.982.880/0001-00</t>
        </is>
      </c>
      <c r="F273" s="27" t="n"/>
      <c r="G273" s="28" t="inlineStr">
        <is>
          <t>15,21</t>
        </is>
      </c>
      <c r="H273" s="28" t="n"/>
      <c r="I273" s="27" t="n"/>
    </row>
    <row r="274">
      <c r="A274" s="23" t="inlineStr">
        <is>
          <t>JPPC11</t>
        </is>
      </c>
      <c r="B274" s="24" t="inlineStr">
        <is>
          <t>FII</t>
        </is>
      </c>
      <c r="C274" s="24" t="inlineStr">
        <is>
          <t>JPP CAPITAL FUNDO DE INVESTIMENTO IMOBILIÁRIO - FII</t>
        </is>
      </c>
      <c r="D274" s="24" t="n"/>
      <c r="E274" s="24" t="inlineStr">
        <is>
          <t>17.216.625/0001-98</t>
        </is>
      </c>
      <c r="F274" s="24" t="n"/>
      <c r="G274" s="29" t="inlineStr">
        <is>
          <t>0,22</t>
        </is>
      </c>
      <c r="H274" s="29" t="n"/>
      <c r="I274" s="24" t="n"/>
    </row>
    <row r="275">
      <c r="A275" s="26" t="inlineStr">
        <is>
          <t>JSAF11</t>
        </is>
      </c>
      <c r="B275" s="27" t="inlineStr">
        <is>
          <t>FII</t>
        </is>
      </c>
      <c r="C275" s="27" t="inlineStr">
        <is>
          <t>JS ATIVOS FINANCEIROS FUNDO DE INVESTIMENTO IMOBILIÁRIO - RESPONSABILIDADE LIMITADA</t>
        </is>
      </c>
      <c r="D275" s="27" t="n">
        <v>7.96</v>
      </c>
      <c r="E275" s="27" t="inlineStr">
        <is>
          <t>42.085.661/0001-07</t>
        </is>
      </c>
      <c r="F275" s="27" t="n"/>
      <c r="G275" s="28" t="inlineStr">
        <is>
          <t>12,81</t>
        </is>
      </c>
      <c r="H275" s="28" t="n"/>
      <c r="I275" s="27" t="n"/>
    </row>
    <row r="276">
      <c r="A276" s="23" t="inlineStr">
        <is>
          <t>JSCR11</t>
        </is>
      </c>
      <c r="B276" s="24" t="inlineStr">
        <is>
          <t>FII</t>
        </is>
      </c>
      <c r="C276" s="24" t="inlineStr">
        <is>
          <t>JS RECEBÍVEIS IMOBILIÁRIOS FUNDO DE INVESTIMENTO IMOBILIÁRIO</t>
        </is>
      </c>
      <c r="D276" s="24" t="n">
        <v>8.42</v>
      </c>
      <c r="E276" s="24" t="inlineStr">
        <is>
          <t>54.866.214/0001-74</t>
        </is>
      </c>
      <c r="F276" s="24" t="n"/>
      <c r="G276" s="29" t="inlineStr">
        <is>
          <t>13,40</t>
        </is>
      </c>
      <c r="H276" s="29" t="n"/>
      <c r="I276" s="24" t="n"/>
    </row>
    <row r="277">
      <c r="A277" s="26" t="inlineStr">
        <is>
          <t>JSRE11</t>
        </is>
      </c>
      <c r="B277" s="27" t="inlineStr">
        <is>
          <t>FII</t>
        </is>
      </c>
      <c r="C277" s="27" t="inlineStr">
        <is>
          <t>JS REAL ESTATE MULTIGESTÃO FUNDO DE INVESTIMENTO IMOBILIÁRIO - RESPONSABILIDADE LIMITADA</t>
        </is>
      </c>
      <c r="D277" s="27" t="n">
        <v>67.12</v>
      </c>
      <c r="E277" s="27" t="inlineStr">
        <is>
          <t>13.371.132/0001-71</t>
        </is>
      </c>
      <c r="F277" s="27" t="n"/>
      <c r="G277" s="28" t="inlineStr">
        <is>
          <t>8,75</t>
        </is>
      </c>
      <c r="H277" s="28" t="n"/>
      <c r="I277" s="27" t="n"/>
    </row>
    <row r="278">
      <c r="A278" s="23" t="inlineStr">
        <is>
          <t>JTPR11</t>
        </is>
      </c>
      <c r="B278" s="24" t="inlineStr">
        <is>
          <t>FII</t>
        </is>
      </c>
      <c r="C278" s="24" t="inlineStr">
        <is>
          <t>JT PREV FUNDO DE INVESTIMENTO IMOBILIÁRIO D. HAB</t>
        </is>
      </c>
      <c r="D278" s="24" t="n">
        <v>0</v>
      </c>
      <c r="E278" s="24" t="inlineStr">
        <is>
          <t>23.876.086/0001-16</t>
        </is>
      </c>
      <c r="F278" s="24" t="n"/>
      <c r="G278" s="29" t="inlineStr">
        <is>
          <t>0,00</t>
        </is>
      </c>
      <c r="H278" s="29" t="n"/>
      <c r="I278" s="24" t="n"/>
    </row>
    <row r="279">
      <c r="A279" s="26" t="inlineStr">
        <is>
          <t>KCRE11</t>
        </is>
      </c>
      <c r="B279" s="27" t="inlineStr">
        <is>
          <t>FII</t>
        </is>
      </c>
      <c r="C279" s="27" t="inlineStr">
        <is>
          <t>KINEA CREDITAS FUNDO DE INVESTIMENTO IMOBILIÁRIO RESPONSABILIDADE LIMITADA</t>
        </is>
      </c>
      <c r="D279" s="27" t="n">
        <v>8.779999999999999</v>
      </c>
      <c r="E279" s="27" t="inlineStr">
        <is>
          <t>42.502.802/0001-40</t>
        </is>
      </c>
      <c r="F279" s="27" t="n"/>
      <c r="G279" s="28" t="inlineStr">
        <is>
          <t>13,15</t>
        </is>
      </c>
      <c r="H279" s="28" t="n"/>
      <c r="I279" s="27" t="n"/>
    </row>
    <row r="280">
      <c r="A280" s="23" t="inlineStr">
        <is>
          <t>KDLG11</t>
        </is>
      </c>
      <c r="B280" s="24" t="inlineStr">
        <is>
          <t>FII</t>
        </is>
      </c>
      <c r="C280" s="24" t="inlineStr">
        <is>
          <t>KINEA DESENVOLVIMENTO LOGÍSTICO II FUNDO DE INVESTIMENTO IMOBILIÁRIO RESPONSABILIDADE LIMITADA</t>
        </is>
      </c>
      <c r="D280" s="24" t="n"/>
      <c r="E280" s="24" t="n"/>
      <c r="F280" s="24" t="n"/>
      <c r="G280" s="29" t="inlineStr">
        <is>
          <t>0,00</t>
        </is>
      </c>
      <c r="H280" s="29" t="n"/>
      <c r="I280" s="24" t="n"/>
    </row>
    <row r="281">
      <c r="A281" s="26" t="inlineStr">
        <is>
          <t>KEVE11</t>
        </is>
      </c>
      <c r="B281" s="27" t="inlineStr">
        <is>
          <t>FII</t>
        </is>
      </c>
      <c r="C281" s="27" t="inlineStr">
        <is>
          <t>EVEN II KINEA FUNDO DE INVESTIMENTO IMOBILIÁRIO RESPONSABILIDADE LIMITADA</t>
        </is>
      </c>
      <c r="D281" s="27" t="n">
        <v>639.98</v>
      </c>
      <c r="E281" s="27" t="inlineStr">
        <is>
          <t>32.317.313/0001-64</t>
        </is>
      </c>
      <c r="F281" s="27" t="n"/>
      <c r="G281" s="28" t="inlineStr">
        <is>
          <t>16,80</t>
        </is>
      </c>
      <c r="H281" s="28" t="n"/>
      <c r="I281" s="27" t="n"/>
    </row>
    <row r="282">
      <c r="A282" s="23" t="inlineStr">
        <is>
          <t>KFEN11</t>
        </is>
      </c>
      <c r="B282" s="24" t="inlineStr">
        <is>
          <t>FII</t>
        </is>
      </c>
      <c r="C282" s="24" t="inlineStr">
        <is>
          <t>KINEA FÊNIX FUNDO DE INVESTIMENTO IMOBILIÁRIO - RESPONSABILIDADE LIMITADA</t>
        </is>
      </c>
      <c r="D282" s="24" t="n">
        <v>1100</v>
      </c>
      <c r="E282" s="24" t="inlineStr">
        <is>
          <t>55.753.193/0001-43</t>
        </is>
      </c>
      <c r="F282" s="24" t="n"/>
      <c r="G282" s="29" t="inlineStr">
        <is>
          <t>10,22</t>
        </is>
      </c>
      <c r="H282" s="29" t="n"/>
      <c r="I282" s="24" t="n"/>
    </row>
    <row r="283">
      <c r="A283" s="26" t="inlineStr">
        <is>
          <t>KFOF11</t>
        </is>
      </c>
      <c r="B283" s="27" t="inlineStr">
        <is>
          <t>FII</t>
        </is>
      </c>
      <c r="C283" s="27" t="inlineStr">
        <is>
          <t>FUNDO DE FUNDOS DE INVESTIMENTO IMOBILIÁRIO KINEA FII RESPONSABILIDADE LIMITADA</t>
        </is>
      </c>
      <c r="D283" s="27" t="n">
        <v>82.34999999999999</v>
      </c>
      <c r="E283" s="27" t="inlineStr">
        <is>
          <t>30.091.444/0001-40</t>
        </is>
      </c>
      <c r="F283" s="27" t="n"/>
      <c r="G283" s="28" t="inlineStr">
        <is>
          <t>11,23</t>
        </is>
      </c>
      <c r="H283" s="28" t="n"/>
      <c r="I283" s="27" t="n"/>
    </row>
    <row r="284">
      <c r="A284" s="23" t="inlineStr">
        <is>
          <t>KGUJ11</t>
        </is>
      </c>
      <c r="B284" s="24" t="inlineStr">
        <is>
          <t>FII</t>
        </is>
      </c>
      <c r="C284" s="24" t="inlineStr">
        <is>
          <t>KINEA DESENVOLVIMENTO GUARARÁ JARDINS FUNDO DE INVESTIMENTO IMOBILIÁRIO RESPONSABILIDADE LIMITADA</t>
        </is>
      </c>
      <c r="D284" s="24" t="n"/>
      <c r="E284" s="24" t="n"/>
      <c r="F284" s="24" t="n"/>
      <c r="G284" s="29" t="inlineStr">
        <is>
          <t>0,00</t>
        </is>
      </c>
      <c r="H284" s="29" t="n"/>
      <c r="I284" s="24" t="n"/>
    </row>
    <row r="285">
      <c r="A285" s="26" t="inlineStr">
        <is>
          <t>KIVO11</t>
        </is>
      </c>
      <c r="B285" s="27" t="inlineStr">
        <is>
          <t>FII</t>
        </is>
      </c>
      <c r="C285" s="27" t="inlineStr">
        <is>
          <t>KILIMA VOLKANO RECEBÍVEIS IMOBILIÁRIOS FUNDO DE INVESTIMENTO IMOBILIÁRIO - RESPONSABILIDADE LIMITADA</t>
        </is>
      </c>
      <c r="D285" s="27" t="n">
        <v>66.22</v>
      </c>
      <c r="E285" s="27" t="inlineStr">
        <is>
          <t>42.273.325/0001-98</t>
        </is>
      </c>
      <c r="F285" s="27" t="n"/>
      <c r="G285" s="28" t="inlineStr">
        <is>
          <t>17,27</t>
        </is>
      </c>
      <c r="H285" s="28" t="n"/>
      <c r="I285" s="27" t="n"/>
    </row>
    <row r="286">
      <c r="A286" s="23" t="inlineStr">
        <is>
          <t>KLOG11</t>
        </is>
      </c>
      <c r="B286" s="24" t="inlineStr">
        <is>
          <t>FII</t>
        </is>
      </c>
      <c r="C286" s="24" t="inlineStr">
        <is>
          <t>KINEA DESENVOLVIMENTO LOGÍSTICO FUNDO DE INVESTIMENTO IMOBILIÁRIO RESPONSABILIDADE LIMITADA</t>
        </is>
      </c>
      <c r="D286" s="24" t="n"/>
      <c r="E286" s="24" t="inlineStr">
        <is>
          <t>51.734.924/0001-52</t>
        </is>
      </c>
      <c r="F286" s="24" t="n"/>
      <c r="G286" s="29" t="inlineStr">
        <is>
          <t>0,00</t>
        </is>
      </c>
      <c r="H286" s="29" t="n"/>
      <c r="I286" s="24" t="n"/>
    </row>
    <row r="287">
      <c r="A287" s="26" t="inlineStr">
        <is>
          <t>KNCR11</t>
        </is>
      </c>
      <c r="B287" s="27" t="inlineStr">
        <is>
          <t>FII</t>
        </is>
      </c>
      <c r="C287" s="27" t="inlineStr">
        <is>
          <t>KINEA RENDIMENTOS IMOBILIÁRIOS FUNDO DE INVESTIMENTO IMOBILIÁRIO RESPONSABILIDADE LIMITADA</t>
        </is>
      </c>
      <c r="D287" s="27" t="n">
        <v>105.51</v>
      </c>
      <c r="E287" s="27" t="inlineStr">
        <is>
          <t>16.706.958/0001-32</t>
        </is>
      </c>
      <c r="F287" s="27" t="n"/>
      <c r="G287" s="28" t="inlineStr">
        <is>
          <t>13,81</t>
        </is>
      </c>
      <c r="H287" s="28" t="n"/>
      <c r="I287" s="27" t="n"/>
    </row>
    <row r="288">
      <c r="A288" s="23" t="inlineStr">
        <is>
          <t>KNGR11</t>
        </is>
      </c>
      <c r="B288" s="24" t="inlineStr">
        <is>
          <t>FII</t>
        </is>
      </c>
      <c r="C288" s="24" t="inlineStr">
        <is>
          <t>KINEA DESENVOLVIMENTO GUARARÁ FUNDO DE INVESTIMENTO IMOBILIÁRIO RESPONSABILIDADE LIMITADA</t>
        </is>
      </c>
      <c r="D288" s="24" t="n"/>
      <c r="E288" s="24" t="n"/>
      <c r="F288" s="24" t="n"/>
      <c r="G288" s="29" t="inlineStr">
        <is>
          <t>0,00</t>
        </is>
      </c>
      <c r="H288" s="29" t="n"/>
      <c r="I288" s="24" t="n"/>
    </row>
    <row r="289">
      <c r="A289" s="26" t="inlineStr">
        <is>
          <t>KNHF11</t>
        </is>
      </c>
      <c r="B289" s="27" t="inlineStr">
        <is>
          <t>FII</t>
        </is>
      </c>
      <c r="C289" s="27" t="inlineStr">
        <is>
          <t>KINEA HEDGE FUND FUNDO DE INVESTIMENTO IMOBILIÁRIO - RESPONSABILIDADE LIMITADA</t>
        </is>
      </c>
      <c r="D289" s="27" t="n">
        <v>98.22</v>
      </c>
      <c r="E289" s="27" t="inlineStr">
        <is>
          <t>42.754.342/0001-47</t>
        </is>
      </c>
      <c r="F289" s="27" t="n"/>
      <c r="G289" s="28" t="inlineStr">
        <is>
          <t>12,12</t>
        </is>
      </c>
      <c r="H289" s="28" t="n"/>
      <c r="I289" s="27" t="n"/>
    </row>
    <row r="290">
      <c r="A290" s="23" t="inlineStr">
        <is>
          <t>KNHY11</t>
        </is>
      </c>
      <c r="B290" s="24" t="inlineStr">
        <is>
          <t>FII</t>
        </is>
      </c>
      <c r="C290" s="24" t="inlineStr">
        <is>
          <t>KINEA HIGH YIELD CRI FUNDO DE INVESTIMENTO IMOBILIÁRIO RESPONSABILIDADE LIMITADA</t>
        </is>
      </c>
      <c r="D290" s="24" t="n">
        <v>98.90000000000001</v>
      </c>
      <c r="E290" s="24" t="inlineStr">
        <is>
          <t>30.130.708/0001-28</t>
        </is>
      </c>
      <c r="F290" s="24" t="n"/>
      <c r="G290" s="29" t="inlineStr">
        <is>
          <t>13,81</t>
        </is>
      </c>
      <c r="H290" s="29" t="n"/>
      <c r="I290" s="24" t="n"/>
    </row>
    <row r="291">
      <c r="A291" s="26" t="inlineStr">
        <is>
          <t>KNIP11</t>
        </is>
      </c>
      <c r="B291" s="27" t="inlineStr">
        <is>
          <t>FII</t>
        </is>
      </c>
      <c r="C291" s="27" t="inlineStr">
        <is>
          <t>KINEA ÍNDICES DE PREÇOS FUNDO DE INVESTIMENTO IMOBILIÁRIO RESPONSABILIDADE LIMITADA</t>
        </is>
      </c>
      <c r="D291" s="27" t="n">
        <v>91.55</v>
      </c>
      <c r="E291" s="27" t="inlineStr">
        <is>
          <t>24.960.430/0001-13</t>
        </is>
      </c>
      <c r="F291" s="27" t="n"/>
      <c r="G291" s="28" t="inlineStr">
        <is>
          <t>10,69</t>
        </is>
      </c>
      <c r="H291" s="28" t="n"/>
      <c r="I291" s="27" t="n"/>
    </row>
    <row r="292">
      <c r="A292" s="23" t="inlineStr">
        <is>
          <t>KNPR11</t>
        </is>
      </c>
      <c r="B292" s="24" t="inlineStr">
        <is>
          <t>FII</t>
        </is>
      </c>
      <c r="C292" s="24" t="inlineStr">
        <is>
          <t>KINEA PREMIUM PROPERTIES FUNDO DE INVESTIMENTO IMOBILIÁRIO - RESPONSABILIDADE LIMITADA</t>
        </is>
      </c>
      <c r="D292" s="24" t="n"/>
      <c r="E292" s="24" t="inlineStr">
        <is>
          <t>42.737.059/0001-07</t>
        </is>
      </c>
      <c r="F292" s="24" t="n"/>
      <c r="G292" s="29" t="inlineStr">
        <is>
          <t>0,00</t>
        </is>
      </c>
      <c r="H292" s="29" t="n"/>
      <c r="I292" s="24" t="n"/>
    </row>
    <row r="293">
      <c r="A293" s="26" t="inlineStr">
        <is>
          <t>KNRE11</t>
        </is>
      </c>
      <c r="B293" s="27" t="inlineStr">
        <is>
          <t>FII</t>
        </is>
      </c>
      <c r="C293" s="27" t="inlineStr">
        <is>
          <t>KINEA II REAL ESTATE EQUITY FUNDO DE INVESTIMENTO IMOBILIÁRIO RESPONSABILIDADE LIMITADA</t>
        </is>
      </c>
      <c r="D293" s="27" t="n">
        <v>0.33</v>
      </c>
      <c r="E293" s="27" t="inlineStr">
        <is>
          <t>14.423.780/0001-97</t>
        </is>
      </c>
      <c r="F293" s="27" t="n"/>
      <c r="G293" s="28" t="inlineStr">
        <is>
          <t>1,75</t>
        </is>
      </c>
      <c r="H293" s="28" t="n"/>
      <c r="I293" s="27" t="n"/>
    </row>
    <row r="294">
      <c r="A294" s="23" t="inlineStr">
        <is>
          <t>KNSC11</t>
        </is>
      </c>
      <c r="B294" s="24" t="inlineStr">
        <is>
          <t>FII</t>
        </is>
      </c>
      <c r="C294" s="24" t="inlineStr">
        <is>
          <t>KINEA SECURITIES FUNDO DE INVESTIMENTO IMOBILIÁRIO RESPONSABILIDADE LIMITADA</t>
        </is>
      </c>
      <c r="D294" s="24" t="n">
        <v>8.93</v>
      </c>
      <c r="E294" s="24" t="inlineStr">
        <is>
          <t>35.864.448/0001-38</t>
        </is>
      </c>
      <c r="F294" s="24" t="n"/>
      <c r="G294" s="29" t="inlineStr">
        <is>
          <t>12,60</t>
        </is>
      </c>
      <c r="H294" s="29" t="n"/>
      <c r="I294" s="24" t="n"/>
    </row>
    <row r="295">
      <c r="A295" s="26" t="inlineStr">
        <is>
          <t>KNUQ11</t>
        </is>
      </c>
      <c r="B295" s="27" t="inlineStr">
        <is>
          <t>FII</t>
        </is>
      </c>
      <c r="C295" s="27" t="inlineStr">
        <is>
          <t>KINEA UNIQUE HY CDI FUNDO DE INVESTIMENTO IMOBILIÁRIO RESPONSABILIDADE LIMITADA</t>
        </is>
      </c>
      <c r="D295" s="27" t="n">
        <v>104.02</v>
      </c>
      <c r="E295" s="27" t="inlineStr">
        <is>
          <t>42.754.362/0001-18</t>
        </is>
      </c>
      <c r="F295" s="27" t="n"/>
      <c r="G295" s="28" t="inlineStr">
        <is>
          <t>14,84</t>
        </is>
      </c>
      <c r="H295" s="28" t="n"/>
      <c r="I295" s="27" t="n"/>
    </row>
    <row r="296">
      <c r="A296" s="23" t="inlineStr">
        <is>
          <t>KOPI11</t>
        </is>
      </c>
      <c r="B296" s="24" t="inlineStr">
        <is>
          <t>FII</t>
        </is>
      </c>
      <c r="C296" s="24" t="inlineStr">
        <is>
          <t>KINEA OPORTUNIDADES IMOBILIÁRIAS I FUNDO DE INVESTIMENTO IMOBILIÁRIO - RESPONSABILIDADE LIMITADA</t>
        </is>
      </c>
      <c r="D296" s="24" t="n"/>
      <c r="E296" s="24" t="inlineStr">
        <is>
          <t>51.869.200/0001-16</t>
        </is>
      </c>
      <c r="F296" s="24" t="n"/>
      <c r="G296" s="29" t="inlineStr">
        <is>
          <t>0,00</t>
        </is>
      </c>
      <c r="H296" s="29" t="n"/>
      <c r="I296" s="24" t="n"/>
    </row>
    <row r="297">
      <c r="A297" s="26" t="inlineStr">
        <is>
          <t>KORE11</t>
        </is>
      </c>
      <c r="B297" s="27" t="inlineStr">
        <is>
          <t>FII</t>
        </is>
      </c>
      <c r="C297" s="27" t="inlineStr">
        <is>
          <t>KINEA OPORTUNIDADES REAL ESTATE FUNDO DE INVESTIMENTO IMOBILIÁRIO - RESPONSABILIDADE LIMITADA</t>
        </is>
      </c>
      <c r="D297" s="27" t="n">
        <v>75.01000000000001</v>
      </c>
      <c r="E297" s="27" t="inlineStr">
        <is>
          <t>52.219.978/0001-42</t>
        </is>
      </c>
      <c r="F297" s="27" t="n"/>
      <c r="G297" s="28" t="inlineStr">
        <is>
          <t>18,32</t>
        </is>
      </c>
      <c r="H297" s="28" t="n"/>
      <c r="I297" s="27" t="n"/>
    </row>
    <row r="298">
      <c r="A298" s="23" t="inlineStr">
        <is>
          <t>KPMR11</t>
        </is>
      </c>
      <c r="B298" s="24" t="inlineStr">
        <is>
          <t>FII</t>
        </is>
      </c>
      <c r="C298" s="24" t="inlineStr">
        <is>
          <t>KINEA PRIME RESIDENCIAL I FUNDO DE INVESTIMENTO IMOBILIÁRIO DE RESPONSABILIDADE LIMITADA</t>
        </is>
      </c>
      <c r="D298" s="24" t="n"/>
      <c r="E298" s="24" t="n"/>
      <c r="F298" s="24" t="n"/>
      <c r="G298" s="29" t="inlineStr">
        <is>
          <t>0,00</t>
        </is>
      </c>
      <c r="H298" s="29" t="n"/>
      <c r="I298" s="24" t="n"/>
    </row>
    <row r="299">
      <c r="A299" s="26" t="inlineStr">
        <is>
          <t>KPRP11</t>
        </is>
      </c>
      <c r="B299" s="27" t="inlineStr">
        <is>
          <t>FII</t>
        </is>
      </c>
      <c r="C299" s="27" t="inlineStr">
        <is>
          <t>KINEA PRIME RESIDENCIAL I PVT FUNDO DE INVESTIMENTO IMOBILIÁRIO DE RESPONSABILIDADE LIMITADA</t>
        </is>
      </c>
      <c r="D299" s="27" t="n"/>
      <c r="E299" s="27" t="n"/>
      <c r="F299" s="27" t="n"/>
      <c r="G299" s="28" t="inlineStr">
        <is>
          <t>0,00</t>
        </is>
      </c>
      <c r="H299" s="28" t="n"/>
      <c r="I299" s="27" t="n"/>
    </row>
    <row r="300">
      <c r="A300" s="23" t="inlineStr">
        <is>
          <t>KRES11</t>
        </is>
      </c>
      <c r="B300" s="24" t="inlineStr">
        <is>
          <t>FII</t>
        </is>
      </c>
      <c r="C300" s="24" t="inlineStr">
        <is>
          <t>KINEA AQUISIÇÕES RESIDENCIAIS FUNDO DE INVESTIMENTO IMOBILIÁRIO - RESPONSABILIDADE LIMITADA</t>
        </is>
      </c>
      <c r="D300" s="24" t="n"/>
      <c r="E300" s="24" t="inlineStr">
        <is>
          <t>53.654.501/0001-58</t>
        </is>
      </c>
      <c r="F300" s="24" t="n"/>
      <c r="G300" s="29" t="inlineStr">
        <is>
          <t>0,00</t>
        </is>
      </c>
      <c r="H300" s="29" t="n"/>
      <c r="I300" s="24" t="n"/>
    </row>
    <row r="301">
      <c r="A301" s="26" t="inlineStr">
        <is>
          <t>LASC11</t>
        </is>
      </c>
      <c r="B301" s="27" t="inlineStr">
        <is>
          <t>FII</t>
        </is>
      </c>
      <c r="C301" s="27" t="inlineStr">
        <is>
          <t>LEGATUS FUNDO DE INVESTIMENTO IMOBILIÁRIO RESPONSABILIDADE LIMITADA</t>
        </is>
      </c>
      <c r="D301" s="27" t="n">
        <v>115</v>
      </c>
      <c r="E301" s="27" t="inlineStr">
        <is>
          <t>30.248.158/0001-46</t>
        </is>
      </c>
      <c r="F301" s="27" t="n"/>
      <c r="G301" s="28" t="inlineStr">
        <is>
          <t>10,33</t>
        </is>
      </c>
      <c r="H301" s="28" t="n"/>
      <c r="I301" s="27" t="n"/>
    </row>
    <row r="302">
      <c r="A302" s="23" t="inlineStr">
        <is>
          <t>LFTT11</t>
        </is>
      </c>
      <c r="B302" s="24" t="inlineStr">
        <is>
          <t>FII</t>
        </is>
      </c>
      <c r="C302" s="24" t="inlineStr">
        <is>
          <t>LOFT II FUNDO DE INVESTIMENTO IMOBILIÁRIO RESPONSABILIDADE LIMITADA</t>
        </is>
      </c>
      <c r="D302" s="24" t="n">
        <v>2.1</v>
      </c>
      <c r="E302" s="24" t="inlineStr">
        <is>
          <t>24.796.967/0001-90</t>
        </is>
      </c>
      <c r="F302" s="24" t="n"/>
      <c r="G302" s="29" t="inlineStr">
        <is>
          <t>0,00</t>
        </is>
      </c>
      <c r="H302" s="29" t="n"/>
      <c r="I302" s="24" t="n"/>
    </row>
    <row r="303">
      <c r="A303" s="26" t="inlineStr">
        <is>
          <t>LKDV11</t>
        </is>
      </c>
      <c r="B303" s="27" t="inlineStr">
        <is>
          <t>FII</t>
        </is>
      </c>
      <c r="C303" s="27" t="inlineStr">
        <is>
          <t>FUNDO DE INVESTIMENTO IMOBILIÁRIO DEVELOPMENT V1 RESPONSABILIDADE LIMITADA</t>
        </is>
      </c>
      <c r="D303" s="27" t="n">
        <v>1081.93</v>
      </c>
      <c r="E303" s="27" t="inlineStr">
        <is>
          <t>40.102.445/0001-05</t>
        </is>
      </c>
      <c r="F303" s="27" t="n"/>
      <c r="G303" s="28" t="inlineStr">
        <is>
          <t>0,00</t>
        </is>
      </c>
      <c r="H303" s="28" t="n"/>
      <c r="I303" s="27" t="n"/>
    </row>
    <row r="304">
      <c r="A304" s="23" t="inlineStr">
        <is>
          <t>LLAO11</t>
        </is>
      </c>
      <c r="B304" s="24" t="inlineStr">
        <is>
          <t>FII</t>
        </is>
      </c>
      <c r="C304" s="24" t="inlineStr">
        <is>
          <t>BS2 ALLINVESTMENTS FUNDO DE INVESTIMENTO IMOBILIÁRIO</t>
        </is>
      </c>
      <c r="D304" s="24" t="n">
        <v>57.2</v>
      </c>
      <c r="E304" s="24" t="inlineStr">
        <is>
          <t>41.218.404/0001-33</t>
        </is>
      </c>
      <c r="F304" s="24" t="n"/>
      <c r="G304" s="29" t="inlineStr">
        <is>
          <t>0,00</t>
        </is>
      </c>
      <c r="H304" s="29" t="n"/>
      <c r="I304" s="24" t="n"/>
    </row>
    <row r="305">
      <c r="A305" s="26" t="inlineStr">
        <is>
          <t>LOFT11</t>
        </is>
      </c>
      <c r="B305" s="27" t="inlineStr">
        <is>
          <t>FII</t>
        </is>
      </c>
      <c r="C305" s="27" t="inlineStr">
        <is>
          <t>LOFT I FUNDO DE INVESTIMENTO IMOBILIÁRIO RESPONSABILIDADE LIMITADA</t>
        </is>
      </c>
      <c r="D305" s="27" t="n"/>
      <c r="E305" s="27" t="n"/>
      <c r="F305" s="27" t="n"/>
      <c r="G305" s="28" t="inlineStr">
        <is>
          <t>0,00</t>
        </is>
      </c>
      <c r="H305" s="28" t="n"/>
      <c r="I305" s="27" t="n"/>
    </row>
    <row r="306">
      <c r="A306" s="23" t="inlineStr">
        <is>
          <t>LPLP11</t>
        </is>
      </c>
      <c r="B306" s="24" t="inlineStr">
        <is>
          <t>FII</t>
        </is>
      </c>
      <c r="C306" s="24" t="inlineStr">
        <is>
          <t>LAGO DA PEDRA - FUNDO DE INVESTIMENTO IMOBILIÁRIO</t>
        </is>
      </c>
      <c r="D306" s="24" t="n">
        <v>310</v>
      </c>
      <c r="E306" s="24" t="inlineStr">
        <is>
          <t>37.262.752/0001-30</t>
        </is>
      </c>
      <c r="F306" s="24" t="n"/>
      <c r="G306" s="29" t="inlineStr">
        <is>
          <t>17,24</t>
        </is>
      </c>
      <c r="H306" s="29" t="n"/>
      <c r="I306" s="24" t="n"/>
    </row>
    <row r="307">
      <c r="A307" s="26" t="inlineStr">
        <is>
          <t>LRDI11</t>
        </is>
      </c>
      <c r="B307" s="27" t="inlineStr">
        <is>
          <t>FII</t>
        </is>
      </c>
      <c r="C307" s="27" t="inlineStr">
        <is>
          <t>LEBLON REALTY DESENVOLVIMENTO I FUNDO DE INVESTIMENTO IMOBILIÁRIO RESPONSABILIDADE LIMITADA</t>
        </is>
      </c>
      <c r="D307" s="27" t="n">
        <v>198</v>
      </c>
      <c r="E307" s="27" t="inlineStr">
        <is>
          <t>41.088.534/0001-07</t>
        </is>
      </c>
      <c r="F307" s="27" t="n"/>
      <c r="G307" s="28" t="inlineStr">
        <is>
          <t>19,61</t>
        </is>
      </c>
      <c r="H307" s="28" t="n"/>
      <c r="I307" s="27" t="n"/>
    </row>
    <row r="308">
      <c r="A308" s="23" t="inlineStr">
        <is>
          <t>LRED11</t>
        </is>
      </c>
      <c r="B308" s="24" t="inlineStr">
        <is>
          <t>FII</t>
        </is>
      </c>
      <c r="C308" s="24" t="inlineStr">
        <is>
          <t>LCP REAL ESTATE DEVELOPMENT FUNDO DE INVESTIMENTO IMOBILIÁRIO RESPONSABILIDADE LIMITADA</t>
        </is>
      </c>
      <c r="D308" s="24" t="n">
        <v>12.34</v>
      </c>
      <c r="E308" s="24" t="inlineStr">
        <is>
          <t>55.089.373/0001-72</t>
        </is>
      </c>
      <c r="F308" s="24" t="n"/>
      <c r="G308" s="29" t="inlineStr">
        <is>
          <t>0,00</t>
        </is>
      </c>
      <c r="H308" s="29" t="n"/>
      <c r="I308" s="24" t="n"/>
    </row>
    <row r="309">
      <c r="A309" s="26" t="inlineStr">
        <is>
          <t>LSOI11</t>
        </is>
      </c>
      <c r="B309" s="27" t="inlineStr">
        <is>
          <t>FII</t>
        </is>
      </c>
      <c r="C309" s="27" t="inlineStr">
        <is>
          <t>LCP SPECIAL OPPORTUNITIES I FUNDO DE INVESTIMENTO IMOBILIÁRIO RESPONSABILIDADE LIMITADA</t>
        </is>
      </c>
      <c r="D309" s="27" t="n">
        <v>12.02</v>
      </c>
      <c r="E309" s="27" t="inlineStr">
        <is>
          <t>53.087.126/0001-01</t>
        </is>
      </c>
      <c r="F309" s="27" t="n"/>
      <c r="G309" s="28" t="inlineStr">
        <is>
          <t>0,00</t>
        </is>
      </c>
      <c r="H309" s="28" t="n"/>
      <c r="I309" s="27" t="n"/>
    </row>
    <row r="310">
      <c r="A310" s="23" t="inlineStr">
        <is>
          <t>LTMT11</t>
        </is>
      </c>
      <c r="B310" s="24" t="inlineStr">
        <is>
          <t>FII</t>
        </is>
      </c>
      <c r="C310" s="24" t="inlineStr">
        <is>
          <t>SPECIALE BLUE REAL FUNDO DE INVESTIMENTO IMOBILIÁRIO DE RESPONSABILIDADE LIMITADA</t>
        </is>
      </c>
      <c r="D310" s="24" t="n">
        <v>98.36</v>
      </c>
      <c r="E310" s="24" t="inlineStr">
        <is>
          <t>46.449.786/0001-20</t>
        </is>
      </c>
      <c r="F310" s="24" t="n"/>
      <c r="G310" s="29" t="inlineStr">
        <is>
          <t>0,00</t>
        </is>
      </c>
      <c r="H310" s="29" t="n"/>
      <c r="I310" s="24" t="n"/>
    </row>
    <row r="311">
      <c r="A311" s="26" t="inlineStr">
        <is>
          <t>LVBI11</t>
        </is>
      </c>
      <c r="B311" s="27" t="inlineStr">
        <is>
          <t>FII</t>
        </is>
      </c>
      <c r="C311" s="27" t="inlineStr">
        <is>
          <t>FUNDO DE INVESTIMENTO IMOBILIÁRIO VBI LOGÍSTICO - RESPONSABILIDADE LIMITADA</t>
        </is>
      </c>
      <c r="D311" s="27" t="n">
        <v>111.76</v>
      </c>
      <c r="E311" s="27" t="inlineStr">
        <is>
          <t>30.629.603/0001-18</t>
        </is>
      </c>
      <c r="F311" s="27" t="n"/>
      <c r="G311" s="28" t="inlineStr">
        <is>
          <t>8,13</t>
        </is>
      </c>
      <c r="H311" s="28" t="n"/>
      <c r="I311" s="27" t="n"/>
    </row>
    <row r="312">
      <c r="A312" s="23" t="inlineStr">
        <is>
          <t>MAGM11</t>
        </is>
      </c>
      <c r="B312" s="24" t="inlineStr">
        <is>
          <t>FII</t>
        </is>
      </c>
      <c r="C312" s="24" t="inlineStr">
        <is>
          <t>MAG MULT FII RESPONSABILIDADE LIMITADA</t>
        </is>
      </c>
      <c r="D312" s="24" t="n">
        <v>10</v>
      </c>
      <c r="E312" s="24" t="n"/>
      <c r="F312" s="24" t="n"/>
      <c r="G312" s="29" t="inlineStr">
        <is>
          <t>0,00</t>
        </is>
      </c>
      <c r="H312" s="29" t="n"/>
      <c r="I312" s="24" t="n"/>
    </row>
    <row r="313">
      <c r="A313" s="23" t="inlineStr">
        <is>
          <t>MANA11</t>
        </is>
      </c>
      <c r="B313" s="24" t="inlineStr">
        <is>
          <t>FII</t>
        </is>
      </c>
      <c r="C313" s="24" t="inlineStr">
        <is>
          <t>MANATÍ CAPITAL HEDGE FUND FUNDO DE INVESTIMENTO IMOBILIÁRIO DE RESPONSABILIDADE LIMITADA</t>
        </is>
      </c>
      <c r="D313" s="24" t="n">
        <v>9.18</v>
      </c>
      <c r="E313" s="24" t="inlineStr">
        <is>
          <t>42.888.583/0001-89</t>
        </is>
      </c>
      <c r="F313" s="24" t="n"/>
      <c r="G313" s="29" t="inlineStr">
        <is>
          <t>14,30</t>
        </is>
      </c>
      <c r="H313" s="29" t="n"/>
      <c r="I313" s="24" t="n"/>
    </row>
    <row r="314">
      <c r="A314" s="26" t="inlineStr">
        <is>
          <t>MAXR11</t>
        </is>
      </c>
      <c r="B314" s="27" t="inlineStr">
        <is>
          <t>FII</t>
        </is>
      </c>
      <c r="C314" s="27" t="inlineStr">
        <is>
          <t>FUNDO DE INVESTIMENTO IMOBILIÁRIO - FII MAX RETAIL RESPONSABILIDADE LIMITADA</t>
        </is>
      </c>
      <c r="D314" s="27" t="n">
        <v>63.58</v>
      </c>
      <c r="E314" s="27" t="inlineStr">
        <is>
          <t>11.274.415/0001-70</t>
        </is>
      </c>
      <c r="F314" s="27" t="n"/>
      <c r="G314" s="28" t="inlineStr">
        <is>
          <t>6,51</t>
        </is>
      </c>
      <c r="H314" s="28" t="n"/>
      <c r="I314" s="27" t="n"/>
    </row>
    <row r="315">
      <c r="A315" s="23" t="inlineStr">
        <is>
          <t>MCEM11</t>
        </is>
      </c>
      <c r="B315" s="24" t="inlineStr">
        <is>
          <t>FII</t>
        </is>
      </c>
      <c r="C315" s="24" t="inlineStr">
        <is>
          <t>MÉRITO CEMITÉRIOS FII - FUNDO DE INVESTIMENTO IMOBILIÁRIO RESPONSABILIDADE LIMITADA</t>
        </is>
      </c>
      <c r="D315" s="24" t="n">
        <v>52.52</v>
      </c>
      <c r="E315" s="24" t="inlineStr">
        <is>
          <t>46.157.247/0001-17</t>
        </is>
      </c>
      <c r="F315" s="24" t="n"/>
      <c r="G315" s="29" t="inlineStr">
        <is>
          <t>9,37</t>
        </is>
      </c>
      <c r="H315" s="29" t="n"/>
      <c r="I315" s="24" t="n"/>
    </row>
    <row r="316">
      <c r="A316" s="26" t="inlineStr">
        <is>
          <t>MCFY11</t>
        </is>
      </c>
      <c r="B316" s="27" t="inlineStr">
        <is>
          <t>FII</t>
        </is>
      </c>
      <c r="C316" s="27" t="inlineStr">
        <is>
          <t>MINHA CASA FINANCIADA FUNDO DE INVESTIMENTO IMOBILIÁRIO DE RESPONSABILIDADE LIMITADA</t>
        </is>
      </c>
      <c r="D316" s="27" t="n"/>
      <c r="E316" s="27" t="n"/>
      <c r="F316" s="27" t="n"/>
      <c r="G316" s="28" t="inlineStr">
        <is>
          <t>0,00</t>
        </is>
      </c>
      <c r="H316" s="28" t="n"/>
      <c r="I316" s="27" t="n"/>
    </row>
    <row r="317">
      <c r="A317" s="23" t="inlineStr">
        <is>
          <t>MCLO11</t>
        </is>
      </c>
      <c r="B317" s="24" t="inlineStr">
        <is>
          <t>FII</t>
        </is>
      </c>
      <c r="C317" s="24" t="inlineStr">
        <is>
          <t>MAUÁ CAPITAL LOGÍSTICA FUNDO DE INVESTIMENTO IMOBILIÁRIO - RESPONSABILIDADE LIMITADA</t>
        </is>
      </c>
      <c r="D317" s="24" t="n">
        <v>10.46</v>
      </c>
      <c r="E317" s="24" t="inlineStr">
        <is>
          <t>57.466.934/0001-30</t>
        </is>
      </c>
      <c r="F317" s="24" t="n"/>
      <c r="G317" s="29" t="inlineStr">
        <is>
          <t>10,10</t>
        </is>
      </c>
      <c r="H317" s="29" t="n"/>
      <c r="I317" s="24" t="n"/>
    </row>
    <row r="318">
      <c r="A318" s="26" t="inlineStr">
        <is>
          <t>MCRE11</t>
        </is>
      </c>
      <c r="B318" s="27" t="inlineStr">
        <is>
          <t>FII</t>
        </is>
      </c>
      <c r="C318" s="27" t="inlineStr">
        <is>
          <t>MAUÁ CAPITAL REAL ESTATE FUNDO DE INVESTIMENTO IMOBILIÁRIO RESPONSABILIDADE LIMITADA</t>
        </is>
      </c>
      <c r="D318" s="27" t="n">
        <v>9.720000000000001</v>
      </c>
      <c r="E318" s="27" t="inlineStr">
        <is>
          <t>36.655.973/0001-06</t>
        </is>
      </c>
      <c r="F318" s="27" t="inlineStr">
        <is>
          <t>Híbrido</t>
        </is>
      </c>
      <c r="G318" s="28" t="inlineStr">
        <is>
          <t>13,81</t>
        </is>
      </c>
      <c r="H318" s="28" t="n"/>
      <c r="I318" s="27" t="n"/>
    </row>
    <row r="319">
      <c r="A319" s="23" t="inlineStr">
        <is>
          <t>MFII11</t>
        </is>
      </c>
      <c r="B319" s="24" t="inlineStr">
        <is>
          <t>FII</t>
        </is>
      </c>
      <c r="C319" s="24" t="inlineStr">
        <is>
          <t>MERITO DESENVOLVIMENTO IMOBILIARIO I FII - FUNDO DE INVESTIMENTO IMOBILIARIO</t>
        </is>
      </c>
      <c r="D319" s="24" t="n">
        <v>75.09999999999999</v>
      </c>
      <c r="E319" s="24" t="inlineStr">
        <is>
          <t>16.915.968/0001-88</t>
        </is>
      </c>
      <c r="F319" s="24" t="n"/>
      <c r="G319" s="29" t="inlineStr">
        <is>
          <t>16,91</t>
        </is>
      </c>
      <c r="H319" s="29" t="n"/>
      <c r="I319" s="24" t="n"/>
    </row>
    <row r="320">
      <c r="A320" s="26" t="inlineStr">
        <is>
          <t>MGHT11</t>
        </is>
      </c>
      <c r="B320" s="27" t="inlineStr">
        <is>
          <t>FII</t>
        </is>
      </c>
      <c r="C320" s="27" t="inlineStr">
        <is>
          <t>MOGNO HOTÉIS - FUNDO DE INVESTIMENTO IMOBILIÁRIO RESPONSABILIDADE LIMITADA</t>
        </is>
      </c>
      <c r="D320" s="27" t="n">
        <v>14.72</v>
      </c>
      <c r="E320" s="27" t="inlineStr">
        <is>
          <t>34.197.776/0001-65</t>
        </is>
      </c>
      <c r="F320" s="27" t="n"/>
      <c r="G320" s="28" t="inlineStr">
        <is>
          <t>0,00</t>
        </is>
      </c>
      <c r="H320" s="28" t="n"/>
      <c r="I320" s="27" t="n"/>
    </row>
    <row r="321">
      <c r="A321" s="23" t="inlineStr">
        <is>
          <t>MGRI11</t>
        </is>
      </c>
      <c r="B321" s="24" t="inlineStr">
        <is>
          <t>FII</t>
        </is>
      </c>
      <c r="C321" s="24" t="inlineStr">
        <is>
          <t>MOGNO PROPERTIES FUNDO DE INVESTIMENTO IMOBILIÁRIO RESPONSABILIDADE LIMITADA</t>
        </is>
      </c>
      <c r="D321" s="24" t="n">
        <v>0</v>
      </c>
      <c r="E321" s="24" t="inlineStr">
        <is>
          <t>41.320.997/0001-44</t>
        </is>
      </c>
      <c r="F321" s="24" t="n"/>
      <c r="G321" s="29" t="inlineStr">
        <is>
          <t>28,86</t>
        </is>
      </c>
      <c r="H321" s="29" t="n"/>
      <c r="I321" s="24" t="n"/>
    </row>
    <row r="322">
      <c r="A322" s="26" t="inlineStr">
        <is>
          <t>MMPD11</t>
        </is>
      </c>
      <c r="B322" s="27" t="inlineStr">
        <is>
          <t>FII</t>
        </is>
      </c>
      <c r="C322" s="27" t="inlineStr">
        <is>
          <t>FUNDO DE INVESTIMENTO IMOBILIÁRIO MAUÁ CAPITAL MPD DESENVOLVIMENTO RESIDENCIAL RESP LIMITADA</t>
        </is>
      </c>
      <c r="D322" s="27" t="n">
        <v>110.61</v>
      </c>
      <c r="E322" s="27" t="inlineStr">
        <is>
          <t>41.080.968/0001-52</t>
        </is>
      </c>
      <c r="F322" s="27" t="n"/>
      <c r="G322" s="28" t="inlineStr">
        <is>
          <t>0,00</t>
        </is>
      </c>
      <c r="H322" s="28" t="n"/>
      <c r="I322" s="27" t="n"/>
    </row>
    <row r="323">
      <c r="A323" s="23" t="inlineStr">
        <is>
          <t>MMVE11</t>
        </is>
      </c>
      <c r="B323" s="24" t="inlineStr">
        <is>
          <t>FII</t>
        </is>
      </c>
      <c r="C323" s="24" t="inlineStr">
        <is>
          <t>MARESIAS FUNDO DE INVESTIMENTO IMOBILIÁRIO</t>
        </is>
      </c>
      <c r="D323" s="24" t="n">
        <v>146.99</v>
      </c>
      <c r="E323" s="24" t="inlineStr">
        <is>
          <t>41.251.337/0001-59</t>
        </is>
      </c>
      <c r="F323" s="24" t="n"/>
      <c r="G323" s="29" t="inlineStr">
        <is>
          <t>0,00</t>
        </is>
      </c>
      <c r="H323" s="29" t="n"/>
      <c r="I323" s="24" t="n"/>
    </row>
    <row r="324">
      <c r="A324" s="26" t="inlineStr">
        <is>
          <t>MOFF11</t>
        </is>
      </c>
      <c r="B324" s="27" t="inlineStr">
        <is>
          <t>FII</t>
        </is>
      </c>
      <c r="C324" s="27" t="inlineStr">
        <is>
          <t>MULTIOFFICES 2 - FUNDO DE INVESTIMENTO IMOBILIÁRIO - RESPONSABILIDADE LIMITADA</t>
        </is>
      </c>
      <c r="D324" s="27" t="n"/>
      <c r="E324" s="27" t="inlineStr">
        <is>
          <t>31.508.219/0001-20</t>
        </is>
      </c>
      <c r="F324" s="27" t="n"/>
      <c r="G324" s="28" t="inlineStr">
        <is>
          <t>0,00</t>
        </is>
      </c>
      <c r="H324" s="28" t="n"/>
      <c r="I324" s="27" t="n"/>
    </row>
    <row r="325">
      <c r="A325" s="23" t="inlineStr">
        <is>
          <t>MOSO11</t>
        </is>
      </c>
      <c r="B325" s="24" t="inlineStr">
        <is>
          <t>FII</t>
        </is>
      </c>
      <c r="C325" s="24" t="inlineStr">
        <is>
          <t>MOSO FUNDO DE INVESTIMENTO IMOBILIÁRIO RESPONSABILIDADE LIMITADA</t>
        </is>
      </c>
      <c r="D325" s="24" t="n"/>
      <c r="E325" s="24" t="inlineStr">
        <is>
          <t>57.599.659/0001-23</t>
        </is>
      </c>
      <c r="F325" s="24" t="n"/>
      <c r="G325" s="29" t="inlineStr">
        <is>
          <t>0,00</t>
        </is>
      </c>
      <c r="H325" s="29" t="n"/>
      <c r="I325" s="24" t="n"/>
    </row>
    <row r="326">
      <c r="A326" s="26" t="inlineStr">
        <is>
          <t>MTES11</t>
        </is>
      </c>
      <c r="B326" s="27" t="inlineStr">
        <is>
          <t>FII</t>
        </is>
      </c>
      <c r="C326" s="27" t="inlineStr">
        <is>
          <t>RB INVESTIMENTOS MULTIESTRATÉGIA FUNDO DE INVESTIMENTO IMOBILIÁRIORESPONSABILIDADE LIMITADA</t>
        </is>
      </c>
      <c r="D326" s="27" t="n"/>
      <c r="E326" s="27" t="n"/>
      <c r="F326" s="27" t="n"/>
      <c r="G326" s="28" t="inlineStr">
        <is>
          <t>0,00</t>
        </is>
      </c>
      <c r="H326" s="28" t="n"/>
      <c r="I326" s="27" t="n"/>
    </row>
    <row r="327">
      <c r="A327" s="23" t="inlineStr">
        <is>
          <t>MTOF11</t>
        </is>
      </c>
      <c r="B327" s="24" t="inlineStr">
        <is>
          <t>FII</t>
        </is>
      </c>
      <c r="C327" s="24" t="inlineStr">
        <is>
          <t>ALIANZA MULTIOFFICES - FUNDO DE INVESTIMENTO IMOBILIÁRIO - RESPONSABILIDADE LIMITADA</t>
        </is>
      </c>
      <c r="D327" s="24" t="n">
        <v>0</v>
      </c>
      <c r="E327" s="24" t="inlineStr">
        <is>
          <t>22.862.226/0001-34</t>
        </is>
      </c>
      <c r="F327" s="24" t="n"/>
      <c r="G327" s="29" t="inlineStr">
        <is>
          <t>0,00</t>
        </is>
      </c>
      <c r="H327" s="29" t="n"/>
      <c r="I327" s="24" t="n"/>
    </row>
    <row r="328">
      <c r="A328" s="26" t="inlineStr">
        <is>
          <t>N4V111</t>
        </is>
      </c>
      <c r="B328" s="27" t="inlineStr">
        <is>
          <t>FII</t>
        </is>
      </c>
      <c r="C328" s="27" t="inlineStr">
        <is>
          <t>NAVI REAL ESTATE SELECTION 2 FUNDO DE INVESTIMENTO IMOBILIÁRIO</t>
        </is>
      </c>
      <c r="D328" s="27" t="n"/>
      <c r="E328" s="27" t="inlineStr">
        <is>
          <t>52.372.013/0001-95</t>
        </is>
      </c>
      <c r="F328" s="27" t="n"/>
      <c r="G328" s="28" t="inlineStr">
        <is>
          <t>0,00</t>
        </is>
      </c>
      <c r="H328" s="28" t="n"/>
      <c r="I328" s="27" t="n"/>
    </row>
    <row r="329">
      <c r="A329" s="23" t="inlineStr">
        <is>
          <t>NAUI11</t>
        </is>
      </c>
      <c r="B329" s="24" t="inlineStr">
        <is>
          <t>FII</t>
        </is>
      </c>
      <c r="C329" s="24" t="inlineStr">
        <is>
          <t>TEN DESENVOLVIMENTO FUNDO DE INVESTIMENTO IMOBILIÁRIO RESPONSABILIDADE LIMITADA</t>
        </is>
      </c>
      <c r="D329" s="24" t="n">
        <v>1100</v>
      </c>
      <c r="E329" s="24" t="inlineStr">
        <is>
          <t>49.649.500/0001-48</t>
        </is>
      </c>
      <c r="F329" s="24" t="n"/>
      <c r="G329" s="29" t="inlineStr">
        <is>
          <t>0,00</t>
        </is>
      </c>
      <c r="H329" s="29" t="n"/>
      <c r="I329" s="24" t="n"/>
    </row>
    <row r="330">
      <c r="A330" s="26" t="inlineStr">
        <is>
          <t>NAVT11</t>
        </is>
      </c>
      <c r="B330" s="27" t="inlineStr">
        <is>
          <t>FII</t>
        </is>
      </c>
      <c r="C330" s="27" t="inlineStr">
        <is>
          <t>NAVI IMOBILIÁRIO TOTAL RETURN FUNDO DE INVESTIMENTO IMOBILIÁRIO RESPONSABILIDADE LIMITADA</t>
        </is>
      </c>
      <c r="D330" s="27" t="n">
        <v>79.06999999999999</v>
      </c>
      <c r="E330" s="27" t="inlineStr">
        <is>
          <t>35.652.252/0001-80</t>
        </is>
      </c>
      <c r="F330" s="27" t="n"/>
      <c r="G330" s="28" t="inlineStr">
        <is>
          <t>12,20</t>
        </is>
      </c>
      <c r="H330" s="28" t="n"/>
      <c r="I330" s="27" t="n"/>
    </row>
    <row r="331">
      <c r="A331" s="23" t="inlineStr">
        <is>
          <t>NCRI11</t>
        </is>
      </c>
      <c r="B331" s="24" t="inlineStr">
        <is>
          <t>FII</t>
        </is>
      </c>
      <c r="C331" s="24" t="inlineStr">
        <is>
          <t>NAVI CRÉDITO IMOBILIÁRIO FUNDO DE INVESTIMENTO IMOBILIÁRIO - RESPONSABILIDADE LIMITADA</t>
        </is>
      </c>
      <c r="D331" s="24" t="n">
        <v>8.970000000000001</v>
      </c>
      <c r="E331" s="24" t="inlineStr">
        <is>
          <t>40.041.603/0001-56</t>
        </is>
      </c>
      <c r="F331" s="24" t="n"/>
      <c r="G331" s="29" t="inlineStr">
        <is>
          <t>14,06</t>
        </is>
      </c>
      <c r="H331" s="29" t="n"/>
      <c r="I331" s="24" t="n"/>
    </row>
    <row r="332">
      <c r="A332" s="26" t="inlineStr">
        <is>
          <t>NEWL11</t>
        </is>
      </c>
      <c r="B332" s="27" t="inlineStr">
        <is>
          <t>FII</t>
        </is>
      </c>
      <c r="C332" s="27" t="inlineStr">
        <is>
          <t>NEWPORT LOGÍSTICA FUNDO DE INVESTIMENTO IMOBILIÁRIO RESPONSABILIDADE LIMITADA</t>
        </is>
      </c>
      <c r="D332" s="27" t="n">
        <v>118.62</v>
      </c>
      <c r="E332" s="27" t="inlineStr">
        <is>
          <t>32.527.626/0001-47</t>
        </is>
      </c>
      <c r="F332" s="27" t="n"/>
      <c r="G332" s="28" t="inlineStr">
        <is>
          <t>9,88</t>
        </is>
      </c>
      <c r="H332" s="28" t="n"/>
      <c r="I332" s="27" t="n"/>
    </row>
    <row r="333">
      <c r="A333" s="23" t="inlineStr">
        <is>
          <t>NEWU11</t>
        </is>
      </c>
      <c r="B333" s="24" t="inlineStr">
        <is>
          <t>FII</t>
        </is>
      </c>
      <c r="C333" s="24" t="inlineStr">
        <is>
          <t>NEWPORT RENDA URBANA FUNDO DE INVESTIMENTO IMOBILIÁRIO RESPONSABILIDADE LIMITADA</t>
        </is>
      </c>
      <c r="D333" s="24" t="n">
        <v>101.95</v>
      </c>
      <c r="E333" s="24" t="inlineStr">
        <is>
          <t>14.793.782/0001-78</t>
        </is>
      </c>
      <c r="F333" s="24" t="n"/>
      <c r="G333" s="29" t="inlineStr">
        <is>
          <t>2,90</t>
        </is>
      </c>
      <c r="H333" s="29" t="n"/>
      <c r="I333" s="24" t="n"/>
    </row>
    <row r="334">
      <c r="A334" s="26" t="inlineStr">
        <is>
          <t>NSLU11</t>
        </is>
      </c>
      <c r="B334" s="27" t="inlineStr">
        <is>
          <t>FII</t>
        </is>
      </c>
      <c r="C334" s="27" t="inlineStr">
        <is>
          <t>FUNDO DE INVESTIMENTO IMOBILIÁRIO - FII HOSPITAL NOSSA SENHORA DE LOURDES RESPONSABILIDADE LIMITADA</t>
        </is>
      </c>
      <c r="D334" s="27" t="n">
        <v>192</v>
      </c>
      <c r="E334" s="27" t="inlineStr">
        <is>
          <t>08.014.513/0001-63</t>
        </is>
      </c>
      <c r="F334" s="27" t="n"/>
      <c r="G334" s="28" t="inlineStr">
        <is>
          <t>14,52</t>
        </is>
      </c>
      <c r="H334" s="28" t="n"/>
      <c r="I334" s="27" t="n"/>
    </row>
    <row r="335">
      <c r="A335" s="23" t="inlineStr">
        <is>
          <t>NVHO11</t>
        </is>
      </c>
      <c r="B335" s="24" t="inlineStr">
        <is>
          <t>FII</t>
        </is>
      </c>
      <c r="C335" s="24" t="inlineStr">
        <is>
          <t>FUNDO DE INVESTIMENTO IMOBILIÁRIO FII NOVO HORIZONTE - RESPONSABILIDADE LIMITADA</t>
        </is>
      </c>
      <c r="D335" s="24" t="n">
        <v>11.95</v>
      </c>
      <c r="E335" s="24" t="inlineStr">
        <is>
          <t>17.025.970/0001-44</t>
        </is>
      </c>
      <c r="F335" s="24" t="n"/>
      <c r="G335" s="29" t="inlineStr">
        <is>
          <t>10,33</t>
        </is>
      </c>
      <c r="H335" s="29" t="n"/>
      <c r="I335" s="24" t="n"/>
    </row>
    <row r="336">
      <c r="A336" s="26" t="inlineStr">
        <is>
          <t>NVIF11</t>
        </is>
      </c>
      <c r="B336" s="27" t="inlineStr">
        <is>
          <t>FII</t>
        </is>
      </c>
      <c r="C336" s="27" t="inlineStr">
        <is>
          <t>NOVA I - FUNDO DE INVESTIMENTO IMOBILIÁRIO - RESPONSABILIDADE LIMITADA</t>
        </is>
      </c>
      <c r="D336" s="27" t="n">
        <v>0</v>
      </c>
      <c r="E336" s="27" t="inlineStr">
        <is>
          <t>22.003.469/0001-17</t>
        </is>
      </c>
      <c r="F336" s="27" t="n"/>
      <c r="G336" s="28" t="inlineStr">
        <is>
          <t>3,42</t>
        </is>
      </c>
      <c r="H336" s="28" t="n"/>
      <c r="I336" s="27" t="n"/>
    </row>
    <row r="337">
      <c r="A337" s="23" t="inlineStr">
        <is>
          <t>OBAL11</t>
        </is>
      </c>
      <c r="B337" s="24" t="inlineStr">
        <is>
          <t>FII</t>
        </is>
      </c>
      <c r="C337" s="24" t="inlineStr">
        <is>
          <t>OPPORTUNITY BALASSIANO FUNDO DE INVESTIMENTO IMOBILIÁRIO - RESPONSABILIDADE LIMITADA</t>
        </is>
      </c>
      <c r="D337" s="24" t="n">
        <v>1095</v>
      </c>
      <c r="E337" s="24" t="inlineStr">
        <is>
          <t>42.273.290/0001-97</t>
        </is>
      </c>
      <c r="F337" s="24" t="n"/>
      <c r="G337" s="29" t="inlineStr">
        <is>
          <t>16,03</t>
        </is>
      </c>
      <c r="H337" s="29" t="n"/>
      <c r="I337" s="24" t="n"/>
    </row>
    <row r="338">
      <c r="A338" s="26" t="inlineStr">
        <is>
          <t>OCRE11</t>
        </is>
      </c>
      <c r="B338" s="27" t="inlineStr">
        <is>
          <t>FII</t>
        </is>
      </c>
      <c r="C338" s="27" t="inlineStr">
        <is>
          <t>OCTO FUNDO DE INVESTIMENTO IMOBILIÁRIO RESPONSABILIDADE LIMITADA</t>
        </is>
      </c>
      <c r="D338" s="27" t="n">
        <v>76.81</v>
      </c>
      <c r="E338" s="27" t="inlineStr">
        <is>
          <t>44.680.435/0001-08</t>
        </is>
      </c>
      <c r="F338" s="27" t="n"/>
      <c r="G338" s="28" t="inlineStr">
        <is>
          <t>7,14</t>
        </is>
      </c>
      <c r="H338" s="28" t="n"/>
      <c r="I338" s="27" t="n"/>
    </row>
    <row r="339">
      <c r="A339" s="23" t="inlineStr">
        <is>
          <t>ONDV11</t>
        </is>
      </c>
      <c r="B339" s="24" t="inlineStr">
        <is>
          <t>FII</t>
        </is>
      </c>
      <c r="C339" s="24" t="inlineStr">
        <is>
          <t>ONDA DESENVOLVIMENTO IMOBILIÁRIO FUNDO DE INVESTIMENTO IMOBILIÁRIO</t>
        </is>
      </c>
      <c r="D339" s="24" t="n">
        <v>9.77</v>
      </c>
      <c r="E339" s="24" t="inlineStr">
        <is>
          <t>52.966.340/0001-75</t>
        </is>
      </c>
      <c r="F339" s="24" t="n"/>
      <c r="G339" s="29" t="inlineStr">
        <is>
          <t>14,32</t>
        </is>
      </c>
      <c r="H339" s="29" t="n"/>
      <c r="I339" s="24" t="n"/>
    </row>
    <row r="340">
      <c r="A340" s="26" t="inlineStr">
        <is>
          <t>OPTM11</t>
        </is>
      </c>
      <c r="B340" s="27" t="inlineStr">
        <is>
          <t>FII</t>
        </is>
      </c>
      <c r="C340" s="27" t="inlineStr">
        <is>
          <t>FII PATRIMONIAL IV</t>
        </is>
      </c>
      <c r="D340" s="27" t="n">
        <v>0</v>
      </c>
      <c r="E340" s="27" t="inlineStr">
        <is>
          <t>09.150.967/0001-24</t>
        </is>
      </c>
      <c r="F340" s="27" t="n"/>
      <c r="G340" s="28" t="inlineStr">
        <is>
          <t>0,00</t>
        </is>
      </c>
      <c r="H340" s="28" t="n"/>
      <c r="I340" s="27" t="n"/>
    </row>
    <row r="341">
      <c r="A341" s="23" t="inlineStr">
        <is>
          <t>OUJP11</t>
        </is>
      </c>
      <c r="B341" s="24" t="inlineStr">
        <is>
          <t>FII</t>
        </is>
      </c>
      <c r="C341" s="24" t="inlineStr">
        <is>
          <t>OURINVEST JPP FUNDO DE INVESTIMENTO IMOBILIÁRIO DE RESPONSABILIDADE LIMITADA</t>
        </is>
      </c>
      <c r="D341" s="24" t="n">
        <v>84.54000000000001</v>
      </c>
      <c r="E341" s="24" t="inlineStr">
        <is>
          <t>26.091.656/0001-50</t>
        </is>
      </c>
      <c r="F341" s="24" t="n"/>
      <c r="G341" s="29" t="inlineStr">
        <is>
          <t>15,16</t>
        </is>
      </c>
      <c r="H341" s="29" t="n"/>
      <c r="I341" s="24" t="n"/>
    </row>
    <row r="342">
      <c r="A342" s="26" t="inlineStr">
        <is>
          <t>OULG11</t>
        </is>
      </c>
      <c r="B342" s="27" t="inlineStr">
        <is>
          <t>FII</t>
        </is>
      </c>
      <c r="C342" s="27" t="inlineStr">
        <is>
          <t>FUNDO DE INVESTIMENTO IMOBILIÁRIO OURINVEST LOGÍSTICA - RESPONSABILIDADE LIMITADA</t>
        </is>
      </c>
      <c r="D342" s="27" t="n"/>
      <c r="E342" s="27" t="inlineStr">
        <is>
          <t>13.974.819/0001-00</t>
        </is>
      </c>
      <c r="F342" s="27" t="n"/>
      <c r="G342" s="28" t="inlineStr">
        <is>
          <t>1,09</t>
        </is>
      </c>
      <c r="H342" s="28" t="n"/>
      <c r="I342" s="27" t="n"/>
    </row>
    <row r="343">
      <c r="A343" s="23" t="inlineStr">
        <is>
          <t>PABY11</t>
        </is>
      </c>
      <c r="B343" s="24" t="inlineStr">
        <is>
          <t>FII</t>
        </is>
      </c>
      <c r="C343" s="24" t="inlineStr">
        <is>
          <t>FUNDO DE INVESTIMENTO IMOBILIÁRIO PANAMBY</t>
        </is>
      </c>
      <c r="D343" s="24" t="n">
        <v>21.79</v>
      </c>
      <c r="E343" s="24" t="inlineStr">
        <is>
          <t>00.613.094/0001-74</t>
        </is>
      </c>
      <c r="F343" s="24" t="n"/>
      <c r="G343" s="29" t="inlineStr">
        <is>
          <t>0,00</t>
        </is>
      </c>
      <c r="H343" s="29" t="n"/>
      <c r="I343" s="24" t="n"/>
    </row>
    <row r="344">
      <c r="A344" s="26" t="inlineStr">
        <is>
          <t>PATA11</t>
        </is>
      </c>
      <c r="B344" s="27" t="inlineStr">
        <is>
          <t>FII</t>
        </is>
      </c>
      <c r="C344" s="27" t="inlineStr">
        <is>
          <t>PATAGÔNIA CAPITAL MULTIESTRATÉGIA FUNDO DE INVESTIMENTO IMOBILIÁRIO</t>
        </is>
      </c>
      <c r="D344" s="27" t="n">
        <v>10.4</v>
      </c>
      <c r="E344" s="27" t="inlineStr">
        <is>
          <t>53.764.894/0001-52</t>
        </is>
      </c>
      <c r="F344" s="27" t="n"/>
      <c r="G344" s="28" t="inlineStr">
        <is>
          <t>19,25</t>
        </is>
      </c>
      <c r="H344" s="28" t="n"/>
      <c r="I344" s="27" t="n"/>
    </row>
    <row r="345">
      <c r="A345" s="23" t="inlineStr">
        <is>
          <t>PATB11</t>
        </is>
      </c>
      <c r="B345" s="24" t="inlineStr">
        <is>
          <t>FII</t>
        </is>
      </c>
      <c r="C345" s="24" t="inlineStr">
        <is>
          <t>PATEO BANDEIRANTES - FUNDO DE INVESTIMENTO IMOBILIÁRIO RESPONSABILIDADE LIMITADA</t>
        </is>
      </c>
      <c r="D345" s="24" t="n"/>
      <c r="E345" s="24" t="inlineStr">
        <is>
          <t>14.788.492/0001-36</t>
        </is>
      </c>
      <c r="F345" s="24" t="n"/>
      <c r="G345" s="29" t="inlineStr">
        <is>
          <t>0,00</t>
        </is>
      </c>
      <c r="H345" s="29" t="n"/>
      <c r="I345" s="24" t="n"/>
    </row>
    <row r="346">
      <c r="A346" s="26" t="inlineStr">
        <is>
          <t>PATC11</t>
        </is>
      </c>
      <c r="B346" s="27" t="inlineStr">
        <is>
          <t>FII</t>
        </is>
      </c>
      <c r="C346" s="27" t="inlineStr">
        <is>
          <t>PÁTRIA EDIFÍCIOS CORPORATIVOS - FUNDO DE INVESTIMENTO IMOBILIÁRIO - RESPONSABILIDADE LIMITADA</t>
        </is>
      </c>
      <c r="D346" s="27" t="n">
        <v>39.5</v>
      </c>
      <c r="E346" s="27" t="inlineStr">
        <is>
          <t>30.048.651/0001-12</t>
        </is>
      </c>
      <c r="F346" s="27" t="n"/>
      <c r="G346" s="28" t="inlineStr">
        <is>
          <t>2,36</t>
        </is>
      </c>
      <c r="H346" s="28" t="n"/>
      <c r="I346" s="27" t="n"/>
    </row>
    <row r="347">
      <c r="A347" s="23" t="inlineStr">
        <is>
          <t>PATL11</t>
        </is>
      </c>
      <c r="B347" s="24" t="inlineStr">
        <is>
          <t>FII</t>
        </is>
      </c>
      <c r="C347" s="24" t="inlineStr">
        <is>
          <t>PÁTRIA LOGÍSTICA FUNDO DE INVESTIMENTO IMOBILIÁRIO</t>
        </is>
      </c>
      <c r="D347" s="24" t="n">
        <v>66.90000000000001</v>
      </c>
      <c r="E347" s="24" t="inlineStr">
        <is>
          <t>35.754.164/0001-99</t>
        </is>
      </c>
      <c r="F347" s="24" t="n"/>
      <c r="G347" s="29" t="inlineStr">
        <is>
          <t>10,57</t>
        </is>
      </c>
      <c r="H347" s="29" t="n"/>
      <c r="I347" s="24" t="n"/>
    </row>
    <row r="348">
      <c r="A348" s="26" t="inlineStr">
        <is>
          <t>PBLV11</t>
        </is>
      </c>
      <c r="B348" s="27" t="inlineStr">
        <is>
          <t>FII</t>
        </is>
      </c>
      <c r="C348" s="27" t="inlineStr">
        <is>
          <t>PROLOGIS BRAZIL LOGISTICS VENTURE FUNDO DE INVESTIMENTO IMOBILIÁRIO DE RESPONSABILIDADE LIMITADA</t>
        </is>
      </c>
      <c r="D348" s="27" t="n">
        <v>0</v>
      </c>
      <c r="E348" s="27" t="inlineStr">
        <is>
          <t>31.962.875/0001-06</t>
        </is>
      </c>
      <c r="F348" s="27" t="n"/>
      <c r="G348" s="28" t="inlineStr">
        <is>
          <t>13,64</t>
        </is>
      </c>
      <c r="H348" s="28" t="n"/>
      <c r="I348" s="27" t="n"/>
    </row>
    <row r="349">
      <c r="A349" s="23" t="inlineStr">
        <is>
          <t>PCAS11</t>
        </is>
      </c>
      <c r="B349" s="24" t="inlineStr">
        <is>
          <t>FII</t>
        </is>
      </c>
      <c r="C349" s="24" t="inlineStr">
        <is>
          <t>PRAIA DO CASTELO FUNDO DE INVESTIMENTO IMOBILIÁRIO</t>
        </is>
      </c>
      <c r="D349" s="24" t="n"/>
      <c r="E349" s="24" t="inlineStr">
        <is>
          <t>24.514.406/0001-50</t>
        </is>
      </c>
      <c r="F349" s="24" t="n"/>
      <c r="G349" s="29" t="inlineStr">
        <is>
          <t>0,00</t>
        </is>
      </c>
      <c r="H349" s="29" t="n"/>
      <c r="I349" s="24" t="n"/>
    </row>
    <row r="350">
      <c r="A350" s="26" t="inlineStr">
        <is>
          <t>PDBM11</t>
        </is>
      </c>
      <c r="B350" s="27" t="inlineStr">
        <is>
          <t>FII</t>
        </is>
      </c>
      <c r="C350" s="27" t="inlineStr">
        <is>
          <t>PDB MALLS FUNDO DE INVESTIMENTO IMOBILIÁRIO RESPONSABILIDADE LIMITADA</t>
        </is>
      </c>
      <c r="D350" s="27" t="n">
        <v>115</v>
      </c>
      <c r="E350" s="27" t="inlineStr">
        <is>
          <t>56.978.773/0001-00</t>
        </is>
      </c>
      <c r="F350" s="27" t="n"/>
      <c r="G350" s="28" t="inlineStr">
        <is>
          <t>11,95</t>
        </is>
      </c>
      <c r="H350" s="28" t="n"/>
      <c r="I350" s="27" t="n"/>
    </row>
    <row r="351">
      <c r="A351" s="23" t="inlineStr">
        <is>
          <t>PEMA11</t>
        </is>
      </c>
      <c r="B351" s="24" t="inlineStr">
        <is>
          <t>FII</t>
        </is>
      </c>
      <c r="C351" s="24" t="inlineStr">
        <is>
          <t>PERFORMA REAL ESTATE FUNDO DE INVESTIMENTO IMOBILIÁRIO - RESPONSABILIDADE LIMITADA</t>
        </is>
      </c>
      <c r="D351" s="24" t="n">
        <v>38</v>
      </c>
      <c r="E351" s="24" t="inlineStr">
        <is>
          <t>34.736.510/0001-43</t>
        </is>
      </c>
      <c r="F351" s="24" t="n"/>
      <c r="G351" s="29" t="inlineStr">
        <is>
          <t>23,32</t>
        </is>
      </c>
      <c r="H351" s="29" t="n"/>
      <c r="I351" s="24" t="n"/>
    </row>
    <row r="352">
      <c r="A352" s="26" t="inlineStr">
        <is>
          <t>PLAG11</t>
        </is>
      </c>
      <c r="B352" s="27" t="inlineStr">
        <is>
          <t>FII</t>
        </is>
      </c>
      <c r="C352" s="27" t="inlineStr">
        <is>
          <t>VBI AGRO - FUNDO DE INVESTIMENTO IMOBILIÁRIO - RESPONSABILIDADE LIMITADA</t>
        </is>
      </c>
      <c r="D352" s="27" t="n">
        <v>62.9</v>
      </c>
      <c r="E352" s="27" t="inlineStr">
        <is>
          <t>32.754.734/0001-52</t>
        </is>
      </c>
      <c r="F352" s="27" t="n"/>
      <c r="G352" s="28" t="inlineStr">
        <is>
          <t>10,23</t>
        </is>
      </c>
      <c r="H352" s="28" t="n"/>
      <c r="I352" s="27" t="n"/>
    </row>
    <row r="353">
      <c r="A353" s="23" t="inlineStr">
        <is>
          <t>PLCR11</t>
        </is>
      </c>
      <c r="B353" s="24" t="inlineStr">
        <is>
          <t>FII</t>
        </is>
      </c>
      <c r="C353" s="24" t="inlineStr">
        <is>
          <t>PLURAL RECEBÍVEIS IMOBILIÁRIOS FII - RESPONSABILIDADE LIMITADA</t>
        </is>
      </c>
      <c r="D353" s="24" t="n"/>
      <c r="E353" s="24" t="inlineStr">
        <is>
          <t>32.527.683/0001-26</t>
        </is>
      </c>
      <c r="F353" s="24" t="n"/>
      <c r="G353" s="29" t="inlineStr">
        <is>
          <t>6,78</t>
        </is>
      </c>
      <c r="H353" s="29" t="n"/>
      <c r="I353" s="24" t="n"/>
    </row>
    <row r="354">
      <c r="A354" s="26" t="inlineStr">
        <is>
          <t>PLRI11</t>
        </is>
      </c>
      <c r="B354" s="27" t="inlineStr">
        <is>
          <t>FII</t>
        </is>
      </c>
      <c r="C354" s="27" t="inlineStr">
        <is>
          <t>POLO FII - FII RECEBÍVEIS IMOBILIÁRIOS I - RESPONSABILIDADE LIMITADA</t>
        </is>
      </c>
      <c r="D354" s="27" t="n">
        <v>6.15</v>
      </c>
      <c r="E354" s="27" t="inlineStr">
        <is>
          <t>14.080.689/0001-16</t>
        </is>
      </c>
      <c r="F354" s="27" t="n"/>
      <c r="G354" s="28" t="inlineStr">
        <is>
          <t>3,89</t>
        </is>
      </c>
      <c r="H354" s="28" t="n"/>
      <c r="I354" s="27" t="n"/>
    </row>
    <row r="355">
      <c r="A355" s="23" t="inlineStr">
        <is>
          <t>PMFO11</t>
        </is>
      </c>
      <c r="B355" s="24" t="inlineStr">
        <is>
          <t>FII</t>
        </is>
      </c>
      <c r="C355" s="24" t="inlineStr">
        <is>
          <t>SPECIALE REAL ESTATE FUND OF FUNDS FUNDO DE INVESTIMENTO IMOBILIÁRIO DE RESPONSABILIDADE LIMITADA</t>
        </is>
      </c>
      <c r="D355" s="24" t="n">
        <v>91.37</v>
      </c>
      <c r="E355" s="24" t="inlineStr">
        <is>
          <t>50.135.849/0001-40</t>
        </is>
      </c>
      <c r="F355" s="24" t="n"/>
      <c r="G355" s="29" t="inlineStr">
        <is>
          <t>11,03</t>
        </is>
      </c>
      <c r="H355" s="29" t="n"/>
      <c r="I355" s="24" t="n"/>
    </row>
    <row r="356">
      <c r="A356" s="26" t="inlineStr">
        <is>
          <t>PMIS11</t>
        </is>
      </c>
      <c r="B356" s="27" t="inlineStr">
        <is>
          <t>FII</t>
        </is>
      </c>
      <c r="C356" s="27" t="inlineStr">
        <is>
          <t>PARAMIS HEDGE FUND FUNDO DE INVESTIMENTO IMOBILIÁRIO - FII RESPONSABILIDADE LIMITADA</t>
        </is>
      </c>
      <c r="D356" s="27" t="n">
        <v>8.19</v>
      </c>
      <c r="E356" s="27" t="inlineStr">
        <is>
          <t>51.868.778/0001-58</t>
        </is>
      </c>
      <c r="F356" s="27" t="n"/>
      <c r="G356" s="28" t="inlineStr">
        <is>
          <t>13,84</t>
        </is>
      </c>
      <c r="H356" s="28" t="n"/>
      <c r="I356" s="27" t="n"/>
    </row>
    <row r="357">
      <c r="A357" s="23" t="inlineStr">
        <is>
          <t>PMLL11</t>
        </is>
      </c>
      <c r="B357" s="24" t="inlineStr">
        <is>
          <t>FII</t>
        </is>
      </c>
      <c r="C357" s="24" t="inlineStr">
        <is>
          <t>PATRIA MALLS FUNDO DE INVESTIMENTO IMOBILIÁRIO - RESPONSABILIDADE LIMITADA</t>
        </is>
      </c>
      <c r="D357" s="24" t="n">
        <v>106.6</v>
      </c>
      <c r="E357" s="24" t="inlineStr">
        <is>
          <t>26.499.833/0001-32</t>
        </is>
      </c>
      <c r="F357" s="24" t="n"/>
      <c r="G357" s="29" t="inlineStr">
        <is>
          <t>9,89</t>
        </is>
      </c>
      <c r="H357" s="29" t="n"/>
      <c r="I357" s="24" t="n"/>
    </row>
    <row r="358">
      <c r="A358" s="26" t="inlineStr">
        <is>
          <t>PNCR11</t>
        </is>
      </c>
      <c r="B358" s="27" t="inlineStr">
        <is>
          <t>FII</t>
        </is>
      </c>
      <c r="C358" s="27" t="inlineStr">
        <is>
          <t>PANORAMA CRÉDITO RESIDENCIAL FUNDO DE INVESTIMENTO IMOBILIÁRIO RESPONSABILIDADE LIMITADA</t>
        </is>
      </c>
      <c r="D358" s="27" t="n"/>
      <c r="E358" s="27" t="inlineStr">
        <is>
          <t>50.569.855/0001-06</t>
        </is>
      </c>
      <c r="F358" s="27" t="n"/>
      <c r="G358" s="28" t="inlineStr">
        <is>
          <t>13,43</t>
        </is>
      </c>
      <c r="H358" s="28" t="n"/>
      <c r="I358" s="27" t="n"/>
    </row>
    <row r="359">
      <c r="A359" s="23" t="inlineStr">
        <is>
          <t>PNDL11</t>
        </is>
      </c>
      <c r="B359" s="24" t="inlineStr">
        <is>
          <t>FII</t>
        </is>
      </c>
      <c r="C359" s="24" t="inlineStr">
        <is>
          <t>PANORAMA DESENVOLVIMENTO LOGÍSTICO - FUNDO DE INVESTIMENTO IMOBILIÁRIO - RESPONSABILIDADE LIMITADA</t>
        </is>
      </c>
      <c r="D359" s="24" t="n">
        <v>1200</v>
      </c>
      <c r="E359" s="24" t="inlineStr">
        <is>
          <t>37.899.400/0001-90</t>
        </is>
      </c>
      <c r="F359" s="24" t="n"/>
      <c r="G359" s="29" t="inlineStr">
        <is>
          <t>0,00</t>
        </is>
      </c>
      <c r="H359" s="29" t="n"/>
      <c r="I359" s="24" t="n"/>
    </row>
    <row r="360">
      <c r="A360" s="26" t="inlineStr">
        <is>
          <t>PNLM11</t>
        </is>
      </c>
      <c r="B360" s="27" t="inlineStr">
        <is>
          <t>FII</t>
        </is>
      </c>
      <c r="C360" s="27" t="inlineStr">
        <is>
          <t>PANORAMA LAST MILE SBC - FUNDO DE INVESTIMENTO IMOBILIÁRIO RESPONSABILIDADE LIMITADA</t>
        </is>
      </c>
      <c r="D360" s="27" t="n">
        <v>0</v>
      </c>
      <c r="E360" s="27" t="n"/>
      <c r="F360" s="27" t="n"/>
      <c r="G360" s="28" t="inlineStr">
        <is>
          <t>0,00</t>
        </is>
      </c>
      <c r="H360" s="28" t="n"/>
      <c r="I360" s="27" t="n"/>
    </row>
    <row r="361">
      <c r="A361" s="23" t="inlineStr">
        <is>
          <t>PNPR11</t>
        </is>
      </c>
      <c r="B361" s="24" t="inlineStr">
        <is>
          <t>FII</t>
        </is>
      </c>
      <c r="C361" s="24" t="inlineStr">
        <is>
          <t>PANORAMA PROPERTIES FUNDO DE INVESTIMENTO IMOBILIÁRIO</t>
        </is>
      </c>
      <c r="D361" s="24" t="n">
        <v>48</v>
      </c>
      <c r="E361" s="24" t="inlineStr">
        <is>
          <t>26.813.118/0001-22</t>
        </is>
      </c>
      <c r="F361" s="24" t="n"/>
      <c r="G361" s="29" t="inlineStr">
        <is>
          <t>0,00</t>
        </is>
      </c>
      <c r="H361" s="29" t="n"/>
      <c r="I361" s="24" t="n"/>
    </row>
    <row r="362">
      <c r="A362" s="26" t="inlineStr">
        <is>
          <t>PNRC11</t>
        </is>
      </c>
      <c r="B362" s="27" t="inlineStr">
        <is>
          <t>FII</t>
        </is>
      </c>
      <c r="C362" s="27" t="inlineStr">
        <is>
          <t>PANORAMA REAL ESTATE CRÉDITO FUNDO DE INVESTIMENTO IMOBILIÁRIO RESPONSABILIDADE LIMITADA</t>
        </is>
      </c>
      <c r="D362" s="27" t="n">
        <v>61</v>
      </c>
      <c r="E362" s="27" t="inlineStr">
        <is>
          <t>46.157.348/0001-98</t>
        </is>
      </c>
      <c r="F362" s="27" t="n"/>
      <c r="G362" s="28" t="inlineStr">
        <is>
          <t>22,57</t>
        </is>
      </c>
      <c r="H362" s="28" t="n"/>
      <c r="I362" s="27" t="n"/>
    </row>
    <row r="363">
      <c r="A363" s="23" t="inlineStr">
        <is>
          <t>PORD11</t>
        </is>
      </c>
      <c r="B363" s="24" t="inlineStr">
        <is>
          <t>FII</t>
        </is>
      </c>
      <c r="C363" s="24" t="inlineStr">
        <is>
          <t>POLO CRÉDITO IMOBILIÁRIO - FUNDO DE INVESTIMENTO IMOBILIÁRIO - RESPONSABILIDADE LIMITADA</t>
        </is>
      </c>
      <c r="D363" s="24" t="n">
        <v>8.449999999999999</v>
      </c>
      <c r="E363" s="24" t="inlineStr">
        <is>
          <t>17.156.502/0001-09</t>
        </is>
      </c>
      <c r="F363" s="24" t="n"/>
      <c r="G363" s="29" t="inlineStr">
        <is>
          <t>14,12</t>
        </is>
      </c>
      <c r="H363" s="29" t="n"/>
      <c r="I363" s="24" t="n"/>
    </row>
    <row r="364">
      <c r="A364" s="26" t="inlineStr">
        <is>
          <t>PQAG11</t>
        </is>
      </c>
      <c r="B364" s="27" t="inlineStr">
        <is>
          <t>FII</t>
        </is>
      </c>
      <c r="C364" s="27" t="inlineStr">
        <is>
          <t>PARQUE ANHANGUERA FUNDO DE INVESTIMENTO IMOBILIÁRIO DE RESPONSABILIDADE LIMITADA</t>
        </is>
      </c>
      <c r="D364" s="27" t="n">
        <v>56.05</v>
      </c>
      <c r="E364" s="27" t="inlineStr">
        <is>
          <t>12.978.943/0001-72</t>
        </is>
      </c>
      <c r="F364" s="27" t="n"/>
      <c r="G364" s="28" t="inlineStr">
        <is>
          <t>10,09</t>
        </is>
      </c>
      <c r="H364" s="28" t="n"/>
      <c r="I364" s="27" t="n"/>
    </row>
    <row r="365">
      <c r="A365" s="23" t="inlineStr">
        <is>
          <t>PQDP11</t>
        </is>
      </c>
      <c r="B365" s="24" t="inlineStr">
        <is>
          <t>FII</t>
        </is>
      </c>
      <c r="C365" s="24" t="inlineStr">
        <is>
          <t>FUNDO DE INVESTIMENTO IMOBILIÁRIO - FII PARQUE DOM PEDRO SHOPPING CENTER RESPONSABILIDADE LIMITADA</t>
        </is>
      </c>
      <c r="D365" s="24" t="n">
        <v>2443.99</v>
      </c>
      <c r="E365" s="24" t="inlineStr">
        <is>
          <t>10.869.155/0001-12</t>
        </is>
      </c>
      <c r="F365" s="24" t="n"/>
      <c r="G365" s="29" t="inlineStr">
        <is>
          <t>9,34</t>
        </is>
      </c>
      <c r="H365" s="29" t="n"/>
      <c r="I365" s="24" t="n"/>
    </row>
    <row r="366">
      <c r="A366" s="26" t="inlineStr">
        <is>
          <t>PRSN11</t>
        </is>
      </c>
      <c r="B366" s="27" t="inlineStr">
        <is>
          <t>FII</t>
        </is>
      </c>
      <c r="C366" s="27" t="inlineStr">
        <is>
          <t>PERSONALE I FUNDO DE INVESTIMENTO IMOBILIÁRIO RESPONSABILIDADE LIMITADA</t>
        </is>
      </c>
      <c r="D366" s="27" t="n">
        <v>7</v>
      </c>
      <c r="E366" s="27" t="n"/>
      <c r="F366" s="27" t="n"/>
      <c r="G366" s="28" t="inlineStr">
        <is>
          <t>0,00</t>
        </is>
      </c>
      <c r="H366" s="28" t="n"/>
      <c r="I366" s="27" t="n"/>
    </row>
    <row r="367">
      <c r="A367" s="23" t="inlineStr">
        <is>
          <t>PRSV11</t>
        </is>
      </c>
      <c r="B367" s="24" t="inlineStr">
        <is>
          <t>FII</t>
        </is>
      </c>
      <c r="C367" s="24" t="inlineStr">
        <is>
          <t>PRESIDENTE VARGAS FUNDO DE INVESTIMENTO IMOBILIÁRIO DE RESPONSABILIDADE LIMITADA</t>
        </is>
      </c>
      <c r="D367" s="24" t="n">
        <v>34.97</v>
      </c>
      <c r="E367" s="24" t="inlineStr">
        <is>
          <t>11.281.322/0001-72</t>
        </is>
      </c>
      <c r="F367" s="24" t="n"/>
      <c r="G367" s="29" t="inlineStr">
        <is>
          <t>0,00</t>
        </is>
      </c>
      <c r="H367" s="29" t="n"/>
      <c r="I367" s="24" t="n"/>
    </row>
    <row r="368">
      <c r="A368" s="26" t="inlineStr">
        <is>
          <t>PULV11</t>
        </is>
      </c>
      <c r="B368" s="27" t="inlineStr">
        <is>
          <t>FII</t>
        </is>
      </c>
      <c r="C368" s="27" t="inlineStr">
        <is>
          <t>FUNDO DE INVESTIMENTO IMOBILIÁRIO RBR CRÉDITO PULVERIZADO RESPONSABILIDADE LIMITADA</t>
        </is>
      </c>
      <c r="D368" s="27" t="n">
        <v>8.82</v>
      </c>
      <c r="E368" s="27" t="inlineStr">
        <is>
          <t>53.018.363/0001-10</t>
        </is>
      </c>
      <c r="F368" s="27" t="n"/>
      <c r="G368" s="28" t="inlineStr">
        <is>
          <t>8,54</t>
        </is>
      </c>
      <c r="H368" s="28" t="n"/>
      <c r="I368" s="27" t="n"/>
    </row>
    <row r="369">
      <c r="A369" s="23" t="inlineStr">
        <is>
          <t>PVBI11</t>
        </is>
      </c>
      <c r="B369" s="24" t="inlineStr">
        <is>
          <t>FII</t>
        </is>
      </c>
      <c r="C369" s="24" t="inlineStr">
        <is>
          <t>FUNDO DE INVESTIMENTO IMOBILIÁRIO VBI PRIME PROPERTIES - RESPONSABILIDADE LIMITADA</t>
        </is>
      </c>
      <c r="D369" s="24" t="n">
        <v>79.8</v>
      </c>
      <c r="E369" s="24" t="inlineStr">
        <is>
          <t>35.652.102/0001-76</t>
        </is>
      </c>
      <c r="F369" s="24" t="n"/>
      <c r="G369" s="29" t="inlineStr">
        <is>
          <t>7,12</t>
        </is>
      </c>
      <c r="H369" s="29" t="n"/>
      <c r="I369" s="24" t="n"/>
    </row>
    <row r="370">
      <c r="A370" s="26" t="inlineStr">
        <is>
          <t>QTZD11</t>
        </is>
      </c>
      <c r="B370" s="27" t="inlineStr">
        <is>
          <t>FII</t>
        </is>
      </c>
      <c r="C370" s="27" t="inlineStr">
        <is>
          <t>QUARTZO REAL ESTATE DEVELOPMENT MULTIESTRATÉGIA FUNDO DE INVESTIMENTO IMOBILIÁRIO RESPONSABILIDADE L</t>
        </is>
      </c>
      <c r="D370" s="27" t="n"/>
      <c r="E370" s="27" t="inlineStr">
        <is>
          <t>55.115.058/0001-72</t>
        </is>
      </c>
      <c r="F370" s="27" t="n"/>
      <c r="G370" s="28" t="inlineStr">
        <is>
          <t>0,00</t>
        </is>
      </c>
      <c r="H370" s="28" t="n"/>
      <c r="I370" s="27" t="n"/>
    </row>
    <row r="371">
      <c r="A371" s="23" t="inlineStr">
        <is>
          <t>RBDS11</t>
        </is>
      </c>
      <c r="B371" s="24" t="inlineStr">
        <is>
          <t>FII</t>
        </is>
      </c>
      <c r="C371" s="24" t="inlineStr">
        <is>
          <t>RB CAPITAL DESENV. RESIDENCIAL II FUNDO DE INVESTIMENTO IMOBILIARIO - RESPONSABILIDADE LIMITADA</t>
        </is>
      </c>
      <c r="D371" s="24" t="n">
        <v>2.21</v>
      </c>
      <c r="E371" s="24" t="inlineStr">
        <is>
          <t>11.945.604/0001-27</t>
        </is>
      </c>
      <c r="F371" s="24" t="n"/>
      <c r="G371" s="29" t="inlineStr">
        <is>
          <t>0,00</t>
        </is>
      </c>
      <c r="H371" s="29" t="n"/>
      <c r="I371" s="24" t="n"/>
    </row>
    <row r="372">
      <c r="A372" s="26" t="inlineStr">
        <is>
          <t>RBFF11</t>
        </is>
      </c>
      <c r="B372" s="27" t="inlineStr">
        <is>
          <t>FII</t>
        </is>
      </c>
      <c r="C372" s="27" t="inlineStr">
        <is>
          <t>RIO BRAVO FUNDO DE FUNDOS DE INVESTIMENTO IMOBILIÁRIO DE RESPONSABILIDADE LIMITADA</t>
        </is>
      </c>
      <c r="D372" s="27" t="n">
        <v>10.65</v>
      </c>
      <c r="E372" s="27" t="inlineStr">
        <is>
          <t>17.329.029/0001-14</t>
        </is>
      </c>
      <c r="F372" s="27" t="n"/>
      <c r="G372" s="28" t="inlineStr">
        <is>
          <t>12,01</t>
        </is>
      </c>
      <c r="H372" s="28" t="n"/>
      <c r="I372" s="27" t="n"/>
    </row>
    <row r="373">
      <c r="A373" s="23" t="inlineStr">
        <is>
          <t>RBHG11</t>
        </is>
      </c>
      <c r="B373" s="24" t="inlineStr">
        <is>
          <t>FII</t>
        </is>
      </c>
      <c r="C373" s="24" t="inlineStr">
        <is>
          <t>RIO BRAVO CRÉDITO IMOBILIÁRIO HIGH GRADE FUNDO DE INVESTIMENTO IMOBILIÁRIO - FII RESP LIMITADA</t>
        </is>
      </c>
      <c r="D373" s="24" t="n">
        <v>69.7</v>
      </c>
      <c r="E373" s="24" t="inlineStr">
        <is>
          <t>30.647.758/0001-87</t>
        </is>
      </c>
      <c r="F373" s="24" t="n"/>
      <c r="G373" s="29" t="inlineStr">
        <is>
          <t>13,93</t>
        </is>
      </c>
      <c r="H373" s="29" t="n"/>
      <c r="I373" s="24" t="n"/>
    </row>
    <row r="374">
      <c r="A374" s="26" t="inlineStr">
        <is>
          <t>RBHY11</t>
        </is>
      </c>
      <c r="B374" s="27" t="inlineStr">
        <is>
          <t>FII</t>
        </is>
      </c>
      <c r="C374" s="27" t="inlineStr">
        <is>
          <t>RIO BRAVO CRÉDITO IMOBILIÁRIO HIGH YIELD FUNDO DE INVESTIMENTO IMOBILIÁRIO - FII RESP LIMITADA</t>
        </is>
      </c>
      <c r="D374" s="27" t="n">
        <v>80.01000000000001</v>
      </c>
      <c r="E374" s="27" t="inlineStr">
        <is>
          <t>37.899.479/0001-50</t>
        </is>
      </c>
      <c r="F374" s="27" t="n"/>
      <c r="G374" s="28" t="inlineStr">
        <is>
          <t>15,83</t>
        </is>
      </c>
      <c r="H374" s="28" t="n"/>
      <c r="I374" s="27" t="n"/>
    </row>
    <row r="375">
      <c r="A375" s="23" t="inlineStr">
        <is>
          <t>RBIR11</t>
        </is>
      </c>
      <c r="B375" s="24" t="inlineStr">
        <is>
          <t>FII</t>
        </is>
      </c>
      <c r="C375" s="24" t="inlineStr">
        <is>
          <t>RB CAPITAL DESENVOLVIMENTO RESIDENCIAL IV FUNDO DE INVESTIMENTO IMOBILIÁRIO - FII - RESP. LTDA.</t>
        </is>
      </c>
      <c r="D375" s="24" t="n">
        <v>89.14</v>
      </c>
      <c r="E375" s="24" t="inlineStr">
        <is>
          <t>31.161.410/0001-48</t>
        </is>
      </c>
      <c r="F375" s="24" t="n"/>
      <c r="G375" s="29" t="inlineStr">
        <is>
          <t>14,64</t>
        </is>
      </c>
      <c r="H375" s="29" t="n"/>
      <c r="I375" s="24" t="n"/>
    </row>
    <row r="376">
      <c r="A376" s="26" t="inlineStr">
        <is>
          <t>RBLG11</t>
        </is>
      </c>
      <c r="B376" s="27" t="inlineStr">
        <is>
          <t>FII</t>
        </is>
      </c>
      <c r="C376" s="27" t="inlineStr">
        <is>
          <t>RB CAPITAL LOGÍSTICO FUNDO DE INVESTIMENTO IMOBILIÁRIO FII RESPONSABILIDADE LIMITADA</t>
        </is>
      </c>
      <c r="D376" s="27" t="n">
        <v>58.04</v>
      </c>
      <c r="E376" s="27" t="inlineStr">
        <is>
          <t>35.652.227/0001-04</t>
        </is>
      </c>
      <c r="F376" s="27" t="n"/>
      <c r="G376" s="28" t="inlineStr">
        <is>
          <t>5,07</t>
        </is>
      </c>
      <c r="H376" s="28" t="n"/>
      <c r="I376" s="27" t="n"/>
    </row>
    <row r="377">
      <c r="A377" s="23" t="inlineStr">
        <is>
          <t>RBOP11</t>
        </is>
      </c>
      <c r="B377" s="24" t="inlineStr">
        <is>
          <t>FII</t>
        </is>
      </c>
      <c r="C377" s="24" t="inlineStr">
        <is>
          <t>RIO BRAVO OPORTUNIDADES IMOBILIÁRIAS FUNDO DE INVESTIMENTO IMOBILIÁRIO DE RESPONSABILIDADE LIMITADA</t>
        </is>
      </c>
      <c r="D377" s="24" t="n">
        <v>233.76</v>
      </c>
      <c r="E377" s="24" t="inlineStr">
        <is>
          <t>13.500.306/0001-59</t>
        </is>
      </c>
      <c r="F377" s="24" t="n"/>
      <c r="G377" s="29" t="inlineStr">
        <is>
          <t>6,45</t>
        </is>
      </c>
      <c r="H377" s="29" t="n"/>
      <c r="I377" s="24" t="n"/>
    </row>
    <row r="378">
      <c r="A378" s="26" t="inlineStr">
        <is>
          <t>RBRD11</t>
        </is>
      </c>
      <c r="B378" s="27" t="inlineStr">
        <is>
          <t>FII</t>
        </is>
      </c>
      <c r="C378" s="27" t="inlineStr">
        <is>
          <t>RB CAPITAL RENDA II FUNDO DE INVESTIMENTO IMOBILIÁRIO - FII</t>
        </is>
      </c>
      <c r="D378" s="27" t="n">
        <v>41.09</v>
      </c>
      <c r="E378" s="27" t="inlineStr">
        <is>
          <t>09.006.914/0001-34</t>
        </is>
      </c>
      <c r="F378" s="27" t="n"/>
      <c r="G378" s="28" t="inlineStr">
        <is>
          <t>4,30</t>
        </is>
      </c>
      <c r="H378" s="28" t="n"/>
      <c r="I378" s="27" t="n"/>
    </row>
    <row r="379">
      <c r="A379" s="23" t="inlineStr">
        <is>
          <t>RBRF11</t>
        </is>
      </c>
      <c r="B379" s="24" t="inlineStr">
        <is>
          <t>FII</t>
        </is>
      </c>
      <c r="C379" s="24" t="inlineStr">
        <is>
          <t>RBR ALPHA MULTIESTRATÉGIA REAL ESTATE FUNDO DE INVESTIMENTO IMOBILIÁRIO RESPONSABILIDADE LIMITADA</t>
        </is>
      </c>
      <c r="D379" s="24" t="n">
        <v>6.65</v>
      </c>
      <c r="E379" s="24" t="inlineStr">
        <is>
          <t>27.529.279/0001-51</t>
        </is>
      </c>
      <c r="F379" s="24" t="n"/>
      <c r="G379" s="29" t="inlineStr">
        <is>
          <t>8,28</t>
        </is>
      </c>
      <c r="H379" s="29" t="n"/>
      <c r="I379" s="24" t="n"/>
    </row>
    <row r="380">
      <c r="A380" s="26" t="inlineStr">
        <is>
          <t>RBRI11</t>
        </is>
      </c>
      <c r="B380" s="27" t="inlineStr">
        <is>
          <t>FII</t>
        </is>
      </c>
      <c r="C380" s="27" t="inlineStr">
        <is>
          <t>FUNDO DE INVESTIMENTO IMOBILIÁRIO - FII RBR DESENVOLVIMENTO III RESPONSABILIDADE LIMITADA</t>
        </is>
      </c>
      <c r="D380" s="27" t="n">
        <v>649</v>
      </c>
      <c r="E380" s="27" t="inlineStr">
        <is>
          <t>32.441.656/0001-36</t>
        </is>
      </c>
      <c r="F380" s="27" t="n"/>
      <c r="G380" s="28" t="inlineStr">
        <is>
          <t>11,33</t>
        </is>
      </c>
      <c r="H380" s="28" t="n"/>
      <c r="I380" s="27" t="n"/>
    </row>
    <row r="381">
      <c r="A381" s="23" t="inlineStr">
        <is>
          <t>RBRK11</t>
        </is>
      </c>
      <c r="B381" s="24" t="inlineStr">
        <is>
          <t>FII</t>
        </is>
      </c>
      <c r="C381" s="24" t="inlineStr">
        <is>
          <t>RBR PRIME OFFICES - FUNDO DE INVESTIMENTO IMOBILIÁRIO RESPONSABILIDADE LIMITADA</t>
        </is>
      </c>
      <c r="D381" s="24" t="n">
        <v>107</v>
      </c>
      <c r="E381" s="24" t="inlineStr">
        <is>
          <t>53.391.653/0001-05</t>
        </is>
      </c>
      <c r="F381" s="24" t="n"/>
      <c r="G381" s="29" t="inlineStr">
        <is>
          <t>0,00</t>
        </is>
      </c>
      <c r="H381" s="29" t="n"/>
      <c r="I381" s="24" t="n"/>
    </row>
    <row r="382">
      <c r="A382" s="26" t="inlineStr">
        <is>
          <t>RBRL11</t>
        </is>
      </c>
      <c r="B382" s="27" t="inlineStr">
        <is>
          <t>FII</t>
        </is>
      </c>
      <c r="C382" s="27" t="inlineStr">
        <is>
          <t>RBR LOG - FUNDO DE INVESTIMENTO IMOBILIÁRIO RESPONSABILIDADE LIMITADA</t>
        </is>
      </c>
      <c r="D382" s="27" t="n">
        <v>92.23</v>
      </c>
      <c r="E382" s="27" t="inlineStr">
        <is>
          <t>35.705.463/0001-33</t>
        </is>
      </c>
      <c r="F382" s="27" t="n"/>
      <c r="G382" s="28" t="inlineStr">
        <is>
          <t>9,81</t>
        </is>
      </c>
      <c r="H382" s="28" t="n"/>
      <c r="I382" s="27" t="n"/>
    </row>
    <row r="383">
      <c r="A383" s="23" t="inlineStr">
        <is>
          <t>RBRP11</t>
        </is>
      </c>
      <c r="B383" s="24" t="inlineStr">
        <is>
          <t>FII</t>
        </is>
      </c>
      <c r="C383" s="24" t="inlineStr">
        <is>
          <t>FUNDO DE INVESTIMENTO IMOBILIÁRIO RBR PROPERTIES - FII RESPONSABILIDADE LIMITADA</t>
        </is>
      </c>
      <c r="D383" s="24" t="n">
        <v>54.03</v>
      </c>
      <c r="E383" s="24" t="inlineStr">
        <is>
          <t>21.408.063/0001-51</t>
        </is>
      </c>
      <c r="F383" s="24" t="n"/>
      <c r="G383" s="29" t="inlineStr">
        <is>
          <t>8,94</t>
        </is>
      </c>
      <c r="H383" s="29" t="n"/>
      <c r="I383" s="24" t="n"/>
    </row>
    <row r="384">
      <c r="A384" s="26" t="inlineStr">
        <is>
          <t>RBRR11</t>
        </is>
      </c>
      <c r="B384" s="27" t="inlineStr">
        <is>
          <t>FII</t>
        </is>
      </c>
      <c r="C384" s="27" t="inlineStr">
        <is>
          <t>FUNDO DE INVESTIMENTO IMOBILIARIO - FII RBR RENDIMENTO HIGH GRADE RESPONSABILIDADE LIMITADA</t>
        </is>
      </c>
      <c r="D384" s="27" t="n">
        <v>87.17</v>
      </c>
      <c r="E384" s="27" t="inlineStr">
        <is>
          <t>29.467.977/0001-03</t>
        </is>
      </c>
      <c r="F384" s="27" t="n"/>
      <c r="G384" s="28" t="inlineStr">
        <is>
          <t>12,24</t>
        </is>
      </c>
      <c r="H384" s="28" t="n"/>
      <c r="I384" s="27" t="n"/>
    </row>
    <row r="385">
      <c r="A385" s="23" t="inlineStr">
        <is>
          <t>RBRS11</t>
        </is>
      </c>
      <c r="B385" s="24" t="inlineStr">
        <is>
          <t>FII</t>
        </is>
      </c>
      <c r="C385" s="24" t="inlineStr">
        <is>
          <t>RIO BRAVO RENDA RESIDENCIAL FUNDO DE INVESTIMENTO IMOBILIÁRIO DE RESPONSABILIDADE LIMITADA</t>
        </is>
      </c>
      <c r="D385" s="24" t="n">
        <v>46.19</v>
      </c>
      <c r="E385" s="24" t="inlineStr">
        <is>
          <t>36.517.660/0001-91</t>
        </is>
      </c>
      <c r="F385" s="24" t="n"/>
      <c r="G385" s="29" t="inlineStr">
        <is>
          <t>6,08</t>
        </is>
      </c>
      <c r="H385" s="29" t="n"/>
      <c r="I385" s="24" t="n"/>
    </row>
    <row r="386">
      <c r="A386" s="26" t="inlineStr">
        <is>
          <t>RBRX11</t>
        </is>
      </c>
      <c r="B386" s="27" t="inlineStr">
        <is>
          <t>FII</t>
        </is>
      </c>
      <c r="C386" s="27" t="inlineStr">
        <is>
          <t>RBR PLUS MULTIESTRATÉGIA REAL ESTATE FUNDO DE INVESTIMENTO IMOBILIÁRIO RESPONSABILIDADE LIMITADA</t>
        </is>
      </c>
      <c r="D386" s="27" t="n">
        <v>8.76</v>
      </c>
      <c r="E386" s="27" t="inlineStr">
        <is>
          <t>41.088.458/0001-21</t>
        </is>
      </c>
      <c r="F386" s="27" t="n"/>
      <c r="G386" s="28" t="inlineStr">
        <is>
          <t>12,47</t>
        </is>
      </c>
      <c r="H386" s="28" t="n"/>
      <c r="I386" s="27" t="n"/>
    </row>
    <row r="387">
      <c r="A387" s="23" t="inlineStr">
        <is>
          <t>RBRY11</t>
        </is>
      </c>
      <c r="B387" s="24" t="inlineStr">
        <is>
          <t>FII</t>
        </is>
      </c>
      <c r="C387" s="24" t="inlineStr">
        <is>
          <t>FUNDO DE INVESTIMENTO IMOBILIÁRIO RBR CRÉDITO IMOBILIÁRIO ESTRUTURADO RESPONSABILIDADE LIMITADA</t>
        </is>
      </c>
      <c r="D387" s="24" t="n">
        <v>97.40000000000001</v>
      </c>
      <c r="E387" s="24" t="inlineStr">
        <is>
          <t>30.166.700/0001-11</t>
        </is>
      </c>
      <c r="F387" s="24" t="n"/>
      <c r="G387" s="29" t="inlineStr">
        <is>
          <t>14,39</t>
        </is>
      </c>
      <c r="H387" s="29" t="n"/>
      <c r="I387" s="24" t="n"/>
    </row>
    <row r="388">
      <c r="A388" s="26" t="inlineStr">
        <is>
          <t>RBTS11</t>
        </is>
      </c>
      <c r="B388" s="27" t="inlineStr">
        <is>
          <t>FII</t>
        </is>
      </c>
      <c r="C388" s="27" t="inlineStr">
        <is>
          <t>RB CAPITAL TFO SITUS FUNDO DE INVESTIMENTO IMOBILIÁRIO - FII - RESPONSABILIDADE LIMITADA</t>
        </is>
      </c>
      <c r="D388" s="27" t="n">
        <v>302.02</v>
      </c>
      <c r="E388" s="27" t="inlineStr">
        <is>
          <t>29.299.737/0001-39</t>
        </is>
      </c>
      <c r="F388" s="27" t="n"/>
      <c r="G388" s="28" t="inlineStr">
        <is>
          <t>4,48</t>
        </is>
      </c>
      <c r="H388" s="28" t="n"/>
      <c r="I388" s="27" t="n"/>
    </row>
    <row r="389">
      <c r="A389" s="23" t="inlineStr">
        <is>
          <t>RBVA11</t>
        </is>
      </c>
      <c r="B389" s="24" t="inlineStr">
        <is>
          <t>FII</t>
        </is>
      </c>
      <c r="C389" s="24" t="inlineStr">
        <is>
          <t>RIO BRAVO RENDA VAREJO FUNDO DE INVESTIMENTO IMOBILIÁRIO DE RESPONSABILIDADE LIMITADA</t>
        </is>
      </c>
      <c r="D389" s="24" t="n">
        <v>9.77</v>
      </c>
      <c r="E389" s="24" t="inlineStr">
        <is>
          <t>15.576.907/0001-70</t>
        </is>
      </c>
      <c r="F389" s="24" t="n"/>
      <c r="G389" s="29" t="inlineStr">
        <is>
          <t>10,96</t>
        </is>
      </c>
      <c r="H389" s="29" t="n"/>
      <c r="I389" s="24" t="n"/>
    </row>
    <row r="390">
      <c r="A390" s="26" t="inlineStr">
        <is>
          <t>RCFA11</t>
        </is>
      </c>
      <c r="B390" s="27" t="inlineStr">
        <is>
          <t>FII</t>
        </is>
      </c>
      <c r="C390" s="27" t="inlineStr">
        <is>
          <t>GRUPO RCFA FUNDO DE INVESTIMENTO IMOBILIARIO</t>
        </is>
      </c>
      <c r="D390" s="27" t="n">
        <v>0.92</v>
      </c>
      <c r="E390" s="27" t="inlineStr">
        <is>
          <t>27.771.586/0001-44</t>
        </is>
      </c>
      <c r="F390" s="27" t="n"/>
      <c r="G390" s="28" t="inlineStr">
        <is>
          <t>0,00</t>
        </is>
      </c>
      <c r="H390" s="28" t="n"/>
      <c r="I390" s="27" t="n"/>
    </row>
    <row r="391">
      <c r="A391" s="23" t="inlineStr">
        <is>
          <t>RCFF11</t>
        </is>
      </c>
      <c r="B391" s="24" t="inlineStr">
        <is>
          <t>FII</t>
        </is>
      </c>
      <c r="C391" s="24" t="inlineStr">
        <is>
          <t>RBR DESENVOLVIMENTO COMERCIAL FEEDER FOF - FII RESPONSABILIDADE LIMITADA</t>
        </is>
      </c>
      <c r="D391" s="24" t="n">
        <v>90</v>
      </c>
      <c r="E391" s="24" t="inlineStr">
        <is>
          <t>35.689.670/0001-41</t>
        </is>
      </c>
      <c r="F391" s="24" t="n"/>
      <c r="G391" s="29" t="inlineStr">
        <is>
          <t>4,42</t>
        </is>
      </c>
      <c r="H391" s="29" t="n"/>
      <c r="I391" s="24" t="n"/>
    </row>
    <row r="392">
      <c r="A392" s="26" t="inlineStr">
        <is>
          <t>RCKF11</t>
        </is>
      </c>
      <c r="B392" s="27" t="inlineStr">
        <is>
          <t>FII</t>
        </is>
      </c>
      <c r="C392" s="27" t="inlineStr">
        <is>
          <t>ROCK FUNDO DE INVESTIMENTO IMOBILIÁRIO DE RESPONSABILIDADE LIMITADA</t>
        </is>
      </c>
      <c r="D392" s="27" t="n"/>
      <c r="E392" s="27" t="inlineStr">
        <is>
          <t>43.010.139/0001-29</t>
        </is>
      </c>
      <c r="F392" s="27" t="n"/>
      <c r="G392" s="28" t="inlineStr">
        <is>
          <t>0,00</t>
        </is>
      </c>
      <c r="H392" s="28" t="n"/>
      <c r="I392" s="27" t="n"/>
    </row>
    <row r="393">
      <c r="A393" s="23" t="inlineStr">
        <is>
          <t>RCRB11</t>
        </is>
      </c>
      <c r="B393" s="24" t="inlineStr">
        <is>
          <t>FII</t>
        </is>
      </c>
      <c r="C393" s="24" t="inlineStr">
        <is>
          <t>RIO BRAVO RENDA CORPORATIVA FUNDO DE INVESTIMENTO IMOBILIÁRIO - RESPONSABILIDADE LIMITADA</t>
        </is>
      </c>
      <c r="D393" s="24" t="n">
        <v>142.88</v>
      </c>
      <c r="E393" s="24" t="inlineStr">
        <is>
          <t>03.683.056/0001-86</t>
        </is>
      </c>
      <c r="F393" s="24" t="n"/>
      <c r="G393" s="29" t="inlineStr">
        <is>
          <t>7,92</t>
        </is>
      </c>
      <c r="H393" s="29" t="n"/>
      <c r="I393" s="24" t="n"/>
    </row>
    <row r="394">
      <c r="A394" s="26" t="inlineStr">
        <is>
          <t>RCRI11</t>
        </is>
      </c>
      <c r="B394" s="27" t="inlineStr">
        <is>
          <t>FII</t>
        </is>
      </c>
      <c r="C394" s="27" t="inlineStr">
        <is>
          <t>REAL INVESTOR RECEBÍVEIS IMOBILIÁRIOS FUNDO DE INVESTIMENTO IMOBILIÁRIO RESPONSABILIDADE LIMITADA</t>
        </is>
      </c>
      <c r="D394" s="27" t="n">
        <v>103.25</v>
      </c>
      <c r="E394" s="27" t="n"/>
      <c r="F394" s="27" t="n"/>
      <c r="G394" s="28" t="inlineStr">
        <is>
          <t>0,00</t>
        </is>
      </c>
      <c r="H394" s="28" t="n"/>
      <c r="I394" s="27" t="n"/>
    </row>
    <row r="395">
      <c r="A395" s="23" t="inlineStr">
        <is>
          <t>RDCI11</t>
        </is>
      </c>
      <c r="B395" s="24" t="inlineStr">
        <is>
          <t>FII</t>
        </is>
      </c>
      <c r="C395" s="24" t="inlineStr">
        <is>
          <t>RBR DESENVOLVIMENTO COMERCIAL I - FUNDO DE INVESTIMENTO IMOBILIÁRIO RESPONSABILIDADE LIMITADA</t>
        </is>
      </c>
      <c r="D395" s="24" t="n"/>
      <c r="E395" s="24" t="inlineStr">
        <is>
          <t>34.736.474/0001-18</t>
        </is>
      </c>
      <c r="F395" s="24" t="n"/>
      <c r="G395" s="29" t="inlineStr">
        <is>
          <t>0,00</t>
        </is>
      </c>
      <c r="H395" s="29" t="n"/>
      <c r="I395" s="24" t="n"/>
    </row>
    <row r="396">
      <c r="A396" s="26" t="inlineStr">
        <is>
          <t>RDIV11</t>
        </is>
      </c>
      <c r="B396" s="27" t="inlineStr">
        <is>
          <t>FII</t>
        </is>
      </c>
      <c r="C396" s="27" t="inlineStr">
        <is>
          <t>FUNDO DE INVESTIMENTO IMOBILIÁRIO - FII RBR DESENVOLVIMENTO IV RESPONSABILIDADE LIMITADA</t>
        </is>
      </c>
      <c r="D396" s="27" t="n">
        <v>86</v>
      </c>
      <c r="E396" s="27" t="inlineStr">
        <is>
          <t>36.642.275/0001-76</t>
        </is>
      </c>
      <c r="F396" s="27" t="n"/>
      <c r="G396" s="28" t="inlineStr">
        <is>
          <t>0,49</t>
        </is>
      </c>
      <c r="H396" s="28" t="n"/>
      <c r="I396" s="27" t="n"/>
    </row>
    <row r="397">
      <c r="A397" s="23" t="inlineStr">
        <is>
          <t>RDLI11</t>
        </is>
      </c>
      <c r="B397" s="24" t="inlineStr">
        <is>
          <t>FII</t>
        </is>
      </c>
      <c r="C397" s="24" t="inlineStr">
        <is>
          <t>RBR DESENVOLVIMENTO LOGÍSTICO I - FUNDO DE INVESTIMENTO IMOBILIÁRIO RESPONSABILIDADE LIMITADA</t>
        </is>
      </c>
      <c r="D397" s="24" t="n">
        <v>99</v>
      </c>
      <c r="E397" s="24" t="inlineStr">
        <is>
          <t>53.391.567/0001-00</t>
        </is>
      </c>
      <c r="F397" s="24" t="n"/>
      <c r="G397" s="29" t="inlineStr">
        <is>
          <t>44,99</t>
        </is>
      </c>
      <c r="H397" s="29" t="n"/>
      <c r="I397" s="24" t="n"/>
    </row>
    <row r="398">
      <c r="A398" s="26" t="inlineStr">
        <is>
          <t>RECD11</t>
        </is>
      </c>
      <c r="B398" s="27" t="inlineStr">
        <is>
          <t>FII</t>
        </is>
      </c>
      <c r="C398" s="27" t="inlineStr">
        <is>
          <t>REC FUNDO DE CRI COTAS AMORTIZÁVEIS - FUNDO DE INVESTIMENTO IMOBILIÁRIO</t>
        </is>
      </c>
      <c r="D398" s="27" t="n">
        <v>7.07</v>
      </c>
      <c r="E398" s="27" t="inlineStr">
        <is>
          <t>53.260.548/0001-37</t>
        </is>
      </c>
      <c r="F398" s="27" t="n"/>
      <c r="G398" s="28" t="inlineStr">
        <is>
          <t>15,46</t>
        </is>
      </c>
      <c r="H398" s="28" t="n"/>
      <c r="I398" s="27" t="n"/>
    </row>
    <row r="399">
      <c r="A399" s="23" t="inlineStr">
        <is>
          <t>RECM11</t>
        </is>
      </c>
      <c r="B399" s="24" t="inlineStr">
        <is>
          <t>FII</t>
        </is>
      </c>
      <c r="C399" s="24" t="inlineStr">
        <is>
          <t>REC MULTIESTRATÉGIA - FUNDO DE INVESTIMENTO IMOBILIÁRIO - RESPONSABILIDADE LIMITADA</t>
        </is>
      </c>
      <c r="D399" s="24" t="n">
        <v>8.57</v>
      </c>
      <c r="E399" s="24" t="inlineStr">
        <is>
          <t>56.430.935/0001-62</t>
        </is>
      </c>
      <c r="F399" s="24" t="n"/>
      <c r="G399" s="29" t="inlineStr">
        <is>
          <t>15,95</t>
        </is>
      </c>
      <c r="H399" s="29" t="n"/>
      <c r="I399" s="24" t="n"/>
    </row>
    <row r="400">
      <c r="A400" s="26" t="inlineStr">
        <is>
          <t>RECR11</t>
        </is>
      </c>
      <c r="B400" s="27" t="inlineStr">
        <is>
          <t>FII</t>
        </is>
      </c>
      <c r="C400" s="27" t="inlineStr">
        <is>
          <t>FUNDO DE INVESTIMENTO IMOBILIÁRIO - FII REC RECEBÍVEIS IMOBILIÁRIOS - RESPONSABILIDADE LIMITADA</t>
        </is>
      </c>
      <c r="D400" s="27" t="n">
        <v>81.75</v>
      </c>
      <c r="E400" s="27" t="inlineStr">
        <is>
          <t>28.152.272/0001-26</t>
        </is>
      </c>
      <c r="F400" s="27" t="n"/>
      <c r="G400" s="28" t="inlineStr">
        <is>
          <t>13,70</t>
        </is>
      </c>
      <c r="H400" s="28" t="n"/>
      <c r="I400" s="27" t="n"/>
    </row>
    <row r="401">
      <c r="A401" s="23" t="inlineStr">
        <is>
          <t>RECT11</t>
        </is>
      </c>
      <c r="B401" s="24" t="inlineStr">
        <is>
          <t>FII</t>
        </is>
      </c>
      <c r="C401" s="24" t="inlineStr">
        <is>
          <t>FUNDO DE INVESTIMENTO IMOBILIÁRIO - FII REC RENDA IMOBILIÁRIA - RESPONSABILIDADE LIMITADA</t>
        </is>
      </c>
      <c r="D401" s="24" t="n">
        <v>39.81</v>
      </c>
      <c r="E401" s="24" t="inlineStr">
        <is>
          <t>32.274.163/0001-59</t>
        </is>
      </c>
      <c r="F401" s="24" t="n"/>
      <c r="G401" s="29" t="inlineStr">
        <is>
          <t>11,86</t>
        </is>
      </c>
      <c r="H401" s="29" t="n"/>
      <c r="I401" s="24" t="n"/>
    </row>
    <row r="402">
      <c r="A402" s="26" t="inlineStr">
        <is>
          <t>REIT11</t>
        </is>
      </c>
      <c r="B402" s="27" t="inlineStr">
        <is>
          <t>FII</t>
        </is>
      </c>
      <c r="C402" s="27" t="inlineStr">
        <is>
          <t>SINGULARE FUNDO DE INVESTIMENTO IMOBILIÁRIO</t>
        </is>
      </c>
      <c r="D402" s="27" t="n">
        <v>99.27</v>
      </c>
      <c r="E402" s="27" t="inlineStr">
        <is>
          <t>16.841.067/0001-99</t>
        </is>
      </c>
      <c r="F402" s="27" t="n"/>
      <c r="G402" s="28" t="inlineStr">
        <is>
          <t>10,25</t>
        </is>
      </c>
      <c r="H402" s="28" t="n"/>
      <c r="I402" s="27" t="n"/>
    </row>
    <row r="403">
      <c r="A403" s="23" t="inlineStr">
        <is>
          <t>RELG11</t>
        </is>
      </c>
      <c r="B403" s="24" t="inlineStr">
        <is>
          <t>FII</t>
        </is>
      </c>
      <c r="C403" s="24" t="inlineStr">
        <is>
          <t>FUNDO DE INVESTIMENTO IMOBILIÁRIO REC LOGÍSTICA - RESPONSABILIDADE LIMITADA</t>
        </is>
      </c>
      <c r="D403" s="24" t="n">
        <v>65</v>
      </c>
      <c r="E403" s="24" t="inlineStr">
        <is>
          <t>37.112.770/0001-36</t>
        </is>
      </c>
      <c r="F403" s="24" t="n"/>
      <c r="G403" s="29" t="inlineStr">
        <is>
          <t>14,13</t>
        </is>
      </c>
      <c r="H403" s="29" t="n"/>
      <c r="I403" s="24" t="n"/>
    </row>
    <row r="404">
      <c r="A404" s="26" t="inlineStr">
        <is>
          <t>RENV11</t>
        </is>
      </c>
      <c r="B404" s="27" t="inlineStr">
        <is>
          <t>FII</t>
        </is>
      </c>
      <c r="C404" s="27" t="inlineStr">
        <is>
          <t>CPV ENERGIA FUNDO DE INVESTIMENTO IMOBILIÁRIO RESPONSABILIDADE LIMITADA</t>
        </is>
      </c>
      <c r="D404" s="27" t="n">
        <v>7</v>
      </c>
      <c r="E404" s="27" t="inlineStr">
        <is>
          <t>54.174.907/0001-04</t>
        </is>
      </c>
      <c r="F404" s="27" t="n"/>
      <c r="G404" s="28" t="inlineStr">
        <is>
          <t>7,07</t>
        </is>
      </c>
      <c r="H404" s="28" t="n"/>
      <c r="I404" s="27" t="n"/>
    </row>
    <row r="405">
      <c r="A405" s="23" t="inlineStr">
        <is>
          <t>RFOF11</t>
        </is>
      </c>
      <c r="B405" s="24" t="inlineStr">
        <is>
          <t>FII</t>
        </is>
      </c>
      <c r="C405" s="24" t="inlineStr">
        <is>
          <t>RB CAPITAL I FUNDO DE FUNDOS -RESPONSABILIDADE LIMITADA</t>
        </is>
      </c>
      <c r="D405" s="24" t="n">
        <v>64.48999999999999</v>
      </c>
      <c r="E405" s="24" t="inlineStr">
        <is>
          <t>34.027.774/0001-28</t>
        </is>
      </c>
      <c r="F405" s="24" t="n"/>
      <c r="G405" s="29" t="inlineStr">
        <is>
          <t>12,22</t>
        </is>
      </c>
      <c r="H405" s="29" t="n"/>
      <c r="I405" s="24" t="n"/>
    </row>
    <row r="406">
      <c r="A406" s="26" t="inlineStr">
        <is>
          <t>RINV11</t>
        </is>
      </c>
      <c r="B406" s="27" t="inlineStr">
        <is>
          <t>FII</t>
        </is>
      </c>
      <c r="C406" s="27" t="inlineStr">
        <is>
          <t>REAL INVESTOR FUNDO DE INVESTIMENTO IMOBILIÁRIO RESPONSABILIDADE LIMITADA</t>
        </is>
      </c>
      <c r="D406" s="27" t="n">
        <v>110.35</v>
      </c>
      <c r="E406" s="27" t="inlineStr">
        <is>
          <t>44.625.612/0001-45</t>
        </is>
      </c>
      <c r="F406" s="27" t="n"/>
      <c r="G406" s="28" t="inlineStr">
        <is>
          <t>11,69</t>
        </is>
      </c>
      <c r="H406" s="28" t="n"/>
      <c r="I406" s="27" t="n"/>
    </row>
    <row r="407">
      <c r="A407" s="23" t="inlineStr">
        <is>
          <t>RMAI11</t>
        </is>
      </c>
      <c r="B407" s="24" t="inlineStr">
        <is>
          <t>FII</t>
        </is>
      </c>
      <c r="C407" s="24" t="inlineStr">
        <is>
          <t>REAG MULTI ATIVOS IMOBILIÁRIOS - FUNDO DE INVESTIMENTO IMOBILIÁRIO</t>
        </is>
      </c>
      <c r="D407" s="24" t="n">
        <v>39.99</v>
      </c>
      <c r="E407" s="24" t="inlineStr">
        <is>
          <t>17.374.696/0001-19</t>
        </is>
      </c>
      <c r="F407" s="24" t="n"/>
      <c r="G407" s="29" t="inlineStr">
        <is>
          <t>14,52</t>
        </is>
      </c>
      <c r="H407" s="29" t="n"/>
      <c r="I407" s="24" t="n"/>
    </row>
    <row r="408">
      <c r="A408" s="26" t="inlineStr">
        <is>
          <t>RMBS11</t>
        </is>
      </c>
      <c r="B408" s="27" t="inlineStr">
        <is>
          <t>FII</t>
        </is>
      </c>
      <c r="C408" s="27" t="inlineStr">
        <is>
          <t>REC MASTER FUNDO DE CRI COTAS AMORTIZÁVEIS FII - RESPONSABILIDADE LIMITADA</t>
        </is>
      </c>
      <c r="D408" s="27" t="n">
        <v>8.35</v>
      </c>
      <c r="E408" s="27" t="n"/>
      <c r="F408" s="27" t="n"/>
      <c r="G408" s="28" t="inlineStr">
        <is>
          <t>0,00</t>
        </is>
      </c>
      <c r="H408" s="28" t="n"/>
      <c r="I408" s="27" t="n"/>
    </row>
    <row r="409">
      <c r="A409" s="23" t="inlineStr">
        <is>
          <t>RNGO11</t>
        </is>
      </c>
      <c r="B409" s="24" t="inlineStr">
        <is>
          <t>FII</t>
        </is>
      </c>
      <c r="C409" s="24" t="inlineStr">
        <is>
          <t>RIO NEGRO FUNDO DE INVESTIMENTO IMOBILIÁRIO DE RESPONSABILIDADE LIMITADA</t>
        </is>
      </c>
      <c r="D409" s="24" t="n">
        <v>52.6</v>
      </c>
      <c r="E409" s="24" t="inlineStr">
        <is>
          <t>15.006.286/0001-90</t>
        </is>
      </c>
      <c r="F409" s="24" t="n"/>
      <c r="G409" s="29" t="inlineStr">
        <is>
          <t>8,03</t>
        </is>
      </c>
      <c r="H409" s="29" t="n"/>
      <c r="I409" s="24" t="n"/>
    </row>
    <row r="410">
      <c r="A410" s="26" t="inlineStr">
        <is>
          <t>ROOF11</t>
        </is>
      </c>
      <c r="B410" s="27" t="inlineStr">
        <is>
          <t>FII</t>
        </is>
      </c>
      <c r="C410" s="27" t="inlineStr">
        <is>
          <t>FUNDO DE INVESTIMENTO IMOBILIÁRIO ROOFTOP I RESPONSABILIDADE LIMITADA</t>
        </is>
      </c>
      <c r="D410" s="27" t="n">
        <v>350</v>
      </c>
      <c r="E410" s="27" t="inlineStr">
        <is>
          <t>38.456.598/0001-09</t>
        </is>
      </c>
      <c r="F410" s="27" t="n"/>
      <c r="G410" s="28" t="inlineStr">
        <is>
          <t>0,00</t>
        </is>
      </c>
      <c r="H410" s="28" t="n"/>
      <c r="I410" s="27" t="n"/>
    </row>
    <row r="411">
      <c r="A411" s="23" t="inlineStr">
        <is>
          <t>RPRI11</t>
        </is>
      </c>
      <c r="B411" s="24" t="inlineStr">
        <is>
          <t>FII</t>
        </is>
      </c>
      <c r="C411" s="24" t="inlineStr">
        <is>
          <t>RBR PREMIUM RECEBÍVEIS IMOBILIÁRIOS FUNDO DE INVESTIMENTO IMOBILIÁRIO RESPONSABILIDADE LIMITADA</t>
        </is>
      </c>
      <c r="D411" s="24" t="n">
        <v>85.47</v>
      </c>
      <c r="E411" s="24" t="inlineStr">
        <is>
          <t>42.502.842/0001-91</t>
        </is>
      </c>
      <c r="F411" s="24" t="n"/>
      <c r="G411" s="29" t="inlineStr">
        <is>
          <t>14,39</t>
        </is>
      </c>
      <c r="H411" s="29" t="n"/>
      <c r="I411" s="24" t="n"/>
    </row>
    <row r="412">
      <c r="A412" s="26" t="inlineStr">
        <is>
          <t>RRCI11</t>
        </is>
      </c>
      <c r="B412" s="27" t="inlineStr">
        <is>
          <t>FII</t>
        </is>
      </c>
      <c r="C412" s="27" t="inlineStr">
        <is>
          <t>RB CAPITAL RECEBÍVEIS IMOBILIÁRIOS FUNDO DE INVESTIMENTO IMOBILIÁRIO - FII - RESP LIMITADA</t>
        </is>
      </c>
      <c r="D412" s="27" t="n"/>
      <c r="E412" s="27" t="inlineStr">
        <is>
          <t>35.689.733/0001-60</t>
        </is>
      </c>
      <c r="F412" s="27" t="n"/>
      <c r="G412" s="28" t="inlineStr">
        <is>
          <t>11,21</t>
        </is>
      </c>
      <c r="H412" s="28" t="n"/>
      <c r="I412" s="27" t="n"/>
    </row>
    <row r="413">
      <c r="A413" s="23" t="inlineStr">
        <is>
          <t>RSPD11</t>
        </is>
      </c>
      <c r="B413" s="24" t="inlineStr">
        <is>
          <t>FII</t>
        </is>
      </c>
      <c r="C413" s="24" t="inlineStr">
        <is>
          <t>RB CAPITAL DESENVOLVIMENTO RESIDENCIAL III FII - RESPONSABILIDADE LIMITADA</t>
        </is>
      </c>
      <c r="D413" s="24" t="n">
        <v>800</v>
      </c>
      <c r="E413" s="24" t="inlineStr">
        <is>
          <t>19.249.989/0001-08</t>
        </is>
      </c>
      <c r="F413" s="24" t="n"/>
      <c r="G413" s="29" t="inlineStr">
        <is>
          <t>14,97</t>
        </is>
      </c>
      <c r="H413" s="29" t="n"/>
      <c r="I413" s="24" t="n"/>
    </row>
    <row r="414">
      <c r="A414" s="26" t="inlineStr">
        <is>
          <t>RTEL11</t>
        </is>
      </c>
      <c r="B414" s="27" t="inlineStr">
        <is>
          <t>FII</t>
        </is>
      </c>
      <c r="C414" s="27" t="inlineStr">
        <is>
          <t>BRC-II FUNDO DE INVESTIMENTO IMOBILIÁRIO - RESPONSABILIDADE LIMITADA</t>
        </is>
      </c>
      <c r="D414" s="27" t="n"/>
      <c r="E414" s="27" t="inlineStr">
        <is>
          <t>43.862.625/0001-75</t>
        </is>
      </c>
      <c r="F414" s="27" t="n"/>
      <c r="G414" s="28" t="inlineStr">
        <is>
          <t>0,00</t>
        </is>
      </c>
      <c r="H414" s="28" t="n"/>
      <c r="I414" s="27" t="n"/>
    </row>
    <row r="415">
      <c r="A415" s="23" t="inlineStr">
        <is>
          <t>RVBI11</t>
        </is>
      </c>
      <c r="B415" s="24" t="inlineStr">
        <is>
          <t>FII</t>
        </is>
      </c>
      <c r="C415" s="24" t="inlineStr">
        <is>
          <t>VBI REITS MULTIESTRATEGIA FUNDO DE INVESTIMENTO IMOBILIARIO - RESPONSABILIDADE LIMITADA</t>
        </is>
      </c>
      <c r="D415" s="24" t="n"/>
      <c r="E415" s="24" t="n"/>
      <c r="F415" s="24" t="n"/>
      <c r="G415" s="29" t="inlineStr">
        <is>
          <t>0,00</t>
        </is>
      </c>
      <c r="H415" s="29" t="n"/>
      <c r="I415" s="24" t="n"/>
    </row>
    <row r="416">
      <c r="A416" s="26" t="inlineStr">
        <is>
          <t>RZAK11</t>
        </is>
      </c>
      <c r="B416" s="27" t="inlineStr">
        <is>
          <t>FII</t>
        </is>
      </c>
      <c r="C416" s="27" t="inlineStr">
        <is>
          <t>RIZA AKIN FUNDO DE INVESTIMENTO IMOBILIÁRIO RESPONSABILIDADE LIMITADA</t>
        </is>
      </c>
      <c r="D416" s="27" t="n">
        <v>86.90000000000001</v>
      </c>
      <c r="E416" s="27" t="inlineStr">
        <is>
          <t>36.642.219/0001-31</t>
        </is>
      </c>
      <c r="F416" s="27" t="n"/>
      <c r="G416" s="28" t="inlineStr">
        <is>
          <t>15,93</t>
        </is>
      </c>
      <c r="H416" s="28" t="n"/>
      <c r="I416" s="27" t="n"/>
    </row>
    <row r="417">
      <c r="A417" s="23" t="inlineStr">
        <is>
          <t>RZAT11</t>
        </is>
      </c>
      <c r="B417" s="24" t="inlineStr">
        <is>
          <t>FII</t>
        </is>
      </c>
      <c r="C417" s="24" t="inlineStr">
        <is>
          <t>RIZA ARCTIUM REAL ESTATE FII - FUNDO DE INVESTIMENTO IMOBILIÁRIO RESPONSABILIDADE LIMITADA</t>
        </is>
      </c>
      <c r="D417" s="24" t="n">
        <v>91.98</v>
      </c>
      <c r="E417" s="24" t="inlineStr">
        <is>
          <t>28.267.696/0001-36</t>
        </is>
      </c>
      <c r="F417" s="24" t="n"/>
      <c r="G417" s="29" t="inlineStr">
        <is>
          <t>13,12</t>
        </is>
      </c>
      <c r="H417" s="29" t="n"/>
      <c r="I417" s="24" t="n"/>
    </row>
    <row r="418">
      <c r="A418" s="26" t="inlineStr">
        <is>
          <t>RZLC11</t>
        </is>
      </c>
      <c r="B418" s="27" t="inlineStr">
        <is>
          <t>FII</t>
        </is>
      </c>
      <c r="C418" s="27" t="inlineStr">
        <is>
          <t>RIZA LECCI FUNDO DE INVESTIMENTO IMOBILIÁRIO RESPONSABILIDADE LIMITADA</t>
        </is>
      </c>
      <c r="D418" s="27" t="n">
        <v>1003.01</v>
      </c>
      <c r="E418" s="27" t="inlineStr">
        <is>
          <t>56.212.023/0001-14</t>
        </is>
      </c>
      <c r="F418" s="27" t="n"/>
      <c r="G418" s="28" t="inlineStr">
        <is>
          <t>14,48</t>
        </is>
      </c>
      <c r="H418" s="28" t="n"/>
      <c r="I418" s="27" t="n"/>
    </row>
    <row r="419">
      <c r="A419" s="23" t="inlineStr">
        <is>
          <t>RZTR11</t>
        </is>
      </c>
      <c r="B419" s="24" t="inlineStr">
        <is>
          <t>FII</t>
        </is>
      </c>
      <c r="C419" s="24" t="inlineStr">
        <is>
          <t>FUNDO DE INVESTIMENTO IMOBILIÁRIO RIZA TERRAX</t>
        </is>
      </c>
      <c r="D419" s="24" t="n">
        <v>95.5</v>
      </c>
      <c r="E419" s="24" t="inlineStr">
        <is>
          <t>36.501.128/0001-86</t>
        </is>
      </c>
      <c r="F419" s="24" t="n"/>
      <c r="G419" s="29" t="inlineStr">
        <is>
          <t>12,70</t>
        </is>
      </c>
      <c r="H419" s="29" t="n"/>
      <c r="I419" s="24" t="n"/>
    </row>
    <row r="420">
      <c r="A420" s="26" t="inlineStr">
        <is>
          <t>RZZI11</t>
        </is>
      </c>
      <c r="B420" s="27" t="inlineStr">
        <is>
          <t>FII</t>
        </is>
      </c>
      <c r="C420" s="27" t="inlineStr">
        <is>
          <t>RAIZZ DESENVOLVIMENTO II FUNDO DE INVESTIMENTO IMOBILIÁRIO RESPONSABILIDADE LIMITADA</t>
        </is>
      </c>
      <c r="D420" s="27" t="n">
        <v>1000</v>
      </c>
      <c r="E420" s="27" t="inlineStr">
        <is>
          <t>54.134.474/0001-55</t>
        </is>
      </c>
      <c r="F420" s="27" t="n"/>
      <c r="G420" s="28" t="inlineStr">
        <is>
          <t>1,75</t>
        </is>
      </c>
      <c r="H420" s="28" t="n"/>
      <c r="I420" s="27" t="n"/>
    </row>
    <row r="421">
      <c r="A421" s="23" t="inlineStr">
        <is>
          <t>RZZR11</t>
        </is>
      </c>
      <c r="B421" s="24" t="inlineStr">
        <is>
          <t>FII</t>
        </is>
      </c>
      <c r="C421" s="24" t="inlineStr">
        <is>
          <t>RAIZZ RENDA LOGÍSTICA FUNDO DE INVESTIMENTO IMOBILIÁRIO RESPONSABILIDADE LIMITADA</t>
        </is>
      </c>
      <c r="D421" s="24" t="n">
        <v>136</v>
      </c>
      <c r="E421" s="24" t="inlineStr">
        <is>
          <t>35.652.278/0001-28</t>
        </is>
      </c>
      <c r="F421" s="24" t="n"/>
      <c r="G421" s="29" t="inlineStr">
        <is>
          <t>10,28</t>
        </is>
      </c>
      <c r="H421" s="29" t="n"/>
      <c r="I421" s="24" t="n"/>
    </row>
    <row r="422">
      <c r="A422" s="26" t="inlineStr">
        <is>
          <t>RZZV11</t>
        </is>
      </c>
      <c r="B422" s="27" t="inlineStr">
        <is>
          <t>FII</t>
        </is>
      </c>
      <c r="C422" s="27" t="inlineStr">
        <is>
          <t>RAIZZ DESENVOLVIMENTO I FUNDO DE INVESTIMENTO IMOBILIÁRIO - FII RESPONSABILIDADE LIMITADA</t>
        </is>
      </c>
      <c r="D422" s="27" t="n">
        <v>1050</v>
      </c>
      <c r="E422" s="27" t="inlineStr">
        <is>
          <t>51.786.271/0001-55</t>
        </is>
      </c>
      <c r="F422" s="27" t="n"/>
      <c r="G422" s="28" t="inlineStr">
        <is>
          <t>7,64</t>
        </is>
      </c>
      <c r="H422" s="28" t="n"/>
      <c r="I422" s="27" t="n"/>
    </row>
    <row r="423">
      <c r="A423" s="23" t="inlineStr">
        <is>
          <t>SADI11</t>
        </is>
      </c>
      <c r="B423" s="24" t="inlineStr">
        <is>
          <t>FII</t>
        </is>
      </c>
      <c r="C423" s="24" t="inlineStr">
        <is>
          <t>SANTANDER PAPÉIS IMOBILIÁRIOS CDI FUNDO DE INVESTIMENTO IMOBILIÁRIO - RESP LIMITADA</t>
        </is>
      </c>
      <c r="D423" s="24" t="n"/>
      <c r="E423" s="24" t="inlineStr">
        <is>
          <t>32.903.521/0001-45</t>
        </is>
      </c>
      <c r="F423" s="24" t="n"/>
      <c r="G423" s="29" t="inlineStr">
        <is>
          <t>10,03</t>
        </is>
      </c>
      <c r="H423" s="29" t="n"/>
      <c r="I423" s="24" t="n"/>
    </row>
    <row r="424">
      <c r="A424" s="26" t="inlineStr">
        <is>
          <t>SAIC11</t>
        </is>
      </c>
      <c r="B424" s="27" t="inlineStr">
        <is>
          <t>FII</t>
        </is>
      </c>
      <c r="C424" s="27" t="inlineStr">
        <is>
          <t>FUNDO DE INVESTIMENTO IMOBILIARIO SIA CORPORATE RESPONSABILIDADE LIMITADA</t>
        </is>
      </c>
      <c r="D424" s="27" t="n">
        <v>34.04</v>
      </c>
      <c r="E424" s="27" t="n"/>
      <c r="F424" s="27" t="n"/>
      <c r="G424" s="28" t="inlineStr">
        <is>
          <t>0,00</t>
        </is>
      </c>
      <c r="H424" s="28" t="n"/>
      <c r="I424" s="27" t="n"/>
    </row>
    <row r="425">
      <c r="A425" s="23" t="inlineStr">
        <is>
          <t>SALI11</t>
        </is>
      </c>
      <c r="B425" s="24" t="inlineStr">
        <is>
          <t>FII</t>
        </is>
      </c>
      <c r="C425" s="24" t="inlineStr">
        <is>
          <t>VÊNUS FUNDO DE INVESTIMENTO IMOBILIÁRIO RESPONSABILIDADE LIMITADA</t>
        </is>
      </c>
      <c r="D425" s="24" t="n"/>
      <c r="E425" s="24" t="inlineStr">
        <is>
          <t>36.669.535/0001-05</t>
        </is>
      </c>
      <c r="F425" s="24" t="n"/>
      <c r="G425" s="29" t="inlineStr">
        <is>
          <t>0,00</t>
        </is>
      </c>
      <c r="H425" s="29" t="n"/>
      <c r="I425" s="24" t="n"/>
    </row>
    <row r="426">
      <c r="A426" s="26" t="inlineStr">
        <is>
          <t>SAPI11</t>
        </is>
      </c>
      <c r="B426" s="27" t="inlineStr">
        <is>
          <t>FII</t>
        </is>
      </c>
      <c r="C426" s="27" t="inlineStr">
        <is>
          <t>SANTANDER PAPÉIS IMOBILIÁRIOS FUNDO DE INVESTIMENTO IMOBILIÁRIO - RESP LIMITADA</t>
        </is>
      </c>
      <c r="D426" s="27" t="n">
        <v>9.31</v>
      </c>
      <c r="E426" s="27" t="inlineStr">
        <is>
          <t>51.646.298/0001-42</t>
        </is>
      </c>
      <c r="F426" s="27" t="n"/>
      <c r="G426" s="28" t="inlineStr">
        <is>
          <t>15,60</t>
        </is>
      </c>
      <c r="H426" s="28" t="n"/>
      <c r="I426" s="27" t="n"/>
    </row>
    <row r="427">
      <c r="A427" s="23" t="inlineStr">
        <is>
          <t>SCPF11</t>
        </is>
      </c>
      <c r="B427" s="24" t="inlineStr">
        <is>
          <t>FII</t>
        </is>
      </c>
      <c r="C427" s="24" t="inlineStr">
        <is>
          <t>SCP FII - RESPONSABILIDADE LIMITADA</t>
        </is>
      </c>
      <c r="D427" s="24" t="n">
        <v>3</v>
      </c>
      <c r="E427" s="24" t="inlineStr">
        <is>
          <t>01.657.856/0001-05</t>
        </is>
      </c>
      <c r="F427" s="24" t="n"/>
      <c r="G427" s="29" t="inlineStr">
        <is>
          <t>0,59</t>
        </is>
      </c>
      <c r="H427" s="29" t="n"/>
      <c r="I427" s="24" t="n"/>
    </row>
    <row r="428">
      <c r="A428" s="26" t="inlineStr">
        <is>
          <t>SEED11</t>
        </is>
      </c>
      <c r="B428" s="27" t="inlineStr">
        <is>
          <t>FII</t>
        </is>
      </c>
      <c r="C428" s="27" t="inlineStr">
        <is>
          <t>HEDGE SEED FUNDO DE INVESTIMENTO IMOBILIARIO DE RESPONSABILIDADE LIMITADA</t>
        </is>
      </c>
      <c r="D428" s="27" t="n">
        <v>100</v>
      </c>
      <c r="E428" s="27" t="inlineStr">
        <is>
          <t>35.689.497/0001-81</t>
        </is>
      </c>
      <c r="F428" s="27" t="n"/>
      <c r="G428" s="28" t="inlineStr">
        <is>
          <t>11,28</t>
        </is>
      </c>
      <c r="H428" s="28" t="n"/>
      <c r="I428" s="27" t="n"/>
    </row>
    <row r="429">
      <c r="A429" s="23" t="inlineStr">
        <is>
          <t>SEQR11</t>
        </is>
      </c>
      <c r="B429" s="24" t="inlineStr">
        <is>
          <t>FII</t>
        </is>
      </c>
      <c r="C429" s="24" t="inlineStr">
        <is>
          <t>SEQUÓIA III RENDA IMOBILIÁRIA FUNDO DE INVESTIMENTO IMOBILIÁRIO - RESPONSABILIDADE LIMITADA</t>
        </is>
      </c>
      <c r="D429" s="24" t="n">
        <v>55.92</v>
      </c>
      <c r="E429" s="24" t="inlineStr">
        <is>
          <t>09.517.273/0001-82</t>
        </is>
      </c>
      <c r="F429" s="24" t="n"/>
      <c r="G429" s="29" t="inlineStr">
        <is>
          <t>12,56</t>
        </is>
      </c>
      <c r="H429" s="29" t="n"/>
      <c r="I429" s="24" t="n"/>
    </row>
    <row r="430">
      <c r="A430" s="26" t="inlineStr">
        <is>
          <t>SHDP11</t>
        </is>
      </c>
      <c r="B430" s="27" t="inlineStr">
        <is>
          <t>FII</t>
        </is>
      </c>
      <c r="C430" s="27" t="inlineStr">
        <is>
          <t>FUNDO DE INVESTIMENTO IMOBILIÁRIO - FII SHOPPING PARQUE D. PEDRO RESPONSABILIDADE LIMITADA</t>
        </is>
      </c>
      <c r="D430" s="27" t="n">
        <v>0</v>
      </c>
      <c r="E430" s="27" t="n"/>
      <c r="F430" s="27" t="n"/>
      <c r="G430" s="28" t="inlineStr">
        <is>
          <t>0,00</t>
        </is>
      </c>
      <c r="H430" s="28" t="n"/>
      <c r="I430" s="27" t="n"/>
    </row>
    <row r="431">
      <c r="A431" s="23" t="inlineStr">
        <is>
          <t>SHIP11</t>
        </is>
      </c>
      <c r="B431" s="24" t="inlineStr">
        <is>
          <t>FII</t>
        </is>
      </c>
      <c r="C431" s="24" t="inlineStr">
        <is>
          <t>RBR FLAGSHIP I FUNDO DE INVESTIMENTO IMOBILIÁRIO RESPONSABILIDADE LIMITADA</t>
        </is>
      </c>
      <c r="D431" s="24" t="n"/>
      <c r="E431" s="24" t="n"/>
      <c r="F431" s="24" t="n"/>
      <c r="G431" s="29" t="inlineStr">
        <is>
          <t>0,00</t>
        </is>
      </c>
      <c r="H431" s="29" t="n"/>
      <c r="I431" s="24" t="n"/>
    </row>
    <row r="432">
      <c r="A432" s="26" t="inlineStr">
        <is>
          <t>SHOP11</t>
        </is>
      </c>
      <c r="B432" s="27" t="inlineStr">
        <is>
          <t>FII</t>
        </is>
      </c>
      <c r="C432" s="27" t="inlineStr">
        <is>
          <t>MULTI SHOPPINGS FUNDO DE INVESTIMENTO IMOBILIÁRIO RESPONSABILIDADE LIMITADA</t>
        </is>
      </c>
      <c r="D432" s="27" t="n">
        <v>55</v>
      </c>
      <c r="E432" s="27" t="inlineStr">
        <is>
          <t>22.459.737/0001-00</t>
        </is>
      </c>
      <c r="F432" s="27" t="n"/>
      <c r="G432" s="28" t="inlineStr">
        <is>
          <t>0,00</t>
        </is>
      </c>
      <c r="H432" s="28" t="n"/>
      <c r="I432" s="27" t="n"/>
    </row>
    <row r="433">
      <c r="A433" s="23" t="inlineStr">
        <is>
          <t>SHPH11</t>
        </is>
      </c>
      <c r="B433" s="24" t="inlineStr">
        <is>
          <t>FII</t>
        </is>
      </c>
      <c r="C433" s="24" t="inlineStr">
        <is>
          <t>SHOPPING PÁTIO HIGIENÓPOLIS FUNDO DE INVESTIMENTO IMOBILÁRIO DE RESPONSABILIDADE LIMITADA</t>
        </is>
      </c>
      <c r="D433" s="24" t="n">
        <v>925.03</v>
      </c>
      <c r="E433" s="24" t="inlineStr">
        <is>
          <t>03.507.519/0001-59</t>
        </is>
      </c>
      <c r="F433" s="24" t="inlineStr">
        <is>
          <t>Shoppings</t>
        </is>
      </c>
      <c r="G433" s="29" t="inlineStr">
        <is>
          <t>8,79</t>
        </is>
      </c>
      <c r="H433" s="29" t="n"/>
      <c r="I433" s="24" t="n"/>
    </row>
    <row r="434">
      <c r="A434" s="26" t="inlineStr">
        <is>
          <t>SHPP11</t>
        </is>
      </c>
      <c r="B434" s="27" t="inlineStr">
        <is>
          <t>FII</t>
        </is>
      </c>
      <c r="C434" s="27" t="inlineStr">
        <is>
          <t>SHOPPING PÁTIO PAULISTA FUNDO DE INVESTIMENTO IMOBILIÁRIO RESPONSABILIDADE LIMITADA</t>
        </is>
      </c>
      <c r="D434" s="27" t="n">
        <v>10</v>
      </c>
      <c r="E434" s="27" t="inlineStr">
        <is>
          <t>59.090.726/0001-05</t>
        </is>
      </c>
      <c r="F434" s="27" t="inlineStr">
        <is>
          <t>Shoppings</t>
        </is>
      </c>
      <c r="G434" s="28" t="inlineStr">
        <is>
          <t>6,21</t>
        </is>
      </c>
      <c r="H434" s="28" t="n"/>
      <c r="I434" s="27" t="n"/>
    </row>
    <row r="435">
      <c r="A435" s="23" t="inlineStr">
        <is>
          <t>SJAU11</t>
        </is>
      </c>
      <c r="B435" s="24" t="inlineStr">
        <is>
          <t>FII</t>
        </is>
      </c>
      <c r="C435" s="24" t="inlineStr">
        <is>
          <t>SJ AU LOGÍSTICA FUNDO DE INVESTIMENTO IMOBILIÁRIO RESPONSABILIDADE LIMITADA</t>
        </is>
      </c>
      <c r="D435" s="24" t="n">
        <v>0.66</v>
      </c>
      <c r="E435" s="24" t="inlineStr">
        <is>
          <t>27.771.547/0001-47</t>
        </is>
      </c>
      <c r="F435" s="24" t="n"/>
      <c r="G435" s="29" t="inlineStr">
        <is>
          <t>0,00</t>
        </is>
      </c>
      <c r="H435" s="29" t="n"/>
      <c r="I435" s="24" t="n"/>
    </row>
    <row r="436">
      <c r="A436" s="26" t="inlineStr">
        <is>
          <t>SLDZ11</t>
        </is>
      </c>
      <c r="B436" s="27" t="inlineStr">
        <is>
          <t>FII</t>
        </is>
      </c>
      <c r="C436" s="27" t="inlineStr">
        <is>
          <t>LAV SLDZ DESENVOLVIMENTO IMOBILIÁRIO FUNDO DE INVESTIMENTO IMOBILIÁRIO</t>
        </is>
      </c>
      <c r="D436" s="27" t="n"/>
      <c r="E436" s="27" t="inlineStr">
        <is>
          <t>49.361.020/0001-87</t>
        </is>
      </c>
      <c r="F436" s="27" t="n"/>
      <c r="G436" s="28" t="inlineStr">
        <is>
          <t>0,00</t>
        </is>
      </c>
      <c r="H436" s="28" t="n"/>
      <c r="I436" s="27" t="n"/>
    </row>
    <row r="437">
      <c r="A437" s="23" t="inlineStr">
        <is>
          <t>SMRE11</t>
        </is>
      </c>
      <c r="B437" s="24" t="inlineStr">
        <is>
          <t>FII</t>
        </is>
      </c>
      <c r="C437" s="24" t="inlineStr">
        <is>
          <t>FUNDO DE INVESTIMENTO IMOBILIÁRIO SMART REAL ESTATE - FII RESPONSABILIDADE LIMITADA</t>
        </is>
      </c>
      <c r="D437" s="24" t="n">
        <v>65.09999999999999</v>
      </c>
      <c r="E437" s="24" t="inlineStr">
        <is>
          <t>53.730.029/0001-95</t>
        </is>
      </c>
      <c r="F437" s="24" t="n"/>
      <c r="G437" s="29" t="inlineStr">
        <is>
          <t>18,56</t>
        </is>
      </c>
      <c r="H437" s="29" t="n"/>
      <c r="I437" s="24" t="n"/>
    </row>
    <row r="438">
      <c r="A438" s="26" t="inlineStr">
        <is>
          <t>SNCI11</t>
        </is>
      </c>
      <c r="B438" s="27" t="inlineStr">
        <is>
          <t>FII</t>
        </is>
      </c>
      <c r="C438" s="27" t="inlineStr">
        <is>
          <t>SUNO RECEBÍVEIS IMOBILIÁRIOS FUNDO DE INVESTIMENTO IMOBILIÁRIO RESPONSABILIDADE LIMITADA</t>
        </is>
      </c>
      <c r="D438" s="27" t="n">
        <v>90.34</v>
      </c>
      <c r="E438" s="27" t="inlineStr">
        <is>
          <t>41.076.710/0001-82</t>
        </is>
      </c>
      <c r="F438" s="27" t="n"/>
      <c r="G438" s="28" t="inlineStr">
        <is>
          <t>13,44</t>
        </is>
      </c>
      <c r="H438" s="28" t="n"/>
      <c r="I438" s="27" t="n"/>
    </row>
    <row r="439">
      <c r="A439" s="23" t="inlineStr">
        <is>
          <t>SNEL11</t>
        </is>
      </c>
      <c r="B439" s="24" t="inlineStr">
        <is>
          <t>FII</t>
        </is>
      </c>
      <c r="C439" s="24" t="inlineStr">
        <is>
          <t>SUNO ENERGIAS LIMPAS FUNDO DE INVESTIMENTO IMOBILIÁRIO IS RESPONSABILIDADE LIMITADA</t>
        </is>
      </c>
      <c r="D439" s="24" t="n">
        <v>8.539999999999999</v>
      </c>
      <c r="E439" s="24" t="inlineStr">
        <is>
          <t>43.741.171/0001-84</t>
        </is>
      </c>
      <c r="F439" s="24" t="n"/>
      <c r="G439" s="29" t="inlineStr">
        <is>
          <t>13,99</t>
        </is>
      </c>
      <c r="H439" s="29" t="n"/>
      <c r="I439" s="24" t="n"/>
    </row>
    <row r="440">
      <c r="A440" s="26" t="inlineStr">
        <is>
          <t>SNFF11</t>
        </is>
      </c>
      <c r="B440" s="27" t="inlineStr">
        <is>
          <t>FII</t>
        </is>
      </c>
      <c r="C440" s="27" t="inlineStr">
        <is>
          <t>SUNO FUNDO DE FUNDOS DE INVESTIMENTO IMOBILIÁRIO FUNDO DE INVESTIMENTO IMOBILIÁRIO RESPONSABILIDADE</t>
        </is>
      </c>
      <c r="D440" s="27" t="n">
        <v>73.43000000000001</v>
      </c>
      <c r="E440" s="27" t="inlineStr">
        <is>
          <t>40.011.225/0001-68</t>
        </is>
      </c>
      <c r="F440" s="27" t="n"/>
      <c r="G440" s="28" t="inlineStr">
        <is>
          <t>13,40</t>
        </is>
      </c>
      <c r="H440" s="28" t="n"/>
      <c r="I440" s="27" t="n"/>
    </row>
    <row r="441">
      <c r="A441" s="23" t="inlineStr">
        <is>
          <t>SNLG11</t>
        </is>
      </c>
      <c r="B441" s="24" t="inlineStr">
        <is>
          <t>FII</t>
        </is>
      </c>
      <c r="C441" s="24" t="inlineStr">
        <is>
          <t>SUNO LOG FUNDO DE INVESTIMENTO IMOBILIÁRIO - RESPONSABILIDADE LIMITADA</t>
        </is>
      </c>
      <c r="D441" s="24" t="n">
        <v>1.24</v>
      </c>
      <c r="E441" s="24" t="inlineStr">
        <is>
          <t>40.041.711/0001-29</t>
        </is>
      </c>
      <c r="F441" s="24" t="n"/>
      <c r="G441" s="29" t="inlineStr">
        <is>
          <t>67,74</t>
        </is>
      </c>
      <c r="H441" s="29" t="n"/>
      <c r="I441" s="24" t="n"/>
    </row>
    <row r="442">
      <c r="A442" s="26" t="inlineStr">
        <is>
          <t>SNME11</t>
        </is>
      </c>
      <c r="B442" s="27" t="inlineStr">
        <is>
          <t>FII</t>
        </is>
      </c>
      <c r="C442" s="27" t="inlineStr">
        <is>
          <t>SUNO MULTIESTRATÉGIA FUNDO DE INVESTIMENTO IMOBILIÁRIO RESPONSABILIDADE LIMITADA</t>
        </is>
      </c>
      <c r="D442" s="27" t="n">
        <v>9.6</v>
      </c>
      <c r="E442" s="27" t="inlineStr">
        <is>
          <t>52.227.760/0001-30</t>
        </is>
      </c>
      <c r="F442" s="27" t="n"/>
      <c r="G442" s="28" t="inlineStr">
        <is>
          <t>15,31</t>
        </is>
      </c>
      <c r="H442" s="28" t="n"/>
      <c r="I442" s="27" t="n"/>
    </row>
    <row r="443">
      <c r="A443" s="23" t="inlineStr">
        <is>
          <t>SOFF11</t>
        </is>
      </c>
      <c r="B443" s="24" t="inlineStr">
        <is>
          <t>FII</t>
        </is>
      </c>
      <c r="C443" s="24" t="inlineStr">
        <is>
          <t>FUNDO DE INVESTIMENTO IMOBILIÁRIO SOFIA</t>
        </is>
      </c>
      <c r="D443" s="24" t="n">
        <v>107</v>
      </c>
      <c r="E443" s="24" t="inlineStr">
        <is>
          <t>57.811.221/0001-67</t>
        </is>
      </c>
      <c r="F443" s="24" t="n"/>
      <c r="G443" s="29" t="inlineStr">
        <is>
          <t>0,91</t>
        </is>
      </c>
      <c r="H443" s="29" t="n"/>
      <c r="I443" s="24" t="n"/>
    </row>
    <row r="444">
      <c r="A444" s="26" t="inlineStr">
        <is>
          <t>SOLR11</t>
        </is>
      </c>
      <c r="B444" s="27" t="inlineStr">
        <is>
          <t>FII</t>
        </is>
      </c>
      <c r="C444" s="27" t="inlineStr">
        <is>
          <t>SOLARIUM FII - FUNDO DE INVESTIMENTO IMOBILIÁRIO</t>
        </is>
      </c>
      <c r="D444" s="27" t="n">
        <v>1051.35</v>
      </c>
      <c r="E444" s="27" t="inlineStr">
        <is>
          <t>22.169.671/0001-13</t>
        </is>
      </c>
      <c r="F444" s="27" t="n"/>
      <c r="G444" s="28" t="inlineStr">
        <is>
          <t>0,00</t>
        </is>
      </c>
      <c r="H444" s="28" t="n"/>
      <c r="I444" s="27" t="n"/>
    </row>
    <row r="445">
      <c r="A445" s="23" t="inlineStr">
        <is>
          <t>SPAF11</t>
        </is>
      </c>
      <c r="B445" s="24" t="inlineStr">
        <is>
          <t>FII</t>
        </is>
      </c>
      <c r="C445" s="24" t="inlineStr">
        <is>
          <t>SPA FUNDO DE INVESTIMENTO IMOBILIÁRIO - RESPONSABILIDADE LIMITADA</t>
        </is>
      </c>
      <c r="D445" s="24" t="n">
        <v>0</v>
      </c>
      <c r="E445" s="24" t="inlineStr">
        <is>
          <t>18.311.024/0001-27</t>
        </is>
      </c>
      <c r="F445" s="24" t="n"/>
      <c r="G445" s="29" t="inlineStr">
        <is>
          <t>0,00</t>
        </is>
      </c>
      <c r="H445" s="29" t="n"/>
      <c r="I445" s="24" t="n"/>
    </row>
    <row r="446">
      <c r="A446" s="26" t="inlineStr">
        <is>
          <t>SPDE11</t>
        </is>
      </c>
      <c r="B446" s="27" t="inlineStr">
        <is>
          <t>FII</t>
        </is>
      </c>
      <c r="C446" s="27" t="inlineStr">
        <is>
          <t>WHG FINVEST SP REALTY FUNDO DE INVESTIMENTO IMOBILIÁRIO - RESPONSABILIDADE LIMITADA</t>
        </is>
      </c>
      <c r="D446" s="27" t="n">
        <v>1266.67</v>
      </c>
      <c r="E446" s="27" t="inlineStr">
        <is>
          <t>43.741.150/0001-69</t>
        </is>
      </c>
      <c r="F446" s="27" t="n"/>
      <c r="G446" s="28" t="inlineStr">
        <is>
          <t>8,05</t>
        </is>
      </c>
      <c r="H446" s="28" t="n"/>
      <c r="I446" s="27" t="n"/>
    </row>
    <row r="447">
      <c r="A447" s="23" t="inlineStr">
        <is>
          <t>SPG211</t>
        </is>
      </c>
      <c r="B447" s="24" t="inlineStr">
        <is>
          <t>FII</t>
        </is>
      </c>
      <c r="C447" s="24" t="inlineStr">
        <is>
          <t>SPGM II FUNDO DE INVESTIMENTO IMOBILIÁRIO</t>
        </is>
      </c>
      <c r="D447" s="24" t="n">
        <v>11.14</v>
      </c>
      <c r="E447" s="24" t="n"/>
      <c r="F447" s="24" t="n"/>
      <c r="G447" s="29" t="inlineStr">
        <is>
          <t>0,00</t>
        </is>
      </c>
      <c r="H447" s="29" t="n"/>
      <c r="I447" s="24" t="n"/>
    </row>
    <row r="448">
      <c r="A448" s="26" t="inlineStr">
        <is>
          <t>SPGM11</t>
        </is>
      </c>
      <c r="B448" s="27" t="inlineStr">
        <is>
          <t>FII</t>
        </is>
      </c>
      <c r="C448" s="27" t="inlineStr">
        <is>
          <t>SPGM FUNDO DE INVESTIMENTO IMOBILIÁRIO</t>
        </is>
      </c>
      <c r="D448" s="27" t="n">
        <v>12.89</v>
      </c>
      <c r="E448" s="27" t="inlineStr">
        <is>
          <t>53.127.942/0001-00</t>
        </is>
      </c>
      <c r="F448" s="27" t="n"/>
      <c r="G448" s="28" t="inlineStr">
        <is>
          <t>0,00</t>
        </is>
      </c>
      <c r="H448" s="28" t="n"/>
      <c r="I448" s="27" t="n"/>
    </row>
    <row r="449">
      <c r="A449" s="23" t="inlineStr">
        <is>
          <t>SPMO11</t>
        </is>
      </c>
      <c r="B449" s="24" t="inlineStr">
        <is>
          <t>FII</t>
        </is>
      </c>
      <c r="C449" s="24" t="inlineStr">
        <is>
          <t>SUPREMO FUNDO DE INVESTIMENTO IMOBILIÁRIO</t>
        </is>
      </c>
      <c r="D449" s="24" t="n">
        <v>122</v>
      </c>
      <c r="E449" s="24" t="inlineStr">
        <is>
          <t>40.225.262/0001-79</t>
        </is>
      </c>
      <c r="F449" s="24" t="n"/>
      <c r="G449" s="29" t="inlineStr">
        <is>
          <t>0,00</t>
        </is>
      </c>
      <c r="H449" s="29" t="n"/>
      <c r="I449" s="24" t="n"/>
    </row>
    <row r="450">
      <c r="A450" s="26" t="inlineStr">
        <is>
          <t>SPTW11</t>
        </is>
      </c>
      <c r="B450" s="27" t="inlineStr">
        <is>
          <t>FII</t>
        </is>
      </c>
      <c r="C450" s="27" t="inlineStr">
        <is>
          <t>SP DOWNTOWN FUNDO DE INVESTIMENTO IMOBILIÁRIO - FII</t>
        </is>
      </c>
      <c r="D450" s="27" t="n">
        <v>41.22</v>
      </c>
      <c r="E450" s="27" t="inlineStr">
        <is>
          <t>15.538.445/0001-05</t>
        </is>
      </c>
      <c r="F450" s="27" t="n"/>
      <c r="G450" s="28" t="inlineStr">
        <is>
          <t>13,32</t>
        </is>
      </c>
      <c r="H450" s="28" t="n"/>
      <c r="I450" s="27" t="n"/>
    </row>
    <row r="451">
      <c r="A451" s="23" t="inlineStr">
        <is>
          <t>SPVJ11</t>
        </is>
      </c>
      <c r="B451" s="24" t="inlineStr">
        <is>
          <t>FII</t>
        </is>
      </c>
      <c r="C451" s="24" t="inlineStr">
        <is>
          <t>FUNDO DE INVESTIMENTO IMOBILIÁRIO SUCCESPAR VAREJO RESPONSABILIDADE LIMITADA</t>
        </is>
      </c>
      <c r="D451" s="24" t="n"/>
      <c r="E451" s="24" t="inlineStr">
        <is>
          <t>27.538.422/0001-71</t>
        </is>
      </c>
      <c r="F451" s="24" t="n"/>
      <c r="G451" s="29" t="inlineStr">
        <is>
          <t>0,00</t>
        </is>
      </c>
      <c r="H451" s="29" t="n"/>
      <c r="I451" s="24" t="n"/>
    </row>
    <row r="452">
      <c r="A452" s="26" t="inlineStr">
        <is>
          <t>SPXG11</t>
        </is>
      </c>
      <c r="B452" s="27" t="inlineStr">
        <is>
          <t>FII</t>
        </is>
      </c>
      <c r="C452" s="27" t="inlineStr">
        <is>
          <t>SPX REAL ESTATE DESENVOLVIMENTO DE GALPÕES LOGÍSTICOS FEEDER PRIVATE FII RESPONSABILIDADE LIMITADA</t>
        </is>
      </c>
      <c r="D452" s="27" t="n"/>
      <c r="E452" s="27" t="inlineStr">
        <is>
          <t>55.611.150/0001-23</t>
        </is>
      </c>
      <c r="F452" s="27" t="n"/>
      <c r="G452" s="28" t="inlineStr">
        <is>
          <t>0,00</t>
        </is>
      </c>
      <c r="H452" s="28" t="n"/>
      <c r="I452" s="27" t="n"/>
    </row>
    <row r="453">
      <c r="A453" s="23" t="inlineStr">
        <is>
          <t>SPXL11</t>
        </is>
      </c>
      <c r="B453" s="24" t="inlineStr">
        <is>
          <t>FII</t>
        </is>
      </c>
      <c r="C453" s="24" t="inlineStr">
        <is>
          <t>SPX REAL ESTATE DESENVOLVIMENTO DE GALPÕES LOGÍSTICOS FEEDER INSTITUCIONAL FII RESP LIMITADA</t>
        </is>
      </c>
      <c r="D453" s="24" t="n"/>
      <c r="E453" s="24" t="inlineStr">
        <is>
          <t>55.074.554/0001-25</t>
        </is>
      </c>
      <c r="F453" s="24" t="n"/>
      <c r="G453" s="29" t="inlineStr">
        <is>
          <t>0,00</t>
        </is>
      </c>
      <c r="H453" s="29" t="n"/>
      <c r="I453" s="24" t="n"/>
    </row>
    <row r="454">
      <c r="A454" s="26" t="inlineStr">
        <is>
          <t>SPXM11</t>
        </is>
      </c>
      <c r="B454" s="27" t="inlineStr">
        <is>
          <t>FII</t>
        </is>
      </c>
      <c r="C454" s="27" t="inlineStr">
        <is>
          <t>SPX REAL ESTATE DESENVOLVIMENTO DE GALPÕES LOGÍSTICOS FEEDER BRADESCO FII RESPONSABILIDADE LIMITADA</t>
        </is>
      </c>
      <c r="D454" s="27" t="n"/>
      <c r="E454" s="27" t="n"/>
      <c r="F454" s="27" t="n"/>
      <c r="G454" s="28" t="inlineStr">
        <is>
          <t>0,00</t>
        </is>
      </c>
      <c r="H454" s="28" t="n"/>
      <c r="I454" s="27" t="n"/>
    </row>
    <row r="455">
      <c r="A455" s="23" t="inlineStr">
        <is>
          <t>SPXS11</t>
        </is>
      </c>
      <c r="B455" s="24" t="inlineStr">
        <is>
          <t>FII</t>
        </is>
      </c>
      <c r="C455" s="24" t="inlineStr">
        <is>
          <t>SPX REAL ESTATE MULTIESTRATÉGIA FUNDO DE INVESTIMENTO IMOBILIÁRIO RESPONSABILIDADE LIMITADA</t>
        </is>
      </c>
      <c r="D455" s="24" t="n">
        <v>8.69</v>
      </c>
      <c r="E455" s="24" t="inlineStr">
        <is>
          <t>43.010.543/0001-00</t>
        </is>
      </c>
      <c r="F455" s="24" t="n"/>
      <c r="G455" s="29" t="inlineStr">
        <is>
          <t>13,84</t>
        </is>
      </c>
      <c r="H455" s="29" t="n"/>
      <c r="I455" s="24" t="n"/>
    </row>
    <row r="456">
      <c r="A456" s="26" t="inlineStr">
        <is>
          <t>STRX11</t>
        </is>
      </c>
      <c r="B456" s="27" t="inlineStr">
        <is>
          <t>FII</t>
        </is>
      </c>
      <c r="C456" s="27" t="inlineStr">
        <is>
          <t>STARX FUNDO DE INVESTIMENTO IMOBILIÁRIO FII RESPONSABILIDADE LIMITADA</t>
        </is>
      </c>
      <c r="D456" s="27" t="n">
        <v>141.96</v>
      </c>
      <c r="E456" s="27" t="inlineStr">
        <is>
          <t>11.044.355/0001-07</t>
        </is>
      </c>
      <c r="F456" s="27" t="n"/>
      <c r="G456" s="28" t="inlineStr">
        <is>
          <t>7,82</t>
        </is>
      </c>
      <c r="H456" s="28" t="n"/>
      <c r="I456" s="27" t="n"/>
    </row>
    <row r="457">
      <c r="A457" s="23" t="inlineStr">
        <is>
          <t>STYI11</t>
        </is>
      </c>
      <c r="B457" s="24" t="inlineStr">
        <is>
          <t>FII</t>
        </is>
      </c>
      <c r="C457" s="24" t="inlineStr">
        <is>
          <t>STRIVO YIELD FUNDO DE INVESTIMENTO IMOBILIÁRIO RESPONSABILIDADE LIMITADA</t>
        </is>
      </c>
      <c r="D457" s="24" t="n">
        <v>1400</v>
      </c>
      <c r="E457" s="24" t="n"/>
      <c r="F457" s="24" t="n"/>
      <c r="G457" s="29" t="inlineStr">
        <is>
          <t>0,00</t>
        </is>
      </c>
      <c r="H457" s="29" t="n"/>
      <c r="I457" s="24" t="n"/>
    </row>
    <row r="458">
      <c r="A458" s="26" t="inlineStr">
        <is>
          <t>SURE11</t>
        </is>
      </c>
      <c r="B458" s="27" t="inlineStr">
        <is>
          <t>FII</t>
        </is>
      </c>
      <c r="C458" s="27" t="inlineStr">
        <is>
          <t>SULAMÉRICA REAL ESTATE FUNDO DE INVESTIMENTO IMOBILIÁRIO DE RESPONSABILIDADE LIMITADA</t>
        </is>
      </c>
      <c r="D458" s="27" t="n"/>
      <c r="E458" s="27" t="inlineStr">
        <is>
          <t>46.334.715/0001-81</t>
        </is>
      </c>
      <c r="F458" s="27" t="n"/>
      <c r="G458" s="28" t="inlineStr">
        <is>
          <t>0,00</t>
        </is>
      </c>
      <c r="H458" s="28" t="n"/>
      <c r="I458" s="27" t="n"/>
    </row>
    <row r="459">
      <c r="A459" s="23" t="inlineStr">
        <is>
          <t>TCIN11</t>
        </is>
      </c>
      <c r="B459" s="24" t="inlineStr">
        <is>
          <t>FII</t>
        </is>
      </c>
      <c r="C459" s="24" t="inlineStr">
        <is>
          <t>G5 CIDADE NOVA FUNDO DE INVESTIMENTO IMOBILIÁRIO</t>
        </is>
      </c>
      <c r="D459" s="24" t="n">
        <v>145.92</v>
      </c>
      <c r="E459" s="24" t="inlineStr">
        <is>
          <t>34.197.700/0001-30</t>
        </is>
      </c>
      <c r="F459" s="24" t="n"/>
      <c r="G459" s="29" t="inlineStr">
        <is>
          <t>0,00</t>
        </is>
      </c>
      <c r="H459" s="29" t="n"/>
      <c r="I459" s="24" t="n"/>
    </row>
    <row r="460">
      <c r="A460" s="26" t="inlineStr">
        <is>
          <t>TCPF11</t>
        </is>
      </c>
      <c r="B460" s="27" t="inlineStr">
        <is>
          <t>FII</t>
        </is>
      </c>
      <c r="C460" s="27" t="inlineStr">
        <is>
          <t>TREECORP REAL ESTATE FII - RESPONSABILIDADE LIMITADA</t>
        </is>
      </c>
      <c r="D460" s="27" t="n">
        <v>0</v>
      </c>
      <c r="E460" s="27" t="inlineStr">
        <is>
          <t>26.990.011/0001-50</t>
        </is>
      </c>
      <c r="F460" s="27" t="n"/>
      <c r="G460" s="28" t="inlineStr">
        <is>
          <t>0,00</t>
        </is>
      </c>
      <c r="H460" s="28" t="n"/>
      <c r="I460" s="27" t="n"/>
    </row>
    <row r="461">
      <c r="A461" s="23" t="inlineStr">
        <is>
          <t>TELD11</t>
        </is>
      </c>
      <c r="B461" s="24" t="inlineStr">
        <is>
          <t>FII</t>
        </is>
      </c>
      <c r="C461" s="24" t="inlineStr">
        <is>
          <t>TELLUS DESENVOLVIMENTO LOGÍSTICO - FUNDO DE INVESTIMENTO IMOBILIÁRIO RESPONSABILIDADE LIMITADA</t>
        </is>
      </c>
      <c r="D461" s="24" t="n"/>
      <c r="E461" s="24" t="inlineStr">
        <is>
          <t>36.200.701/0001-11</t>
        </is>
      </c>
      <c r="F461" s="24" t="n"/>
      <c r="G461" s="29" t="inlineStr">
        <is>
          <t>0,00</t>
        </is>
      </c>
      <c r="H461" s="29" t="n"/>
      <c r="I461" s="24" t="n"/>
    </row>
    <row r="462">
      <c r="A462" s="26" t="inlineStr">
        <is>
          <t>TELM11</t>
        </is>
      </c>
      <c r="B462" s="27" t="inlineStr">
        <is>
          <t>FII</t>
        </is>
      </c>
      <c r="C462" s="27" t="inlineStr">
        <is>
          <t>TELLUS MULTIESTRATÉGIA - FII FUNDO DE INVESTIMENTO IMOBILIÁRIO RESPONSABILIDADE LIMITADA</t>
        </is>
      </c>
      <c r="D462" s="27" t="n">
        <v>9.99</v>
      </c>
      <c r="E462" s="27" t="inlineStr">
        <is>
          <t>45.188.099/0001-35</t>
        </is>
      </c>
      <c r="F462" s="27" t="n"/>
      <c r="G462" s="28" t="inlineStr">
        <is>
          <t>16,36</t>
        </is>
      </c>
      <c r="H462" s="28" t="n"/>
      <c r="I462" s="27" t="n"/>
    </row>
    <row r="463">
      <c r="A463" s="23" t="inlineStr">
        <is>
          <t>TGAR11</t>
        </is>
      </c>
      <c r="B463" s="24" t="inlineStr">
        <is>
          <t>FII</t>
        </is>
      </c>
      <c r="C463" s="24" t="inlineStr">
        <is>
          <t>FUNDO DE INVESTIMENTO IMOBILIÁRIO TG ATIVO REAL</t>
        </is>
      </c>
      <c r="D463" s="24" t="n">
        <v>79.51000000000001</v>
      </c>
      <c r="E463" s="24" t="inlineStr">
        <is>
          <t>25.032.881/0001-53</t>
        </is>
      </c>
      <c r="F463" s="24" t="n"/>
      <c r="G463" s="29" t="inlineStr">
        <is>
          <t>14,53</t>
        </is>
      </c>
      <c r="H463" s="29" t="n"/>
      <c r="I463" s="24" t="n"/>
    </row>
    <row r="464">
      <c r="A464" s="26" t="inlineStr">
        <is>
          <t>TGRU11</t>
        </is>
      </c>
      <c r="B464" s="27" t="inlineStr">
        <is>
          <t>FII</t>
        </is>
      </c>
      <c r="C464" s="27" t="inlineStr">
        <is>
          <t>FUNDO DE INVESTIMENTO IMOBILIÁRIO TG RENDA URBANA - RESPONSABILIDADE LIMITADA</t>
        </is>
      </c>
      <c r="D464" s="27" t="n"/>
      <c r="E464" s="27" t="n"/>
      <c r="F464" s="27" t="n"/>
      <c r="G464" s="28" t="inlineStr">
        <is>
          <t>0,00</t>
        </is>
      </c>
      <c r="H464" s="28" t="n"/>
      <c r="I464" s="27" t="n"/>
    </row>
    <row r="465">
      <c r="A465" s="23" t="inlineStr">
        <is>
          <t>TJKB11</t>
        </is>
      </c>
      <c r="B465" s="24" t="inlineStr">
        <is>
          <t>FII</t>
        </is>
      </c>
      <c r="C465" s="24" t="inlineStr">
        <is>
          <t>TJK RENDA IMOBILIÁRIA FUNDO DE INVESTIMENTO IMOBILIÁRIO - RESPONSABILIDADE LIMITADA</t>
        </is>
      </c>
      <c r="D465" s="24" t="n">
        <v>256.42</v>
      </c>
      <c r="E465" s="24" t="inlineStr">
        <is>
          <t>39.714.024/0001-48</t>
        </is>
      </c>
      <c r="F465" s="24" t="n"/>
      <c r="G465" s="29" t="inlineStr">
        <is>
          <t>13,78</t>
        </is>
      </c>
      <c r="H465" s="29" t="n"/>
      <c r="I465" s="24" t="n"/>
    </row>
    <row r="466">
      <c r="A466" s="26" t="inlineStr">
        <is>
          <t>TMPS11</t>
        </is>
      </c>
      <c r="B466" s="27" t="inlineStr">
        <is>
          <t>FII</t>
        </is>
      </c>
      <c r="C466" s="27" t="inlineStr">
        <is>
          <t>ITAÚ TEMPUS FUNDO DE INVESTIMENTO IMOBILIÁRIO RESPONSABILIDADE LIMITADA</t>
        </is>
      </c>
      <c r="D466" s="27" t="n">
        <v>87.27</v>
      </c>
      <c r="E466" s="27" t="inlineStr">
        <is>
          <t>42.737.077/0001-99</t>
        </is>
      </c>
      <c r="F466" s="27" t="n"/>
      <c r="G466" s="28" t="inlineStr">
        <is>
          <t>11,70</t>
        </is>
      </c>
      <c r="H466" s="28" t="n"/>
      <c r="I466" s="27" t="n"/>
    </row>
    <row r="467">
      <c r="A467" s="23" t="inlineStr">
        <is>
          <t>TOPP11</t>
        </is>
      </c>
      <c r="B467" s="24" t="inlineStr">
        <is>
          <t>FII</t>
        </is>
      </c>
      <c r="C467" s="24" t="inlineStr">
        <is>
          <t>RBR TOP OFFICES FUNDO DE INVESTIMENTO IMOBILIÁRIO RESPONSABILIDADE LIMITADA</t>
        </is>
      </c>
      <c r="D467" s="24" t="n">
        <v>74</v>
      </c>
      <c r="E467" s="24" t="inlineStr">
        <is>
          <t>56.805.391/0001-76</t>
        </is>
      </c>
      <c r="F467" s="24" t="n"/>
      <c r="G467" s="29" t="inlineStr">
        <is>
          <t>13,43</t>
        </is>
      </c>
      <c r="H467" s="29" t="n"/>
      <c r="I467" s="24" t="n"/>
    </row>
    <row r="468">
      <c r="A468" s="26" t="inlineStr">
        <is>
          <t>TORD11</t>
        </is>
      </c>
      <c r="B468" s="27" t="inlineStr">
        <is>
          <t>FII</t>
        </is>
      </c>
      <c r="C468" s="27" t="inlineStr">
        <is>
          <t>TORDESILHAS EI FUNDO DE INVESTIMENTO IMOBILIÁRIO RESPONSABILIDADE LIMITADA</t>
        </is>
      </c>
      <c r="D468" s="27" t="n">
        <v>1.65</v>
      </c>
      <c r="E468" s="27" t="inlineStr">
        <is>
          <t>30.230.870/0001-18</t>
        </is>
      </c>
      <c r="F468" s="27" t="n"/>
      <c r="G468" s="28" t="inlineStr">
        <is>
          <t>8,64</t>
        </is>
      </c>
      <c r="H468" s="28" t="n"/>
      <c r="I468" s="27" t="n"/>
    </row>
    <row r="469">
      <c r="A469" s="23" t="inlineStr">
        <is>
          <t>TRBL11</t>
        </is>
      </c>
      <c r="B469" s="24" t="inlineStr">
        <is>
          <t>FII</t>
        </is>
      </c>
      <c r="C469" s="24" t="inlineStr">
        <is>
          <t>TELLUS RIO BRAVO RENDA LOGÍSTICA FUNDO DE INVESTIMENTO IMOBILIÁRIO DE RESPONSABILIDADE LIMITADA</t>
        </is>
      </c>
      <c r="D469" s="24" t="n">
        <v>78.53</v>
      </c>
      <c r="E469" s="24" t="inlineStr">
        <is>
          <t>16.671.412/0001-93</t>
        </is>
      </c>
      <c r="F469" s="24" t="n"/>
      <c r="G469" s="29" t="inlineStr">
        <is>
          <t>9,44</t>
        </is>
      </c>
      <c r="H469" s="29" t="n"/>
      <c r="I469" s="24" t="n"/>
    </row>
    <row r="470">
      <c r="A470" s="26" t="inlineStr">
        <is>
          <t>TRNT11</t>
        </is>
      </c>
      <c r="B470" s="27" t="inlineStr">
        <is>
          <t>FII</t>
        </is>
      </c>
      <c r="C470" s="27" t="inlineStr">
        <is>
          <t>FUNDO DE INVESTIMENTO IMOBILIÁRIO - FII TORRE NORTE</t>
        </is>
      </c>
      <c r="D470" s="27" t="n">
        <v>105</v>
      </c>
      <c r="E470" s="27" t="inlineStr">
        <is>
          <t>04.722.883/0001-02</t>
        </is>
      </c>
      <c r="F470" s="27" t="n"/>
      <c r="G470" s="28" t="inlineStr">
        <is>
          <t>0,00</t>
        </is>
      </c>
      <c r="H470" s="28" t="n"/>
      <c r="I470" s="27" t="n"/>
    </row>
    <row r="471">
      <c r="A471" s="23" t="inlineStr">
        <is>
          <t>TRXB11</t>
        </is>
      </c>
      <c r="B471" s="24" t="inlineStr">
        <is>
          <t>FII</t>
        </is>
      </c>
      <c r="C471" s="24" t="inlineStr">
        <is>
          <t>TRX REAL ESTATE II FUNDO DE INVESTIMENTO IMOBILIÁRIO - RESPONSABILIDADE LIMITADA</t>
        </is>
      </c>
      <c r="D471" s="24" t="n">
        <v>178.76</v>
      </c>
      <c r="E471" s="24" t="inlineStr">
        <is>
          <t>36.368.925/0001-37</t>
        </is>
      </c>
      <c r="F471" s="24" t="n"/>
      <c r="G471" s="29" t="inlineStr">
        <is>
          <t>15,39</t>
        </is>
      </c>
      <c r="H471" s="29" t="n"/>
      <c r="I471" s="24" t="n"/>
    </row>
    <row r="472">
      <c r="A472" s="26" t="inlineStr">
        <is>
          <t>TRXY11</t>
        </is>
      </c>
      <c r="B472" s="27" t="inlineStr">
        <is>
          <t>FII</t>
        </is>
      </c>
      <c r="C472" s="27" t="inlineStr">
        <is>
          <t>TRX HEDGE FUND FUNDO DE INVESTIMENTO IMOBILIÁRIO - RESPONSABILIDADE LIMITADA</t>
        </is>
      </c>
      <c r="D472" s="27" t="n">
        <v>9.210000000000001</v>
      </c>
      <c r="E472" s="27" t="inlineStr">
        <is>
          <t>43.985.938/0001-10</t>
        </is>
      </c>
      <c r="F472" s="27" t="n"/>
      <c r="G472" s="28" t="inlineStr">
        <is>
          <t>14,52</t>
        </is>
      </c>
      <c r="H472" s="28" t="n"/>
      <c r="I472" s="27" t="n"/>
    </row>
    <row r="473">
      <c r="A473" s="23" t="inlineStr">
        <is>
          <t>TSER11</t>
        </is>
      </c>
      <c r="B473" s="24" t="inlineStr">
        <is>
          <t>FII</t>
        </is>
      </c>
      <c r="C473" s="24" t="inlineStr">
        <is>
          <t>TISHMAN SPEYER RENDA CORPORATIVA FUNDO DE INVESTIMENTO IMOBILIÁRIO - RESPONSABILIDADE LIMITADA</t>
        </is>
      </c>
      <c r="D473" s="24" t="n">
        <v>97</v>
      </c>
      <c r="E473" s="24" t="inlineStr">
        <is>
          <t>34.847.042/0001-84</t>
        </is>
      </c>
      <c r="F473" s="24" t="n"/>
      <c r="G473" s="29" t="inlineStr">
        <is>
          <t>13,11</t>
        </is>
      </c>
      <c r="H473" s="29" t="n"/>
      <c r="I473" s="24" t="n"/>
    </row>
    <row r="474">
      <c r="A474" s="26" t="inlineStr">
        <is>
          <t>TSNC11</t>
        </is>
      </c>
      <c r="B474" s="27" t="inlineStr">
        <is>
          <t>FII</t>
        </is>
      </c>
      <c r="C474" s="27" t="inlineStr">
        <is>
          <t>TRANSINC FUNDO DE INVESTIMENTO IMOBILIÁRIO RESPONSABILIDADE LIMITADA</t>
        </is>
      </c>
      <c r="D474" s="27" t="n">
        <v>80.8</v>
      </c>
      <c r="E474" s="27" t="inlineStr">
        <is>
          <t>17.007.443/0001-07</t>
        </is>
      </c>
      <c r="F474" s="27" t="n"/>
      <c r="G474" s="28" t="inlineStr">
        <is>
          <t>0,00</t>
        </is>
      </c>
      <c r="H474" s="28" t="n"/>
      <c r="I474" s="27" t="n"/>
    </row>
    <row r="475">
      <c r="A475" s="23" t="inlineStr">
        <is>
          <t>TVRI11</t>
        </is>
      </c>
      <c r="B475" s="24" t="inlineStr">
        <is>
          <t>FII</t>
        </is>
      </c>
      <c r="C475" s="24" t="inlineStr">
        <is>
          <t>TIVIO RENDA IMOBILIÁRIA FUNDO DE INVESTIMENTO IMOBILIÁRIO RESPONSABILIDADE LIMITADA</t>
        </is>
      </c>
      <c r="D475" s="24" t="n">
        <v>100</v>
      </c>
      <c r="E475" s="24" t="inlineStr">
        <is>
          <t>14.410.722/0001-29</t>
        </is>
      </c>
      <c r="F475" s="24" t="n"/>
      <c r="G475" s="29" t="inlineStr">
        <is>
          <t>12,55</t>
        </is>
      </c>
      <c r="H475" s="29" t="n"/>
      <c r="I475" s="24" t="n"/>
    </row>
    <row r="476">
      <c r="A476" s="26" t="inlineStr">
        <is>
          <t>URHF11</t>
        </is>
      </c>
      <c r="B476" s="27" t="inlineStr">
        <is>
          <t>FII</t>
        </is>
      </c>
      <c r="C476" s="27" t="inlineStr">
        <is>
          <t>URCA HEDGE FUND ESTRATÉGIA IMOBILIÁRIA FUNDO DE INVESTIMENTO IMOBILIÁRIO - RESPONSABILIDADE LIMITADA</t>
        </is>
      </c>
      <c r="D476" s="27" t="n">
        <v>73.18000000000001</v>
      </c>
      <c r="E476" s="27" t="inlineStr">
        <is>
          <t>52.649.350/0001-87</t>
        </is>
      </c>
      <c r="F476" s="27" t="n"/>
      <c r="G476" s="28" t="inlineStr">
        <is>
          <t>19,22</t>
        </is>
      </c>
      <c r="H476" s="28" t="n"/>
      <c r="I476" s="27" t="n"/>
    </row>
    <row r="477">
      <c r="A477" s="23" t="inlineStr">
        <is>
          <t>URPR11</t>
        </is>
      </c>
      <c r="B477" s="24" t="inlineStr">
        <is>
          <t>FII</t>
        </is>
      </c>
      <c r="C477" s="24" t="inlineStr">
        <is>
          <t>URCA PRIME RENDA FUNDO DE INVESTIMENTO IMOBILIÁRIO - FII</t>
        </is>
      </c>
      <c r="D477" s="24" t="n">
        <v>37.13</v>
      </c>
      <c r="E477" s="24" t="inlineStr">
        <is>
          <t>34.508.872/0001-87</t>
        </is>
      </c>
      <c r="F477" s="24" t="n"/>
      <c r="G477" s="29" t="inlineStr">
        <is>
          <t>14,06</t>
        </is>
      </c>
      <c r="H477" s="29" t="n"/>
      <c r="I477" s="24" t="n"/>
    </row>
    <row r="478">
      <c r="A478" s="26" t="inlineStr">
        <is>
          <t>VCHG11</t>
        </is>
      </c>
      <c r="B478" s="27" t="inlineStr">
        <is>
          <t>FII</t>
        </is>
      </c>
      <c r="C478" s="27" t="inlineStr">
        <is>
          <t>VERA CRUZ CRI RESIDENCIAL HIGH GRADE - RESPONSABILIDADE LIMITADA</t>
        </is>
      </c>
      <c r="D478" s="27" t="n"/>
      <c r="E478" s="27" t="inlineStr">
        <is>
          <t>55.633.339/0001-17</t>
        </is>
      </c>
      <c r="F478" s="27" t="n"/>
      <c r="G478" s="28" t="inlineStr">
        <is>
          <t>0,00</t>
        </is>
      </c>
      <c r="H478" s="28" t="n"/>
      <c r="I478" s="27" t="n"/>
    </row>
    <row r="479">
      <c r="A479" s="23" t="inlineStr">
        <is>
          <t>VCJR11</t>
        </is>
      </c>
      <c r="B479" s="24" t="inlineStr">
        <is>
          <t>FII</t>
        </is>
      </c>
      <c r="C479" s="24" t="inlineStr">
        <is>
          <t>VECTIS JUROS REAL FUNDO DE INVESTIMENTO IMOBILIÁRIO RESPONSABILIDADE LIMITADA</t>
        </is>
      </c>
      <c r="D479" s="24" t="n">
        <v>79.40000000000001</v>
      </c>
      <c r="E479" s="24" t="inlineStr">
        <is>
          <t>32.400.250/0001-05</t>
        </is>
      </c>
      <c r="F479" s="24" t="n"/>
      <c r="G479" s="29" t="inlineStr">
        <is>
          <t>14,40</t>
        </is>
      </c>
      <c r="H479" s="29" t="n"/>
      <c r="I479" s="24" t="n"/>
    </row>
    <row r="480">
      <c r="A480" s="26" t="inlineStr">
        <is>
          <t>VCRI11</t>
        </is>
      </c>
      <c r="B480" s="27" t="inlineStr">
        <is>
          <t>FII</t>
        </is>
      </c>
      <c r="C480" s="27" t="inlineStr">
        <is>
          <t>VINCI CREDIT SECURITIES FUNDO DE INVESTIMENTO IMOBILIÁRIO - RESPONSABILIDADE LIMITADA</t>
        </is>
      </c>
      <c r="D480" s="27" t="n">
        <v>7.54</v>
      </c>
      <c r="E480" s="27" t="inlineStr">
        <is>
          <t>41.081.374/0001-66</t>
        </is>
      </c>
      <c r="F480" s="27" t="n"/>
      <c r="G480" s="28" t="inlineStr">
        <is>
          <t>14,85</t>
        </is>
      </c>
      <c r="H480" s="28" t="n"/>
      <c r="I480" s="27" t="n"/>
    </row>
    <row r="481">
      <c r="A481" s="23" t="inlineStr">
        <is>
          <t>VCRR11</t>
        </is>
      </c>
      <c r="B481" s="24" t="inlineStr">
        <is>
          <t>FII</t>
        </is>
      </c>
      <c r="C481" s="24" t="inlineStr">
        <is>
          <t>PATRIA RENDA RESIDENCIAL FUNDO DE INVESTIMENTO IMOBILIÁRIO - RESPONSABILIDADE LIMITADA I FII</t>
        </is>
      </c>
      <c r="D481" s="24" t="n">
        <v>63.11</v>
      </c>
      <c r="E481" s="24" t="inlineStr">
        <is>
          <t>40.041.723/0001-53</t>
        </is>
      </c>
      <c r="F481" s="24" t="n"/>
      <c r="G481" s="29" t="inlineStr">
        <is>
          <t>9,15</t>
        </is>
      </c>
      <c r="H481" s="29" t="n"/>
      <c r="I481" s="24" t="n"/>
    </row>
    <row r="482">
      <c r="A482" s="26" t="inlineStr">
        <is>
          <t>VCTH11</t>
        </is>
      </c>
      <c r="B482" s="27" t="inlineStr">
        <is>
          <t>FII</t>
        </is>
      </c>
      <c r="C482" s="27" t="inlineStr">
        <is>
          <t>VERA CRUZ THREE FUNDO DE INVESTIMENTO IMOBILIÁRIO RESPONSABILIDADE LIMITADA</t>
        </is>
      </c>
      <c r="D482" s="27" t="n">
        <v>110</v>
      </c>
      <c r="E482" s="27" t="inlineStr">
        <is>
          <t>52.714.934/0001-99</t>
        </is>
      </c>
      <c r="F482" s="27" t="n"/>
      <c r="G482" s="28" t="inlineStr">
        <is>
          <t>0,00</t>
        </is>
      </c>
      <c r="H482" s="28" t="n"/>
      <c r="I482" s="27" t="n"/>
    </row>
    <row r="483">
      <c r="A483" s="23" t="inlineStr">
        <is>
          <t>VDSV11</t>
        </is>
      </c>
      <c r="B483" s="24" t="inlineStr">
        <is>
          <t>FII</t>
        </is>
      </c>
      <c r="C483" s="24" t="inlineStr">
        <is>
          <t>VIC DESENVOLVIMENTO VINTAGE 22/23 FUNDO DE INVESTIMENTO IMOBILIÁRIO</t>
        </is>
      </c>
      <c r="D483" s="24" t="n"/>
      <c r="E483" s="24" t="inlineStr">
        <is>
          <t>43.951.875/0001-81</t>
        </is>
      </c>
      <c r="F483" s="24" t="n"/>
      <c r="G483" s="29" t="inlineStr">
        <is>
          <t>0,00</t>
        </is>
      </c>
      <c r="H483" s="29" t="n"/>
      <c r="I483" s="24" t="n"/>
    </row>
    <row r="484">
      <c r="A484" s="26" t="inlineStr">
        <is>
          <t>VERE11</t>
        </is>
      </c>
      <c r="B484" s="27" t="inlineStr">
        <is>
          <t>FII</t>
        </is>
      </c>
      <c r="C484" s="27" t="inlineStr">
        <is>
          <t>FUNDO DE INVESTIMENTO IMOBILIÁRIO VEREDA - FII RESPONSABILIDADE LIMITADA</t>
        </is>
      </c>
      <c r="D484" s="27" t="n">
        <v>445.76</v>
      </c>
      <c r="E484" s="27" t="inlineStr">
        <is>
          <t>08.693.497/0001-82</t>
        </is>
      </c>
      <c r="F484" s="27" t="n"/>
      <c r="G484" s="28" t="inlineStr">
        <is>
          <t>0,03</t>
        </is>
      </c>
      <c r="H484" s="28" t="n"/>
      <c r="I484" s="27" t="n"/>
    </row>
    <row r="485">
      <c r="A485" s="23" t="inlineStr">
        <is>
          <t>VGII11</t>
        </is>
      </c>
      <c r="B485" s="24" t="inlineStr">
        <is>
          <t>FII</t>
        </is>
      </c>
      <c r="C485" s="24" t="inlineStr">
        <is>
          <t>VALORA CRI INFRA II FUNDO DE INVESTIMENTO IMOBILIÁRIO DE RESPONSABILIDADE LIMITADA</t>
        </is>
      </c>
      <c r="D485" s="24" t="n">
        <v>73.5</v>
      </c>
      <c r="E485" s="24" t="inlineStr">
        <is>
          <t>52.649.680/0001-72</t>
        </is>
      </c>
      <c r="F485" s="24" t="n"/>
      <c r="G485" s="29" t="inlineStr">
        <is>
          <t>5,03</t>
        </is>
      </c>
      <c r="H485" s="29" t="n"/>
      <c r="I485" s="24" t="n"/>
    </row>
    <row r="486">
      <c r="A486" s="26" t="inlineStr">
        <is>
          <t>VGIP11</t>
        </is>
      </c>
      <c r="B486" s="27" t="inlineStr">
        <is>
          <t>FII</t>
        </is>
      </c>
      <c r="C486" s="27" t="inlineStr">
        <is>
          <t>VALORA CRI ÍNDICE DE PREÇO FUNDO DE INVESTIMENTO IMOBILIÁRIO - FII RESPONSABILIDADE LIMITADA</t>
        </is>
      </c>
      <c r="D486" s="27" t="n">
        <v>82.09999999999999</v>
      </c>
      <c r="E486" s="27" t="inlineStr">
        <is>
          <t>34.197.811/0001-46</t>
        </is>
      </c>
      <c r="F486" s="27" t="n"/>
      <c r="G486" s="28" t="inlineStr">
        <is>
          <t>13,98</t>
        </is>
      </c>
      <c r="H486" s="28" t="n"/>
      <c r="I486" s="27" t="n"/>
    </row>
    <row r="487">
      <c r="A487" s="23" t="inlineStr">
        <is>
          <t>VIDS11</t>
        </is>
      </c>
      <c r="B487" s="24" t="inlineStr">
        <is>
          <t>FII</t>
        </is>
      </c>
      <c r="C487" s="24" t="inlineStr">
        <is>
          <t>VIC DESENVOLVIMENTO - VINTAGE 20/21 FUNDO DE INVESTIMENTO IMOBILIÁRIO - RESPONSABILIDADE LIMITADA</t>
        </is>
      </c>
      <c r="D487" s="24" t="n">
        <v>0</v>
      </c>
      <c r="E487" s="24" t="inlineStr">
        <is>
          <t>32.527.552/0001-49</t>
        </is>
      </c>
      <c r="F487" s="24" t="n"/>
      <c r="G487" s="29" t="inlineStr">
        <is>
          <t>11,90</t>
        </is>
      </c>
      <c r="H487" s="29" t="n"/>
      <c r="I487" s="24" t="n"/>
    </row>
    <row r="488">
      <c r="A488" s="26" t="inlineStr">
        <is>
          <t>VIFI11</t>
        </is>
      </c>
      <c r="B488" s="27" t="inlineStr">
        <is>
          <t>FII</t>
        </is>
      </c>
      <c r="C488" s="27" t="inlineStr">
        <is>
          <t>VINCI INSTRUMENTOS FINANCEIROS FUNDO DE INVESTIMENTO IMOBILIÁRIO - FII</t>
        </is>
      </c>
      <c r="D488" s="27" t="n">
        <v>7.46</v>
      </c>
      <c r="E488" s="27" t="inlineStr">
        <is>
          <t>31.547.855/0001-60</t>
        </is>
      </c>
      <c r="F488" s="27" t="n"/>
      <c r="G488" s="28" t="inlineStr">
        <is>
          <t>0,00</t>
        </is>
      </c>
      <c r="H488" s="28" t="n"/>
      <c r="I488" s="27" t="n"/>
    </row>
    <row r="489">
      <c r="A489" s="23" t="inlineStr">
        <is>
          <t>VILG11</t>
        </is>
      </c>
      <c r="B489" s="24" t="inlineStr">
        <is>
          <t>FII</t>
        </is>
      </c>
      <c r="C489" s="24" t="inlineStr">
        <is>
          <t>VINCI LOGÍSTICA FUNDO DE INVESTIMENTO IMOBILIÁRIO - RESPONSABILIDADE LIMITADA</t>
        </is>
      </c>
      <c r="D489" s="24" t="n">
        <v>100.33</v>
      </c>
      <c r="E489" s="24" t="inlineStr">
        <is>
          <t>24.853.044/0001-22</t>
        </is>
      </c>
      <c r="F489" s="24" t="n"/>
      <c r="G489" s="29" t="inlineStr">
        <is>
          <t>8,41</t>
        </is>
      </c>
      <c r="H489" s="29" t="n"/>
      <c r="I489" s="24" t="n"/>
    </row>
    <row r="490">
      <c r="A490" s="26" t="inlineStr">
        <is>
          <t>VIMO11</t>
        </is>
      </c>
      <c r="B490" s="27" t="inlineStr">
        <is>
          <t>FII</t>
        </is>
      </c>
      <c r="C490" s="27" t="inlineStr">
        <is>
          <t>VINCI MOZAK RESIDENCIAL II FUNDO DE INVESTIMENTO IMOBILIÁRIO - RESPONSABILIDADE LIMITADA</t>
        </is>
      </c>
      <c r="D490" s="27" t="n"/>
      <c r="E490" s="27" t="n"/>
      <c r="F490" s="27" t="n"/>
      <c r="G490" s="28" t="inlineStr">
        <is>
          <t>0,00</t>
        </is>
      </c>
      <c r="H490" s="28" t="n"/>
      <c r="I490" s="27" t="n"/>
    </row>
    <row r="491">
      <c r="A491" s="23" t="inlineStr">
        <is>
          <t>VIOL11</t>
        </is>
      </c>
      <c r="B491" s="24" t="inlineStr">
        <is>
          <t>FII</t>
        </is>
      </c>
      <c r="C491" s="24" t="inlineStr">
        <is>
          <t>VINCI OPORTUNIDADES LOGÍSTICAS FII RESPONSABILIDADE LIMITADA</t>
        </is>
      </c>
      <c r="D491" s="24" t="n"/>
      <c r="E491" s="24" t="n"/>
      <c r="F491" s="24" t="n"/>
      <c r="G491" s="29" t="inlineStr">
        <is>
          <t>0,00</t>
        </is>
      </c>
      <c r="H491" s="29" t="n"/>
      <c r="I491" s="24" t="n"/>
    </row>
    <row r="492">
      <c r="A492" s="26" t="inlineStr">
        <is>
          <t>VISC11</t>
        </is>
      </c>
      <c r="B492" s="27" t="inlineStr">
        <is>
          <t>FII</t>
        </is>
      </c>
      <c r="C492" s="27" t="inlineStr">
        <is>
          <t>VINCI SHOPPING CENTERS FUNDO DE INVESTIMENTO IMOBILIÁRIO - RESPONSABILIDADE LIMITADA</t>
        </is>
      </c>
      <c r="D492" s="27" t="n">
        <v>112.03</v>
      </c>
      <c r="E492" s="27" t="inlineStr">
        <is>
          <t>17.554.274/0001-25</t>
        </is>
      </c>
      <c r="F492" s="27" t="n"/>
      <c r="G492" s="28" t="inlineStr">
        <is>
          <t>8,75</t>
        </is>
      </c>
      <c r="H492" s="28" t="n"/>
      <c r="I492" s="27" t="n"/>
    </row>
    <row r="493">
      <c r="A493" s="23" t="inlineStr">
        <is>
          <t>VIUR11</t>
        </is>
      </c>
      <c r="B493" s="24" t="inlineStr">
        <is>
          <t>FII</t>
        </is>
      </c>
      <c r="C493" s="24" t="inlineStr">
        <is>
          <t>VINCI IMÓVEIS URBANOS FUNDO DE INVESTIMENTO IMOBILIÁRIO - RESPONSABILIDADE LIMITADA</t>
        </is>
      </c>
      <c r="D493" s="24" t="n">
        <v>5.83</v>
      </c>
      <c r="E493" s="24" t="n"/>
      <c r="F493" s="24" t="n"/>
      <c r="G493" s="29" t="inlineStr">
        <is>
          <t>0,00</t>
        </is>
      </c>
      <c r="H493" s="29" t="n"/>
      <c r="I493" s="24" t="n"/>
    </row>
    <row r="494">
      <c r="A494" s="26" t="inlineStr">
        <is>
          <t>VJFD11</t>
        </is>
      </c>
      <c r="B494" s="27" t="inlineStr">
        <is>
          <t>FII</t>
        </is>
      </c>
      <c r="C494" s="27" t="inlineStr">
        <is>
          <t>JFDCAM - FUNDO DE INVESTIMENTO IMOBILIÁRIO - FII</t>
        </is>
      </c>
      <c r="D494" s="27" t="n">
        <v>148.01</v>
      </c>
      <c r="E494" s="27" t="inlineStr">
        <is>
          <t>15.489.509/0001-17</t>
        </is>
      </c>
      <c r="F494" s="27" t="n"/>
      <c r="G494" s="28" t="inlineStr">
        <is>
          <t>7,49</t>
        </is>
      </c>
      <c r="H494" s="28" t="n"/>
      <c r="I494" s="27" t="n"/>
    </row>
    <row r="495">
      <c r="A495" s="23" t="inlineStr">
        <is>
          <t>VLJS11</t>
        </is>
      </c>
      <c r="B495" s="24" t="inlineStr">
        <is>
          <t>FII</t>
        </is>
      </c>
      <c r="C495" s="24" t="inlineStr">
        <is>
          <t>VECTOR QUELUZ LAJES CORPORATIVAS FUNDO DE INVESTIMENTO IMOBILIARIO</t>
        </is>
      </c>
      <c r="D495" s="24" t="n">
        <v>0</v>
      </c>
      <c r="E495" s="24" t="inlineStr">
        <is>
          <t>13.842.683/0001-76</t>
        </is>
      </c>
      <c r="F495" s="24" t="n"/>
      <c r="G495" s="29" t="inlineStr">
        <is>
          <t>0,00</t>
        </is>
      </c>
      <c r="H495" s="29" t="n"/>
      <c r="I495" s="24" t="n"/>
    </row>
    <row r="496">
      <c r="A496" s="26" t="inlineStr">
        <is>
          <t>VLQI11</t>
        </is>
      </c>
      <c r="B496" s="27" t="inlineStr">
        <is>
          <t>FII</t>
        </is>
      </c>
      <c r="C496" s="27" t="inlineStr">
        <is>
          <t>VINCI INSTRUMENTOS FINANCEIROS 3 FUNDO DE INVESTIMENTO IMOBILIÁRIO - RESPONSABILIDADE LIMITADA</t>
        </is>
      </c>
      <c r="D496" s="27" t="n"/>
      <c r="E496" s="27" t="n"/>
      <c r="F496" s="27" t="n"/>
      <c r="G496" s="28" t="inlineStr">
        <is>
          <t>0,00</t>
        </is>
      </c>
      <c r="H496" s="28" t="n"/>
      <c r="I496" s="27" t="n"/>
    </row>
    <row r="497">
      <c r="A497" s="23" t="inlineStr">
        <is>
          <t>VOTS11</t>
        </is>
      </c>
      <c r="B497" s="24" t="inlineStr">
        <is>
          <t>FII</t>
        </is>
      </c>
      <c r="C497" s="24" t="inlineStr">
        <is>
          <t>TIVIO SECURITIES FUNDO DE INVESTIMENTO IMOBILIÁRIO RESPONSABILIDADE LIMITADA</t>
        </is>
      </c>
      <c r="D497" s="24" t="n">
        <v>84.47</v>
      </c>
      <c r="E497" s="24" t="inlineStr">
        <is>
          <t>17.870.926/0001-30</t>
        </is>
      </c>
      <c r="F497" s="24" t="n"/>
      <c r="G497" s="29" t="inlineStr">
        <is>
          <t>11,20</t>
        </is>
      </c>
      <c r="H497" s="29" t="n"/>
      <c r="I497" s="24" t="n"/>
    </row>
    <row r="498">
      <c r="A498" s="26" t="inlineStr">
        <is>
          <t>VPPR11</t>
        </is>
      </c>
      <c r="B498" s="27" t="inlineStr">
        <is>
          <t>FII</t>
        </is>
      </c>
      <c r="C498" s="27" t="inlineStr">
        <is>
          <t>V2 PRIME PROPERTIES FUNDO DE INVESTIMENTO IMOBILIÁRIO - FII - RESPONSABILIDADE LIMITADA</t>
        </is>
      </c>
      <c r="D498" s="27" t="n">
        <v>22.15</v>
      </c>
      <c r="E498" s="27" t="inlineStr">
        <is>
          <t>30.654.849/0001-40</t>
        </is>
      </c>
      <c r="F498" s="27" t="n"/>
      <c r="G498" s="28" t="inlineStr">
        <is>
          <t>0,00</t>
        </is>
      </c>
      <c r="H498" s="28" t="n"/>
      <c r="I498" s="27" t="n"/>
    </row>
    <row r="499">
      <c r="A499" s="23" t="inlineStr">
        <is>
          <t>VPSI11</t>
        </is>
      </c>
      <c r="B499" s="24" t="inlineStr">
        <is>
          <t>FII</t>
        </is>
      </c>
      <c r="C499" s="24" t="inlineStr">
        <is>
          <t>FUNDO DE INVESTIMENTO IMOBILIÁRIO POLO SHOPPING INDAIATUBA - RESPONSABILIDADE LIMITADA</t>
        </is>
      </c>
      <c r="D499" s="24" t="n">
        <v>22.38</v>
      </c>
      <c r="E499" s="24" t="inlineStr">
        <is>
          <t>14.721.889/0001-00</t>
        </is>
      </c>
      <c r="F499" s="24" t="n"/>
      <c r="G499" s="29" t="inlineStr">
        <is>
          <t>13,40</t>
        </is>
      </c>
      <c r="H499" s="29" t="n"/>
      <c r="I499" s="24" t="n"/>
    </row>
    <row r="500">
      <c r="A500" s="26" t="inlineStr">
        <is>
          <t>VRTA11</t>
        </is>
      </c>
      <c r="B500" s="27" t="inlineStr">
        <is>
          <t>FII</t>
        </is>
      </c>
      <c r="C500" s="27" t="inlineStr">
        <is>
          <t>FATOR VERITA FUNDO DE INVESTIMENTO IMOBILIARIO</t>
        </is>
      </c>
      <c r="D500" s="27" t="n">
        <v>78.15000000000001</v>
      </c>
      <c r="E500" s="27" t="inlineStr">
        <is>
          <t>11.664.201/0001-00</t>
        </is>
      </c>
      <c r="F500" s="27" t="n"/>
      <c r="G500" s="28" t="inlineStr">
        <is>
          <t>13,03</t>
        </is>
      </c>
      <c r="H500" s="28" t="n"/>
      <c r="I500" s="27" t="n"/>
    </row>
    <row r="501">
      <c r="A501" s="23" t="inlineStr">
        <is>
          <t>VRTM11</t>
        </is>
      </c>
      <c r="B501" s="24" t="inlineStr">
        <is>
          <t>FII</t>
        </is>
      </c>
      <c r="C501" s="24" t="inlineStr">
        <is>
          <t>FATOR VERITÀ MULTIESTRATÉGIA FUNDO DE INVESTIMENTO IMOBILIÁRIO</t>
        </is>
      </c>
      <c r="D501" s="24" t="n">
        <v>7.3</v>
      </c>
      <c r="E501" s="24" t="inlineStr">
        <is>
          <t>51.870.412/0001-13</t>
        </is>
      </c>
      <c r="F501" s="24" t="n"/>
      <c r="G501" s="29" t="inlineStr">
        <is>
          <t>14,69</t>
        </is>
      </c>
      <c r="H501" s="29" t="n"/>
      <c r="I501" s="24" t="n"/>
    </row>
    <row r="502">
      <c r="A502" s="26" t="inlineStr">
        <is>
          <t>VSHO11</t>
        </is>
      </c>
      <c r="B502" s="27" t="inlineStr">
        <is>
          <t>FII</t>
        </is>
      </c>
      <c r="C502" s="27" t="inlineStr">
        <is>
          <t>FUNDO DE INVESTIMENTO IMOBILIÁRIO VOTORANTIM SHOPPING</t>
        </is>
      </c>
      <c r="D502" s="27" t="n">
        <v>75.53</v>
      </c>
      <c r="E502" s="27" t="inlineStr">
        <is>
          <t>23.740.595/0001-17</t>
        </is>
      </c>
      <c r="F502" s="27" t="n"/>
      <c r="G502" s="28" t="inlineStr">
        <is>
          <t>10,81</t>
        </is>
      </c>
      <c r="H502" s="28" t="n"/>
      <c r="I502" s="27" t="n"/>
    </row>
    <row r="503">
      <c r="A503" s="23" t="inlineStr">
        <is>
          <t>VTLT11</t>
        </is>
      </c>
      <c r="B503" s="24" t="inlineStr">
        <is>
          <t>FII</t>
        </is>
      </c>
      <c r="C503" s="24" t="inlineStr">
        <is>
          <t>FUNDO DE INVESTIMENTO IMOBILIÁRIO VOTORANTIM LOGÍSTICA RESPONSABILIDADE LIMITADA</t>
        </is>
      </c>
      <c r="D503" s="24" t="n">
        <v>88.98</v>
      </c>
      <c r="E503" s="24" t="inlineStr">
        <is>
          <t>27.368.600/0001-63</t>
        </is>
      </c>
      <c r="F503" s="24" t="n"/>
      <c r="G503" s="29" t="inlineStr">
        <is>
          <t>14,46</t>
        </is>
      </c>
      <c r="H503" s="29" t="n"/>
      <c r="I503" s="24" t="n"/>
    </row>
    <row r="504">
      <c r="A504" s="26" t="inlineStr">
        <is>
          <t>VTPA11</t>
        </is>
      </c>
      <c r="B504" s="27" t="inlineStr">
        <is>
          <t>FII</t>
        </is>
      </c>
      <c r="C504" s="27" t="inlineStr">
        <is>
          <t>FUNDO DE INVESTIMENTO IMOBILIÁRIO PATRIMONIAL V RESPONSABILIDADE LIMITADA</t>
        </is>
      </c>
      <c r="D504" s="27" t="n"/>
      <c r="E504" s="27" t="inlineStr">
        <is>
          <t>21.500.481/0001-74</t>
        </is>
      </c>
      <c r="F504" s="27" t="n"/>
      <c r="G504" s="28" t="inlineStr">
        <is>
          <t>0,00</t>
        </is>
      </c>
      <c r="H504" s="28" t="n"/>
      <c r="I504" s="27" t="n"/>
    </row>
    <row r="505">
      <c r="A505" s="23" t="inlineStr">
        <is>
          <t>VTPL11</t>
        </is>
      </c>
      <c r="B505" s="24" t="inlineStr">
        <is>
          <t>FII</t>
        </is>
      </c>
      <c r="C505" s="24" t="inlineStr">
        <is>
          <t>FUNDO DE INVESTIMENTO IMOBILIÁRIO PLUS RESPONSABILIDADE LIMITADA</t>
        </is>
      </c>
      <c r="D505" s="24" t="n">
        <v>65.90000000000001</v>
      </c>
      <c r="E505" s="24" t="inlineStr">
        <is>
          <t>15.098.422/0001-19</t>
        </is>
      </c>
      <c r="F505" s="24" t="n"/>
      <c r="G505" s="29" t="inlineStr">
        <is>
          <t>4,67</t>
        </is>
      </c>
      <c r="H505" s="29" t="n"/>
      <c r="I505" s="24" t="n"/>
    </row>
    <row r="506">
      <c r="A506" s="26" t="inlineStr">
        <is>
          <t>VTVI11</t>
        </is>
      </c>
      <c r="B506" s="27" t="inlineStr">
        <is>
          <t>FII</t>
        </is>
      </c>
      <c r="C506" s="27" t="inlineStr">
        <is>
          <t>PARKING PARTNERS FUNDO DE INVESTIMENTO IMOBILIÁRIO - FII - RESP LIMITADA</t>
        </is>
      </c>
      <c r="D506" s="27" t="n"/>
      <c r="E506" s="27" t="inlineStr">
        <is>
          <t>21.500.514/0001-86</t>
        </is>
      </c>
      <c r="F506" s="27" t="n"/>
      <c r="G506" s="28" t="inlineStr">
        <is>
          <t>0,00</t>
        </is>
      </c>
      <c r="H506" s="28" t="n"/>
      <c r="I506" s="27" t="n"/>
    </row>
    <row r="507">
      <c r="A507" s="23" t="inlineStr">
        <is>
          <t>VTXI11</t>
        </is>
      </c>
      <c r="B507" s="24" t="inlineStr">
        <is>
          <t>FII</t>
        </is>
      </c>
      <c r="C507" s="24" t="inlineStr">
        <is>
          <t>FUNDO DE INVESTIMENTO IMOBILIARIO VOTORANTIM PATRIMONIAL XII</t>
        </is>
      </c>
      <c r="D507" s="24" t="n"/>
      <c r="E507" s="24" t="inlineStr">
        <is>
          <t>23.740.552/0001-31</t>
        </is>
      </c>
      <c r="F507" s="24" t="n"/>
      <c r="G507" s="29" t="inlineStr">
        <is>
          <t>0,00</t>
        </is>
      </c>
      <c r="H507" s="29" t="n"/>
      <c r="I507" s="24" t="n"/>
    </row>
    <row r="508">
      <c r="A508" s="26" t="inlineStr">
        <is>
          <t>VVCO11</t>
        </is>
      </c>
      <c r="B508" s="27" t="inlineStr">
        <is>
          <t>FII</t>
        </is>
      </c>
      <c r="C508" s="27" t="inlineStr">
        <is>
          <t>V2 EDIFÍCIOS CORPORATIVOS FUNDO DE INVESTIMENTO IMOBILIÁRIO RESPONSABILIDADE LIMITADA</t>
        </is>
      </c>
      <c r="D508" s="27" t="n">
        <v>14.99</v>
      </c>
      <c r="E508" s="27" t="inlineStr">
        <is>
          <t>15.006.267/0001-63</t>
        </is>
      </c>
      <c r="F508" s="27" t="n"/>
      <c r="G508" s="28" t="inlineStr">
        <is>
          <t>0,00</t>
        </is>
      </c>
      <c r="H508" s="28" t="n"/>
      <c r="I508" s="27" t="n"/>
    </row>
    <row r="509">
      <c r="A509" s="23" t="inlineStr">
        <is>
          <t>VVCR11</t>
        </is>
      </c>
      <c r="B509" s="24" t="inlineStr">
        <is>
          <t>FII</t>
        </is>
      </c>
      <c r="C509" s="24" t="inlineStr">
        <is>
          <t>V2 RECEBÍVEIS IMOBILIÁRIOS FUNDO DE INVESTIMENTO IMOBILIÁRIO RESPONSABILIDADE LIMITADA</t>
        </is>
      </c>
      <c r="D509" s="24" t="n">
        <v>9.84</v>
      </c>
      <c r="E509" s="24" t="inlineStr">
        <is>
          <t>23.120.027/0001-13</t>
        </is>
      </c>
      <c r="F509" s="24" t="n"/>
      <c r="G509" s="29" t="inlineStr">
        <is>
          <t>12,79</t>
        </is>
      </c>
      <c r="H509" s="29" t="n"/>
      <c r="I509" s="24" t="n"/>
    </row>
    <row r="510">
      <c r="A510" s="26" t="inlineStr">
        <is>
          <t>VVMR11</t>
        </is>
      </c>
      <c r="B510" s="27" t="inlineStr">
        <is>
          <t>FII</t>
        </is>
      </c>
      <c r="C510" s="27" t="inlineStr">
        <is>
          <t>V2 MULTI RENDA FUNDO DE INVESTIMENTO IMOBILIÁRIO RESPONSABILIDADE LIMITADA</t>
        </is>
      </c>
      <c r="D510" s="27" t="n">
        <v>84.31999999999999</v>
      </c>
      <c r="E510" s="27" t="inlineStr">
        <is>
          <t>30.871.698/0001-81</t>
        </is>
      </c>
      <c r="F510" s="27" t="n"/>
      <c r="G510" s="28" t="inlineStr">
        <is>
          <t>1,79</t>
        </is>
      </c>
      <c r="H510" s="28" t="n"/>
      <c r="I510" s="27" t="n"/>
    </row>
    <row r="511">
      <c r="A511" s="23" t="inlineStr">
        <is>
          <t>VVRI11</t>
        </is>
      </c>
      <c r="B511" s="24" t="inlineStr">
        <is>
          <t>FII</t>
        </is>
      </c>
      <c r="C511" s="24" t="inlineStr">
        <is>
          <t>V2 RENDA IMOBILIÁRIA FUNDO DE INVESTIMENTO IMOBILIÁRIO RESPONSABILIDADE LIMITADA</t>
        </is>
      </c>
      <c r="D511" s="24" t="n">
        <v>89.01000000000001</v>
      </c>
      <c r="E511" s="24" t="inlineStr">
        <is>
          <t>49.184.940/0001-77</t>
        </is>
      </c>
      <c r="F511" s="24" t="n"/>
      <c r="G511" s="29" t="inlineStr">
        <is>
          <t>7,40</t>
        </is>
      </c>
      <c r="H511" s="29" t="n"/>
      <c r="I511" s="24" t="n"/>
    </row>
    <row r="512">
      <c r="A512" s="26" t="inlineStr">
        <is>
          <t>VXXV11</t>
        </is>
      </c>
      <c r="B512" s="27" t="inlineStr">
        <is>
          <t>FII</t>
        </is>
      </c>
      <c r="C512" s="27" t="inlineStr">
        <is>
          <t>GENESIS MULTIESTRATÉGIA FUNDO DE INVESTIMENTO IMOBILIÁRIO - FII</t>
        </is>
      </c>
      <c r="D512" s="27" t="n">
        <v>728</v>
      </c>
      <c r="E512" s="27" t="inlineStr">
        <is>
          <t>30.982.974/0001-89</t>
        </is>
      </c>
      <c r="F512" s="27" t="n"/>
      <c r="G512" s="28" t="inlineStr">
        <is>
          <t>0,00</t>
        </is>
      </c>
      <c r="H512" s="28" t="n"/>
      <c r="I512" s="27" t="n"/>
    </row>
    <row r="513">
      <c r="A513" s="23" t="inlineStr">
        <is>
          <t>WHGR11</t>
        </is>
      </c>
      <c r="B513" s="24" t="inlineStr">
        <is>
          <t>FII</t>
        </is>
      </c>
      <c r="C513" s="24" t="inlineStr">
        <is>
          <t>WHG REAL ESTATE FUNDO DE INVESTIMENTO IMOBILIÁRIO - FII RESPONSABILIDADE LIMITADA</t>
        </is>
      </c>
      <c r="D513" s="24" t="n">
        <v>9.619999999999999</v>
      </c>
      <c r="E513" s="24" t="inlineStr">
        <is>
          <t>41.256.643/0001-88</t>
        </is>
      </c>
      <c r="F513" s="24" t="n"/>
      <c r="G513" s="29" t="inlineStr">
        <is>
          <t>13,21</t>
        </is>
      </c>
      <c r="H513" s="29" t="n"/>
      <c r="I513" s="24" t="n"/>
    </row>
    <row r="514">
      <c r="A514" s="26" t="inlineStr">
        <is>
          <t>WPLZ11</t>
        </is>
      </c>
      <c r="B514" s="27" t="inlineStr">
        <is>
          <t>FII</t>
        </is>
      </c>
      <c r="C514" s="27" t="inlineStr">
        <is>
          <t>SHOPPING WEST PLAZA FUNDO DE INVESTIMENTO IMOBILIARIO DE RESPONSABILIDADE LIMITADA</t>
        </is>
      </c>
      <c r="D514" s="27" t="n">
        <v>51</v>
      </c>
      <c r="E514" s="27" t="inlineStr">
        <is>
          <t>09.326.861/0001-39</t>
        </is>
      </c>
      <c r="F514" s="27" t="n"/>
      <c r="G514" s="28" t="inlineStr">
        <is>
          <t>10,06</t>
        </is>
      </c>
      <c r="H514" s="28" t="n"/>
      <c r="I514" s="27" t="n"/>
    </row>
    <row r="515">
      <c r="A515" s="23" t="inlineStr">
        <is>
          <t>WSEC11</t>
        </is>
      </c>
      <c r="B515" s="24" t="inlineStr">
        <is>
          <t>FII</t>
        </is>
      </c>
      <c r="C515" s="24" t="inlineStr">
        <is>
          <t>WARREN SECURITIES FUNDO DE INVESTIMENTO IMOBILIÁRIO FII RESPONSABILIDADE LIMITADA</t>
        </is>
      </c>
      <c r="D515" s="24" t="n">
        <v>1.41</v>
      </c>
      <c r="E515" s="24" t="inlineStr">
        <is>
          <t>43.440.579/0001-16</t>
        </is>
      </c>
      <c r="F515" s="24" t="n"/>
      <c r="G515" s="29" t="inlineStr">
        <is>
          <t>56,68</t>
        </is>
      </c>
      <c r="H515" s="29" t="n"/>
      <c r="I515" s="24" t="n"/>
    </row>
    <row r="516">
      <c r="A516" s="26" t="inlineStr">
        <is>
          <t>WTSP11</t>
        </is>
      </c>
      <c r="B516" s="27" t="inlineStr">
        <is>
          <t>FII</t>
        </is>
      </c>
      <c r="C516" s="27" t="inlineStr">
        <is>
          <t>FUNDO DE INVESTIMENTO IMOBILIÁRIO OURINVEST RE I - RESPONSABILIDADE LIMITADA</t>
        </is>
      </c>
      <c r="D516" s="27" t="n">
        <v>59.99</v>
      </c>
      <c r="E516" s="27" t="inlineStr">
        <is>
          <t>28.693.595/0001-27</t>
        </is>
      </c>
      <c r="F516" s="27" t="n"/>
      <c r="G516" s="28" t="inlineStr">
        <is>
          <t>6,85</t>
        </is>
      </c>
      <c r="H516" s="28" t="n"/>
      <c r="I516" s="27" t="n"/>
    </row>
    <row r="517">
      <c r="A517" s="23" t="inlineStr">
        <is>
          <t>XPCM11</t>
        </is>
      </c>
      <c r="B517" s="24" t="inlineStr">
        <is>
          <t>FII</t>
        </is>
      </c>
      <c r="C517" s="24" t="inlineStr">
        <is>
          <t>XP CORPORATE MACAÉ FUNDO DE INVESTIMENTO IMOBILIÁRIO DE RESPONSABILIDADE LIMITADA</t>
        </is>
      </c>
      <c r="D517" s="24" t="n">
        <v>8.449999999999999</v>
      </c>
      <c r="E517" s="24" t="inlineStr">
        <is>
          <t>16.802.320/0001-03</t>
        </is>
      </c>
      <c r="F517" s="24" t="n"/>
      <c r="G517" s="29" t="inlineStr">
        <is>
          <t>0,00</t>
        </is>
      </c>
      <c r="H517" s="29" t="n"/>
      <c r="I517" s="24" t="n"/>
    </row>
    <row r="518">
      <c r="A518" s="26" t="inlineStr">
        <is>
          <t>XPIN11</t>
        </is>
      </c>
      <c r="B518" s="27" t="inlineStr">
        <is>
          <t>FII</t>
        </is>
      </c>
      <c r="C518" s="27" t="inlineStr">
        <is>
          <t>XP INDUSTRIAL FUNDO DE INVESTIMENTO IMOBILIÁRIO</t>
        </is>
      </c>
      <c r="D518" s="27" t="n">
        <v>71.7</v>
      </c>
      <c r="E518" s="27" t="inlineStr">
        <is>
          <t>28.516.325/0001-40</t>
        </is>
      </c>
      <c r="F518" s="27" t="n"/>
      <c r="G518" s="28" t="inlineStr">
        <is>
          <t>13,15</t>
        </is>
      </c>
      <c r="H518" s="28" t="n"/>
      <c r="I518" s="27" t="n"/>
    </row>
    <row r="519">
      <c r="A519" s="23" t="inlineStr">
        <is>
          <t>XPLG11</t>
        </is>
      </c>
      <c r="B519" s="24" t="inlineStr">
        <is>
          <t>FII</t>
        </is>
      </c>
      <c r="C519" s="24" t="inlineStr">
        <is>
          <t>XP LOG FUNDO DE INVESTIMENTO IMOBILIÁRIO RESPONSABILIDADE LIMITADA - FII</t>
        </is>
      </c>
      <c r="D519" s="24" t="n">
        <v>102.78</v>
      </c>
      <c r="E519" s="24" t="inlineStr">
        <is>
          <t>26.502.794/0001-85</t>
        </is>
      </c>
      <c r="F519" s="24" t="inlineStr">
        <is>
          <t>Lógistica</t>
        </is>
      </c>
      <c r="G519" s="29" t="inlineStr">
        <is>
          <t>9,69</t>
        </is>
      </c>
      <c r="H519" s="29" t="n"/>
      <c r="I519" s="24" t="n"/>
    </row>
    <row r="520">
      <c r="A520" s="26" t="inlineStr">
        <is>
          <t>XPRE11</t>
        </is>
      </c>
      <c r="B520" s="27" t="inlineStr">
        <is>
          <t>FII</t>
        </is>
      </c>
      <c r="C520" s="27" t="inlineStr">
        <is>
          <t>FUNDO DE INVESTIMENTO IMOBILIÁRIO XP PRIVATE EQUITY REAL ESTATE - FEEDER</t>
        </is>
      </c>
      <c r="D520" s="27" t="n"/>
      <c r="E520" s="27" t="inlineStr">
        <is>
          <t>58.300.324/0001-25</t>
        </is>
      </c>
      <c r="F520" s="27" t="n"/>
      <c r="G520" s="28" t="inlineStr">
        <is>
          <t>0,00</t>
        </is>
      </c>
      <c r="H520" s="28" t="n"/>
      <c r="I520" s="27" t="n"/>
    </row>
    <row r="521">
      <c r="A521" s="23" t="inlineStr">
        <is>
          <t>XPSF11</t>
        </is>
      </c>
      <c r="B521" s="24" t="inlineStr">
        <is>
          <t>FII</t>
        </is>
      </c>
      <c r="C521" s="24" t="inlineStr">
        <is>
          <t>XP SELECTION FUNDO DE FUNDOS DE INVESTIMENTO IMOBILIÁRIO - FII</t>
        </is>
      </c>
      <c r="D521" s="24" t="n">
        <v>6.78</v>
      </c>
      <c r="E521" s="24" t="inlineStr">
        <is>
          <t>30.983.020/0001-90</t>
        </is>
      </c>
      <c r="F521" s="24" t="n"/>
      <c r="G521" s="29" t="inlineStr">
        <is>
          <t>11,49</t>
        </is>
      </c>
      <c r="H521" s="29" t="n"/>
      <c r="I521" s="24" t="n"/>
    </row>
    <row r="522">
      <c r="A522" s="26" t="inlineStr">
        <is>
          <t>YEES11</t>
        </is>
      </c>
      <c r="B522" s="27" t="inlineStr">
        <is>
          <t>FII</t>
        </is>
      </c>
      <c r="C522" s="27" t="inlineStr">
        <is>
          <t>HEDGE YEES HABITAÇÕES ECONÔMICAS FUNDO DE INVESTIMENTO IMOBILIÁRIO DE RESPONSABILIDADE LIMITADA</t>
        </is>
      </c>
      <c r="D522" s="27" t="n">
        <v>102</v>
      </c>
      <c r="E522" s="27" t="inlineStr">
        <is>
          <t>51.385.174/0001-50</t>
        </is>
      </c>
      <c r="F522" s="27" t="n"/>
      <c r="G522" s="28" t="inlineStr">
        <is>
          <t>0,00</t>
        </is>
      </c>
      <c r="H522" s="28" t="n"/>
      <c r="I522" s="27" t="n"/>
    </row>
    <row r="523">
      <c r="A523" s="23" t="inlineStr">
        <is>
          <t>YUFI11</t>
        </is>
      </c>
      <c r="B523" s="24" t="inlineStr">
        <is>
          <t>FII</t>
        </is>
      </c>
      <c r="C523" s="24" t="inlineStr">
        <is>
          <t>YUCA FUNDO DE INVESTIMENTO IMOBILIÁRIO RESPONSABILIDADE LIMITADA</t>
        </is>
      </c>
      <c r="D523" s="24" t="n">
        <v>15</v>
      </c>
      <c r="E523" s="24" t="inlineStr">
        <is>
          <t>36.445.551/0001-06</t>
        </is>
      </c>
      <c r="F523" s="24" t="n"/>
      <c r="G523" s="29" t="inlineStr">
        <is>
          <t>2,18</t>
        </is>
      </c>
      <c r="H523" s="29" t="n"/>
      <c r="I523" s="24" t="n"/>
    </row>
    <row r="524">
      <c r="A524" s="26" t="inlineStr">
        <is>
          <t>ZAGH11</t>
        </is>
      </c>
      <c r="B524" s="27" t="inlineStr">
        <is>
          <t>FII</t>
        </is>
      </c>
      <c r="C524" s="27" t="inlineStr">
        <is>
          <t>ZAGROS MULTIESTRATÉGIA FUNDO DE INVESTIMENTO IMOBILIÁRIO RESPONSABILIDADE LIMITADA</t>
        </is>
      </c>
      <c r="D524" s="27" t="n">
        <v>9.640000000000001</v>
      </c>
      <c r="E524" s="27" t="inlineStr">
        <is>
          <t>45.188.066/0001-95</t>
        </is>
      </c>
      <c r="F524" s="27" t="n"/>
      <c r="G524" s="28" t="inlineStr">
        <is>
          <t>7,42</t>
        </is>
      </c>
      <c r="H524" s="28" t="n"/>
      <c r="I524" s="27" t="n"/>
    </row>
    <row r="525">
      <c r="A525" s="23" t="inlineStr">
        <is>
          <t>ZAVC11</t>
        </is>
      </c>
      <c r="B525" s="24" t="inlineStr">
        <is>
          <t>FII</t>
        </is>
      </c>
      <c r="C525" s="24" t="inlineStr">
        <is>
          <t>ZAVIT CRÉDITO IMOBILIÁRIO FUNDO DE INVESTIMENTO IMOBILIÁRIO - RESPONSABILIDADE LIMITADA</t>
        </is>
      </c>
      <c r="D525" s="24" t="n">
        <v>9.119999999999999</v>
      </c>
      <c r="E525" s="24" t="inlineStr">
        <is>
          <t>52.101.897/0001-43</t>
        </is>
      </c>
      <c r="F525" s="24" t="n"/>
      <c r="G525" s="29" t="inlineStr">
        <is>
          <t>18,39</t>
        </is>
      </c>
      <c r="H525" s="29" t="n"/>
      <c r="I525" s="24" t="n"/>
    </row>
    <row r="526">
      <c r="A526" s="26" t="inlineStr">
        <is>
          <t>ZAVI11</t>
        </is>
      </c>
      <c r="B526" s="27" t="inlineStr">
        <is>
          <t>FII</t>
        </is>
      </c>
      <c r="C526" s="27" t="inlineStr">
        <is>
          <t>ZAVIT REAL ESTATE FUND - FUNDO DE INVESTIMENTO IMOBILIÁRIO - RESPONSABILIDADE LIMITADA</t>
        </is>
      </c>
      <c r="D526" s="27" t="n">
        <v>9.699999999999999</v>
      </c>
      <c r="E526" s="27" t="inlineStr">
        <is>
          <t>40.575.940/0001-23</t>
        </is>
      </c>
      <c r="F526" s="27" t="n"/>
      <c r="G526" s="28" t="inlineStr">
        <is>
          <t>13,97</t>
        </is>
      </c>
      <c r="H526" s="28" t="n"/>
      <c r="I526" s="27" t="n"/>
    </row>
    <row r="527">
      <c r="A527" s="23" t="inlineStr">
        <is>
          <t>ZIFI11</t>
        </is>
      </c>
      <c r="B527" s="24" t="inlineStr">
        <is>
          <t>FII</t>
        </is>
      </c>
      <c r="C527" s="24" t="inlineStr">
        <is>
          <t>ZION CAPITAL FUNDO DE INVESTIMENTO IMOBILIÁRIO - FII RESPONSABILIDADE LIMITADA</t>
        </is>
      </c>
      <c r="D527" s="24" t="n">
        <v>900</v>
      </c>
      <c r="E527" s="24" t="inlineStr">
        <is>
          <t>35.820.768/0001-96</t>
        </is>
      </c>
      <c r="F527" s="24" t="n"/>
      <c r="G527" s="29" t="inlineStr">
        <is>
          <t>0,00</t>
        </is>
      </c>
      <c r="H527" s="29" t="n"/>
      <c r="I527" s="24" t="n"/>
    </row>
    <row r="528">
      <c r="A528" s="26" t="inlineStr">
        <is>
          <t>COGN3</t>
        </is>
      </c>
      <c r="B528" s="27" t="inlineStr">
        <is>
          <t>Ação</t>
        </is>
      </c>
      <c r="C528" s="27" t="inlineStr">
        <is>
          <t>Cogna</t>
        </is>
      </c>
      <c r="D528" s="27" t="n">
        <v>3.14</v>
      </c>
      <c r="E528" s="27" t="inlineStr">
        <is>
          <t>02.800.026/0001-40</t>
        </is>
      </c>
      <c r="F528" s="27" t="n"/>
      <c r="G528" s="28" t="inlineStr">
        <is>
          <t>5,69</t>
        </is>
      </c>
      <c r="H528" s="28" t="n"/>
      <c r="I528" s="27" t="n"/>
    </row>
    <row r="529">
      <c r="A529" s="23" t="inlineStr">
        <is>
          <t>ENEV3</t>
        </is>
      </c>
      <c r="B529" s="24" t="inlineStr">
        <is>
          <t>Ação</t>
        </is>
      </c>
      <c r="C529" s="24" t="inlineStr">
        <is>
          <t>Eneva</t>
        </is>
      </c>
      <c r="D529" s="24" t="n">
        <v>20.09</v>
      </c>
      <c r="E529" s="24" t="inlineStr">
        <is>
          <t>04.423.567/0001-21</t>
        </is>
      </c>
      <c r="F529" s="24" t="n"/>
      <c r="G529" s="29" t="inlineStr">
        <is>
          <t>0,00</t>
        </is>
      </c>
      <c r="H529" s="29" t="n"/>
      <c r="I529" s="24" t="n"/>
    </row>
    <row r="530">
      <c r="A530" s="26" t="inlineStr">
        <is>
          <t>BBDC4</t>
        </is>
      </c>
      <c r="B530" s="27" t="inlineStr">
        <is>
          <t>Ação</t>
        </is>
      </c>
      <c r="C530" s="27" t="inlineStr">
        <is>
          <t>Banco Bradesco</t>
        </is>
      </c>
      <c r="D530" s="27" t="n">
        <v>19.55</v>
      </c>
      <c r="E530" s="27" t="inlineStr">
        <is>
          <t>60.746.948/0001-12</t>
        </is>
      </c>
      <c r="F530" s="27" t="n"/>
      <c r="G530" s="28" t="inlineStr">
        <is>
          <t>7,21</t>
        </is>
      </c>
      <c r="H530" s="28" t="n"/>
      <c r="I530" s="27" t="inlineStr">
        <is>
          <t>BRADESCO PN N1</t>
        </is>
      </c>
    </row>
    <row r="531">
      <c r="A531" s="23" t="inlineStr">
        <is>
          <t>B3SA3</t>
        </is>
      </c>
      <c r="B531" s="24" t="inlineStr">
        <is>
          <t>Ação</t>
        </is>
      </c>
      <c r="C531" s="24" t="inlineStr">
        <is>
          <t>B3</t>
        </is>
      </c>
      <c r="D531" s="24" t="n">
        <v>17.35</v>
      </c>
      <c r="E531" s="24" t="inlineStr">
        <is>
          <t>09.346.601/0001-25</t>
        </is>
      </c>
      <c r="F531" s="24" t="n"/>
      <c r="G531" s="29" t="inlineStr">
        <is>
          <t>3,43</t>
        </is>
      </c>
      <c r="H531" s="29" t="inlineStr">
        <is>
          <t>0,00</t>
        </is>
      </c>
      <c r="I531" s="24" t="n"/>
    </row>
    <row r="532">
      <c r="A532" s="26" t="inlineStr">
        <is>
          <t>BEEF3</t>
        </is>
      </c>
      <c r="B532" s="27" t="inlineStr">
        <is>
          <t>Ação</t>
        </is>
      </c>
      <c r="C532" s="27" t="inlineStr">
        <is>
          <t>Minerva</t>
        </is>
      </c>
      <c r="D532" s="27" t="n">
        <v>4.5</v>
      </c>
      <c r="E532" s="27" t="inlineStr">
        <is>
          <t>67.620.377/0001-14</t>
        </is>
      </c>
      <c r="F532" s="27" t="n"/>
      <c r="G532" s="28" t="inlineStr">
        <is>
          <t>3,64</t>
        </is>
      </c>
      <c r="H532" s="28" t="n"/>
      <c r="I532" s="27" t="n"/>
    </row>
    <row r="533">
      <c r="A533" s="23" t="inlineStr">
        <is>
          <t>PCAR3</t>
        </is>
      </c>
      <c r="B533" s="24" t="inlineStr">
        <is>
          <t>Ação</t>
        </is>
      </c>
      <c r="C533" s="24" t="inlineStr">
        <is>
          <t>Grupo PÃ£o de AÃ§Ãºcar</t>
        </is>
      </c>
      <c r="D533" s="24" t="n">
        <v>2.88</v>
      </c>
      <c r="E533" s="24" t="inlineStr">
        <is>
          <t>47.508.411/0001-56</t>
        </is>
      </c>
      <c r="F533" s="24" t="n"/>
      <c r="G533" s="29" t="inlineStr">
        <is>
          <t>0,00</t>
        </is>
      </c>
      <c r="H533" s="29" t="n"/>
      <c r="I533" s="24" t="n"/>
    </row>
    <row r="534">
      <c r="A534" s="26" t="inlineStr">
        <is>
          <t>MGLU3</t>
        </is>
      </c>
      <c r="B534" s="27" t="inlineStr">
        <is>
          <t>Ação</t>
        </is>
      </c>
      <c r="C534" s="27" t="inlineStr">
        <is>
          <t>Magazine Luiza</t>
        </is>
      </c>
      <c r="D534" s="27" t="n">
        <v>9.33</v>
      </c>
      <c r="E534" s="27" t="inlineStr">
        <is>
          <t>47.960.950/0001-21</t>
        </is>
      </c>
      <c r="F534" s="27" t="n"/>
      <c r="G534" s="28" t="inlineStr">
        <is>
          <t>3,33</t>
        </is>
      </c>
      <c r="H534" s="28" t="n"/>
      <c r="I534" s="27" t="n"/>
    </row>
    <row r="535">
      <c r="A535" s="23" t="inlineStr">
        <is>
          <t>CSAN3</t>
        </is>
      </c>
      <c r="B535" s="24" t="inlineStr">
        <is>
          <t>Ação</t>
        </is>
      </c>
      <c r="C535" s="24" t="inlineStr">
        <is>
          <t>Cosan</t>
        </is>
      </c>
      <c r="D535" s="24" t="n">
        <v>5.59</v>
      </c>
      <c r="E535" s="24" t="inlineStr">
        <is>
          <t>50.746.577/0001-15</t>
        </is>
      </c>
      <c r="F535" s="24" t="n"/>
      <c r="G535" s="29" t="inlineStr">
        <is>
          <t>0,00</t>
        </is>
      </c>
      <c r="H535" s="29" t="n"/>
      <c r="I535" s="24" t="n"/>
    </row>
    <row r="536">
      <c r="A536" s="26" t="inlineStr">
        <is>
          <t>BPAC11</t>
        </is>
      </c>
      <c r="B536" s="27" t="inlineStr">
        <is>
          <t>Ação</t>
        </is>
      </c>
      <c r="C536" s="27" t="inlineStr">
        <is>
          <t>Banco BTG Pactual</t>
        </is>
      </c>
      <c r="D536" s="27" t="n">
        <v>56</v>
      </c>
      <c r="E536" s="27" t="inlineStr">
        <is>
          <t>30.306.294/0001-45</t>
        </is>
      </c>
      <c r="F536" s="27" t="n"/>
      <c r="G536" s="28" t="inlineStr">
        <is>
          <t>2,18</t>
        </is>
      </c>
      <c r="H536" s="28" t="n"/>
      <c r="I536" s="27" t="n"/>
    </row>
    <row r="537">
      <c r="A537" s="23" t="inlineStr">
        <is>
          <t>ASAI3</t>
        </is>
      </c>
      <c r="B537" s="24" t="inlineStr">
        <is>
          <t>Ação</t>
        </is>
      </c>
      <c r="C537" s="24" t="inlineStr">
        <is>
          <t>AssaÃ­</t>
        </is>
      </c>
      <c r="D537" s="24" t="n">
        <v>8.19</v>
      </c>
      <c r="E537" s="24" t="inlineStr">
        <is>
          <t>06.057.223/0001-71</t>
        </is>
      </c>
      <c r="F537" s="24" t="n"/>
      <c r="G537" s="29" t="inlineStr">
        <is>
          <t>1,46</t>
        </is>
      </c>
      <c r="H537" s="29" t="n"/>
      <c r="I537" s="24" t="n"/>
    </row>
    <row r="538">
      <c r="A538" s="26" t="inlineStr">
        <is>
          <t>ABEV3</t>
        </is>
      </c>
      <c r="B538" s="27" t="inlineStr">
        <is>
          <t>Ação</t>
        </is>
      </c>
      <c r="C538" s="27" t="inlineStr">
        <is>
          <t>Ambev</t>
        </is>
      </c>
      <c r="D538" s="27" t="n">
        <v>15.23</v>
      </c>
      <c r="E538" s="27" t="inlineStr">
        <is>
          <t>07.526.557/0001-00</t>
        </is>
      </c>
      <c r="F538" s="27" t="n"/>
      <c r="G538" s="28" t="inlineStr">
        <is>
          <t>7,29</t>
        </is>
      </c>
      <c r="H538" s="28" t="n"/>
      <c r="I538" s="27" t="n"/>
    </row>
    <row r="539">
      <c r="A539" s="23" t="inlineStr">
        <is>
          <t>MOTV3</t>
        </is>
      </c>
      <c r="B539" s="24" t="inlineStr">
        <is>
          <t>Ação</t>
        </is>
      </c>
      <c r="C539" s="24" t="inlineStr">
        <is>
          <t>Motiva</t>
        </is>
      </c>
      <c r="D539" s="24" t="n">
        <v>15.59</v>
      </c>
      <c r="E539" s="24" t="inlineStr">
        <is>
          <t>02.846.056/0001-97</t>
        </is>
      </c>
      <c r="F539" s="24" t="n"/>
      <c r="G539" s="29" t="inlineStr">
        <is>
          <t>3,06</t>
        </is>
      </c>
      <c r="H539" s="29" t="n"/>
      <c r="I539" s="24" t="n"/>
    </row>
    <row r="540">
      <c r="A540" s="26" t="inlineStr">
        <is>
          <t>RAIL3</t>
        </is>
      </c>
      <c r="B540" s="27" t="inlineStr">
        <is>
          <t>Ação</t>
        </is>
      </c>
      <c r="C540" s="27" t="inlineStr">
        <is>
          <t>Rumo</t>
        </is>
      </c>
      <c r="D540" s="27" t="n">
        <v>15.48</v>
      </c>
      <c r="E540" s="27" t="inlineStr">
        <is>
          <t>02.387.241/0001-60</t>
        </is>
      </c>
      <c r="F540" s="27" t="n"/>
      <c r="G540" s="28" t="inlineStr">
        <is>
          <t>5,21</t>
        </is>
      </c>
      <c r="H540" s="28" t="n"/>
      <c r="I540" s="27" t="n"/>
    </row>
    <row r="541">
      <c r="A541" s="23" t="inlineStr">
        <is>
          <t>LREN3</t>
        </is>
      </c>
      <c r="B541" s="24" t="inlineStr">
        <is>
          <t>Ação</t>
        </is>
      </c>
      <c r="C541" s="24" t="inlineStr">
        <is>
          <t>Lojas Renner</t>
        </is>
      </c>
      <c r="D541" s="24" t="n">
        <v>14.77</v>
      </c>
      <c r="E541" s="24" t="inlineStr">
        <is>
          <t>92.754.738/0001-62</t>
        </is>
      </c>
      <c r="F541" s="24" t="n"/>
      <c r="G541" s="29" t="inlineStr">
        <is>
          <t>5,69</t>
        </is>
      </c>
      <c r="H541" s="29" t="n"/>
      <c r="I541" s="24" t="n"/>
    </row>
    <row r="542">
      <c r="A542" s="26" t="inlineStr">
        <is>
          <t>CPLE6</t>
        </is>
      </c>
      <c r="B542" s="27" t="inlineStr">
        <is>
          <t>Ação</t>
        </is>
      </c>
      <c r="C542" s="27" t="inlineStr">
        <is>
          <t>Copel</t>
        </is>
      </c>
      <c r="D542" s="27" t="n"/>
      <c r="E542" s="27" t="inlineStr">
        <is>
          <t>76.483.817/0001-20</t>
        </is>
      </c>
      <c r="F542" s="27" t="n"/>
      <c r="G542" s="28" t="inlineStr">
        <is>
          <t>3,08</t>
        </is>
      </c>
      <c r="H542" s="28" t="n"/>
      <c r="I542" s="27" t="n"/>
    </row>
    <row r="543">
      <c r="A543" s="23" t="inlineStr">
        <is>
          <t>PETR3</t>
        </is>
      </c>
      <c r="B543" s="24" t="inlineStr">
        <is>
          <t>Ação</t>
        </is>
      </c>
      <c r="C543" s="24" t="inlineStr">
        <is>
          <t>Petrobras</t>
        </is>
      </c>
      <c r="D543" s="24" t="n">
        <v>45.78</v>
      </c>
      <c r="E543" s="24" t="inlineStr">
        <is>
          <t>33.000.167/0001-01</t>
        </is>
      </c>
      <c r="F543" s="24" t="inlineStr">
        <is>
          <t>Petróleo, Gás e Biocombustíveis</t>
        </is>
      </c>
      <c r="G543" s="29" t="inlineStr">
        <is>
          <t>7,46</t>
        </is>
      </c>
      <c r="H543" s="29" t="n"/>
      <c r="I543" s="24" t="n"/>
    </row>
    <row r="544">
      <c r="A544" s="26" t="inlineStr">
        <is>
          <t>ANIM3</t>
        </is>
      </c>
      <c r="B544" s="27" t="inlineStr">
        <is>
          <t>Ação</t>
        </is>
      </c>
      <c r="C544" s="27" t="inlineStr">
        <is>
          <t>Ã‚nima EducaÃ§Ã£o</t>
        </is>
      </c>
      <c r="D544" s="27" t="n">
        <v>4.07</v>
      </c>
      <c r="E544" s="27" t="inlineStr">
        <is>
          <t>09.288.252/0001-32</t>
        </is>
      </c>
      <c r="F544" s="27" t="n"/>
      <c r="G544" s="28" t="inlineStr">
        <is>
          <t>1,32</t>
        </is>
      </c>
      <c r="H544" s="28" t="inlineStr">
        <is>
          <t>0,00</t>
        </is>
      </c>
      <c r="I544" s="27" t="n"/>
    </row>
    <row r="545">
      <c r="A545" s="23" t="inlineStr">
        <is>
          <t>VAMO3</t>
        </is>
      </c>
      <c r="B545" s="24" t="inlineStr">
        <is>
          <t>Ação</t>
        </is>
      </c>
      <c r="C545" s="24" t="inlineStr">
        <is>
          <t>Grupo Vamos</t>
        </is>
      </c>
      <c r="D545" s="24" t="n">
        <v>3.97</v>
      </c>
      <c r="E545" s="24" t="inlineStr">
        <is>
          <t>23.373.000/0001-32</t>
        </is>
      </c>
      <c r="F545" s="24" t="n"/>
      <c r="G545" s="29" t="inlineStr">
        <is>
          <t>3,29</t>
        </is>
      </c>
      <c r="H545" s="29" t="n"/>
      <c r="I545" s="24" t="n"/>
    </row>
    <row r="546">
      <c r="A546" s="26" t="inlineStr">
        <is>
          <t>MRVE3</t>
        </is>
      </c>
      <c r="B546" s="27" t="inlineStr">
        <is>
          <t>Ação</t>
        </is>
      </c>
      <c r="C546" s="27" t="inlineStr">
        <is>
          <t>MRV</t>
        </is>
      </c>
      <c r="D546" s="27" t="n">
        <v>9.300000000000001</v>
      </c>
      <c r="E546" s="27" t="inlineStr">
        <is>
          <t>08.343.492/0001-20</t>
        </is>
      </c>
      <c r="F546" s="27" t="n"/>
      <c r="G546" s="28" t="inlineStr">
        <is>
          <t>0,00</t>
        </is>
      </c>
      <c r="H546" s="28" t="n"/>
      <c r="I546" s="27" t="n"/>
    </row>
    <row r="547">
      <c r="A547" s="23" t="inlineStr">
        <is>
          <t>USIM5</t>
        </is>
      </c>
      <c r="B547" s="24" t="inlineStr">
        <is>
          <t>Ação</t>
        </is>
      </c>
      <c r="C547" s="24" t="inlineStr">
        <is>
          <t>Usiminas</t>
        </is>
      </c>
      <c r="D547" s="24" t="n">
        <v>6.51</v>
      </c>
      <c r="E547" s="24" t="inlineStr">
        <is>
          <t>60.894.730/0001-05</t>
        </is>
      </c>
      <c r="F547" s="24" t="n"/>
      <c r="G547" s="29" t="inlineStr">
        <is>
          <t>0,00</t>
        </is>
      </c>
      <c r="H547" s="29" t="n"/>
      <c r="I547" s="24" t="n"/>
    </row>
    <row r="548">
      <c r="A548" s="26" t="inlineStr">
        <is>
          <t>RENT3</t>
        </is>
      </c>
      <c r="B548" s="27" t="inlineStr">
        <is>
          <t>Ação</t>
        </is>
      </c>
      <c r="C548" s="27" t="inlineStr">
        <is>
          <t>Localiza</t>
        </is>
      </c>
      <c r="D548" s="27" t="n">
        <v>45.83</v>
      </c>
      <c r="E548" s="27" t="inlineStr">
        <is>
          <t>16.670.085/0001-55</t>
        </is>
      </c>
      <c r="F548" s="27" t="n"/>
      <c r="G548" s="28" t="inlineStr">
        <is>
          <t>4,25</t>
        </is>
      </c>
      <c r="H548" s="28" t="n"/>
      <c r="I548" s="27" t="n"/>
    </row>
    <row r="549">
      <c r="A549" s="23" t="inlineStr">
        <is>
          <t>PETZ3</t>
        </is>
      </c>
      <c r="B549" s="24" t="inlineStr">
        <is>
          <t>Ação</t>
        </is>
      </c>
      <c r="C549" s="24" t="inlineStr">
        <is>
          <t>Petz</t>
        </is>
      </c>
      <c r="D549" s="24" t="n"/>
      <c r="E549" s="24" t="inlineStr">
        <is>
          <t>18.328.118/0001-09</t>
        </is>
      </c>
      <c r="F549" s="24" t="n"/>
      <c r="G549" s="29" t="inlineStr">
        <is>
          <t>0,00</t>
        </is>
      </c>
      <c r="H549" s="29" t="n"/>
      <c r="I549" s="24" t="n"/>
    </row>
    <row r="550">
      <c r="A550" s="26" t="inlineStr">
        <is>
          <t>BBDC3</t>
        </is>
      </c>
      <c r="B550" s="27" t="inlineStr">
        <is>
          <t>Ação</t>
        </is>
      </c>
      <c r="C550" s="27" t="inlineStr">
        <is>
          <t>Banco Bradesco</t>
        </is>
      </c>
      <c r="D550" s="27" t="n">
        <v>16.83</v>
      </c>
      <c r="E550" s="27" t="inlineStr">
        <is>
          <t>60.746.948/0001-12</t>
        </is>
      </c>
      <c r="F550" s="27" t="n"/>
      <c r="G550" s="28" t="inlineStr">
        <is>
          <t>7,67</t>
        </is>
      </c>
      <c r="H550" s="28" t="n"/>
      <c r="I550" s="27" t="n"/>
    </row>
    <row r="551">
      <c r="A551" s="23" t="inlineStr">
        <is>
          <t>WEGE3</t>
        </is>
      </c>
      <c r="B551" s="24" t="inlineStr">
        <is>
          <t>Ação</t>
        </is>
      </c>
      <c r="C551" s="24" t="inlineStr">
        <is>
          <t>WEG</t>
        </is>
      </c>
      <c r="D551" s="24" t="n">
        <v>46.62</v>
      </c>
      <c r="E551" s="24" t="inlineStr">
        <is>
          <t>84.429.695/0001-11</t>
        </is>
      </c>
      <c r="F551" s="24" t="n"/>
      <c r="G551" s="29" t="inlineStr">
        <is>
          <t>4,60</t>
        </is>
      </c>
      <c r="H551" s="29" t="n"/>
      <c r="I551" s="24" t="n"/>
    </row>
    <row r="552">
      <c r="A552" s="26" t="inlineStr">
        <is>
          <t>CVCB3</t>
        </is>
      </c>
      <c r="B552" s="27" t="inlineStr">
        <is>
          <t>Ação</t>
        </is>
      </c>
      <c r="C552" s="27" t="inlineStr">
        <is>
          <t>CVC</t>
        </is>
      </c>
      <c r="D552" s="27" t="n">
        <v>2.04</v>
      </c>
      <c r="E552" s="27" t="inlineStr">
        <is>
          <t>10.760.260/0001-19</t>
        </is>
      </c>
      <c r="F552" s="27" t="n"/>
      <c r="G552" s="28" t="inlineStr">
        <is>
          <t>0,00</t>
        </is>
      </c>
      <c r="H552" s="28" t="n"/>
      <c r="I552" s="27" t="n"/>
    </row>
    <row r="553">
      <c r="A553" s="23" t="inlineStr">
        <is>
          <t>AZUL4</t>
        </is>
      </c>
      <c r="B553" s="24" t="inlineStr">
        <is>
          <t>Ação</t>
        </is>
      </c>
      <c r="C553" s="24" t="inlineStr">
        <is>
          <t>Azul</t>
        </is>
      </c>
      <c r="D553" s="24" t="n"/>
      <c r="E553" s="24" t="n"/>
      <c r="F553" s="24" t="n"/>
      <c r="G553" s="29" t="inlineStr">
        <is>
          <t>0,00</t>
        </is>
      </c>
      <c r="H553" s="29" t="n"/>
      <c r="I553" s="24" t="n"/>
    </row>
    <row r="554">
      <c r="A554" s="26" t="inlineStr">
        <is>
          <t>BHIA3</t>
        </is>
      </c>
      <c r="B554" s="27" t="inlineStr">
        <is>
          <t>Ação</t>
        </is>
      </c>
      <c r="C554" s="27" t="inlineStr">
        <is>
          <t>Casas Bahia</t>
        </is>
      </c>
      <c r="D554" s="27" t="n">
        <v>2.84</v>
      </c>
      <c r="E554" s="27" t="inlineStr">
        <is>
          <t>33.041.260/0652-90</t>
        </is>
      </c>
      <c r="F554" s="27" t="n"/>
      <c r="G554" s="28" t="inlineStr">
        <is>
          <t>0,00</t>
        </is>
      </c>
      <c r="H554" s="28" t="n"/>
      <c r="I554" s="27" t="n"/>
    </row>
    <row r="555">
      <c r="A555" s="23" t="inlineStr">
        <is>
          <t>CBAV3</t>
        </is>
      </c>
      <c r="B555" s="24" t="inlineStr">
        <is>
          <t>Ação</t>
        </is>
      </c>
      <c r="C555" s="24" t="inlineStr">
        <is>
          <t>CBA</t>
        </is>
      </c>
      <c r="D555" s="24" t="n">
        <v>10.1</v>
      </c>
      <c r="E555" s="24" t="inlineStr">
        <is>
          <t>61.409.892/0001-73</t>
        </is>
      </c>
      <c r="F555" s="24" t="n"/>
      <c r="G555" s="29" t="inlineStr">
        <is>
          <t>0,00</t>
        </is>
      </c>
      <c r="H555" s="29" t="n"/>
      <c r="I555" s="24" t="n"/>
    </row>
    <row r="556">
      <c r="A556" s="26" t="inlineStr">
        <is>
          <t>CSNA3</t>
        </is>
      </c>
      <c r="B556" s="27" t="inlineStr">
        <is>
          <t>Ação</t>
        </is>
      </c>
      <c r="C556" s="27" t="inlineStr">
        <is>
          <t>SiderÃºrgica Nacional</t>
        </is>
      </c>
      <c r="D556" s="27" t="n">
        <v>7.19</v>
      </c>
      <c r="E556" s="27" t="inlineStr">
        <is>
          <t>33.042.730/0001-04</t>
        </is>
      </c>
      <c r="F556" s="27" t="inlineStr">
        <is>
          <t>Sederurgia</t>
        </is>
      </c>
      <c r="G556" s="28" t="inlineStr">
        <is>
          <t>0,00</t>
        </is>
      </c>
      <c r="H556" s="28" t="n"/>
      <c r="I556" s="27" t="n"/>
    </row>
    <row r="557">
      <c r="A557" s="23" t="inlineStr">
        <is>
          <t>LWSA3</t>
        </is>
      </c>
      <c r="B557" s="24" t="inlineStr">
        <is>
          <t>Ação</t>
        </is>
      </c>
      <c r="C557" s="24" t="inlineStr">
        <is>
          <t>Locaweb</t>
        </is>
      </c>
      <c r="D557" s="24" t="n">
        <v>3.67</v>
      </c>
      <c r="E557" s="24" t="inlineStr">
        <is>
          <t>02.351.877/0001-52</t>
        </is>
      </c>
      <c r="F557" s="24" t="n"/>
      <c r="G557" s="29" t="inlineStr">
        <is>
          <t>1,42</t>
        </is>
      </c>
      <c r="H557" s="29" t="n"/>
      <c r="I557" s="24" t="n"/>
    </row>
    <row r="558">
      <c r="A558" s="26" t="inlineStr">
        <is>
          <t>RADL3</t>
        </is>
      </c>
      <c r="B558" s="27" t="inlineStr">
        <is>
          <t>Ação</t>
        </is>
      </c>
      <c r="C558" s="27" t="inlineStr">
        <is>
          <t>RaiaDrogasil</t>
        </is>
      </c>
      <c r="D558" s="27" t="n">
        <v>23.73</v>
      </c>
      <c r="E558" s="27" t="inlineStr">
        <is>
          <t>61.585.865/0001-51</t>
        </is>
      </c>
      <c r="F558" s="27" t="n"/>
      <c r="G558" s="28" t="inlineStr">
        <is>
          <t>1,87</t>
        </is>
      </c>
      <c r="H558" s="28" t="n"/>
      <c r="I558" s="27" t="n"/>
    </row>
    <row r="559">
      <c r="A559" s="23" t="inlineStr">
        <is>
          <t>RAPT4</t>
        </is>
      </c>
      <c r="B559" s="24" t="inlineStr">
        <is>
          <t>Ação</t>
        </is>
      </c>
      <c r="C559" s="24" t="inlineStr">
        <is>
          <t>Randon</t>
        </is>
      </c>
      <c r="D559" s="24" t="n">
        <v>6</v>
      </c>
      <c r="E559" s="24" t="inlineStr">
        <is>
          <t>89.086.144/0001-16</t>
        </is>
      </c>
      <c r="F559" s="24" t="n"/>
      <c r="G559" s="29" t="inlineStr">
        <is>
          <t>0,75</t>
        </is>
      </c>
      <c r="H559" s="29" t="n"/>
      <c r="I559" s="24" t="n"/>
    </row>
    <row r="560">
      <c r="A560" s="26" t="inlineStr">
        <is>
          <t>BRFS3</t>
        </is>
      </c>
      <c r="B560" s="27" t="inlineStr">
        <is>
          <t>Ação</t>
        </is>
      </c>
      <c r="C560" s="27" t="inlineStr">
        <is>
          <t>BRF</t>
        </is>
      </c>
      <c r="D560" s="27" t="n"/>
      <c r="E560" s="27" t="inlineStr">
        <is>
          <t>01.838.723/0001-27</t>
        </is>
      </c>
      <c r="F560" s="27" t="n"/>
      <c r="G560" s="28" t="inlineStr">
        <is>
          <t>11,62</t>
        </is>
      </c>
      <c r="H560" s="28" t="n"/>
      <c r="I560" s="27" t="n"/>
    </row>
    <row r="561">
      <c r="A561" s="23" t="inlineStr">
        <is>
          <t>EQTL3</t>
        </is>
      </c>
      <c r="B561" s="24" t="inlineStr">
        <is>
          <t>Ação</t>
        </is>
      </c>
      <c r="C561" s="24" t="inlineStr">
        <is>
          <t>Equatorial Energia</t>
        </is>
      </c>
      <c r="D561" s="24" t="n">
        <v>40.47</v>
      </c>
      <c r="E561" s="24" t="inlineStr">
        <is>
          <t>03.220.438/0001-73</t>
        </is>
      </c>
      <c r="F561" s="24" t="n"/>
      <c r="G561" s="29" t="inlineStr">
        <is>
          <t>5,64</t>
        </is>
      </c>
      <c r="H561" s="29" t="n"/>
      <c r="I561" s="24" t="n"/>
    </row>
    <row r="562">
      <c r="A562" s="26" t="inlineStr">
        <is>
          <t>BRAV3</t>
        </is>
      </c>
      <c r="B562" s="27" t="inlineStr">
        <is>
          <t>Ação</t>
        </is>
      </c>
      <c r="C562" s="27" t="inlineStr">
        <is>
          <t>3R Petroleum</t>
        </is>
      </c>
      <c r="D562" s="27" t="n">
        <v>19.73</v>
      </c>
      <c r="E562" s="27" t="inlineStr">
        <is>
          <t>12.091.809/0001-55</t>
        </is>
      </c>
      <c r="F562" s="27" t="n"/>
      <c r="G562" s="28" t="inlineStr">
        <is>
          <t>0,00</t>
        </is>
      </c>
      <c r="H562" s="28" t="n"/>
      <c r="I562" s="27" t="n"/>
    </row>
    <row r="563">
      <c r="A563" s="23" t="inlineStr">
        <is>
          <t>GGBR4</t>
        </is>
      </c>
      <c r="B563" s="24" t="inlineStr">
        <is>
          <t>Ação</t>
        </is>
      </c>
      <c r="C563" s="24" t="inlineStr">
        <is>
          <t>Gerdau</t>
        </is>
      </c>
      <c r="D563" s="24" t="n">
        <v>18.9</v>
      </c>
      <c r="E563" s="24" t="inlineStr">
        <is>
          <t>33.611.500/0001-19</t>
        </is>
      </c>
      <c r="F563" s="24" t="n"/>
      <c r="G563" s="29" t="inlineStr">
        <is>
          <t>2,69</t>
        </is>
      </c>
      <c r="H563" s="29" t="n"/>
      <c r="I563" s="24" t="n"/>
    </row>
    <row r="564">
      <c r="A564" s="26" t="inlineStr">
        <is>
          <t>PRIO3</t>
        </is>
      </c>
      <c r="B564" s="27" t="inlineStr">
        <is>
          <t>Ação</t>
        </is>
      </c>
      <c r="C564" s="27" t="inlineStr">
        <is>
          <t>PetroRio</t>
        </is>
      </c>
      <c r="D564" s="27" t="n">
        <v>59.39</v>
      </c>
      <c r="E564" s="27" t="inlineStr">
        <is>
          <t>10.629.105/0001-68</t>
        </is>
      </c>
      <c r="F564" s="27" t="n"/>
      <c r="G564" s="28" t="inlineStr">
        <is>
          <t>0,00</t>
        </is>
      </c>
      <c r="H564" s="28" t="n"/>
      <c r="I564" s="27" t="n"/>
    </row>
    <row r="565">
      <c r="A565" s="23" t="inlineStr">
        <is>
          <t>VBBR3</t>
        </is>
      </c>
      <c r="B565" s="24" t="inlineStr">
        <is>
          <t>Ação</t>
        </is>
      </c>
      <c r="C565" s="24" t="inlineStr">
        <is>
          <t>Vibra Energia</t>
        </is>
      </c>
      <c r="D565" s="24" t="n">
        <v>30.56</v>
      </c>
      <c r="E565" s="24" t="inlineStr">
        <is>
          <t>34.274.233/0001-02</t>
        </is>
      </c>
      <c r="F565" s="24" t="n"/>
      <c r="G565" s="29" t="inlineStr">
        <is>
          <t>5,30</t>
        </is>
      </c>
      <c r="H565" s="29" t="n"/>
      <c r="I565" s="24" t="n"/>
    </row>
    <row r="566">
      <c r="A566" s="26" t="inlineStr">
        <is>
          <t>ELET3</t>
        </is>
      </c>
      <c r="B566" s="27" t="inlineStr">
        <is>
          <t>Ação</t>
        </is>
      </c>
      <c r="C566" s="27" t="inlineStr">
        <is>
          <t>Eletrobras</t>
        </is>
      </c>
      <c r="D566" s="27" t="n"/>
      <c r="E566" s="27" t="n"/>
      <c r="F566" s="27" t="n"/>
      <c r="G566" s="28" t="inlineStr">
        <is>
          <t>0,00</t>
        </is>
      </c>
      <c r="H566" s="28" t="n"/>
      <c r="I566" s="27" t="n"/>
    </row>
    <row r="567">
      <c r="A567" s="23" t="inlineStr">
        <is>
          <t>TIMS3</t>
        </is>
      </c>
      <c r="B567" s="24" t="inlineStr">
        <is>
          <t>Ação</t>
        </is>
      </c>
      <c r="C567" s="24" t="inlineStr">
        <is>
          <t>TIM</t>
        </is>
      </c>
      <c r="D567" s="24" t="n">
        <v>26.66</v>
      </c>
      <c r="E567" s="24" t="inlineStr">
        <is>
          <t>02.421.421/0001-11</t>
        </is>
      </c>
      <c r="F567" s="24" t="n"/>
      <c r="G567" s="29" t="inlineStr">
        <is>
          <t>9,08</t>
        </is>
      </c>
      <c r="H567" s="29" t="n"/>
      <c r="I567" s="24" t="n"/>
    </row>
    <row r="568">
      <c r="A568" s="26" t="inlineStr">
        <is>
          <t>BBSE3</t>
        </is>
      </c>
      <c r="B568" s="27" t="inlineStr">
        <is>
          <t>Ação</t>
        </is>
      </c>
      <c r="C568" s="27" t="inlineStr">
        <is>
          <t>BB Seguridade</t>
        </is>
      </c>
      <c r="D568" s="27" t="n">
        <v>34.2</v>
      </c>
      <c r="E568" s="27" t="inlineStr">
        <is>
          <t>17.344.597/0001-94</t>
        </is>
      </c>
      <c r="F568" s="27" t="n"/>
      <c r="G568" s="28" t="inlineStr">
        <is>
          <t>13,49</t>
        </is>
      </c>
      <c r="H568" s="28" t="n"/>
      <c r="I568" s="27" t="n"/>
    </row>
    <row r="569">
      <c r="A569" s="23" t="inlineStr">
        <is>
          <t>GOAU4</t>
        </is>
      </c>
      <c r="B569" s="24" t="inlineStr">
        <is>
          <t>Ação</t>
        </is>
      </c>
      <c r="C569" s="24" t="inlineStr">
        <is>
          <t>MetalÃºrgica Gerdau</t>
        </is>
      </c>
      <c r="D569" s="24" t="n">
        <v>8.539999999999999</v>
      </c>
      <c r="E569" s="24" t="inlineStr">
        <is>
          <t>92.690.783/0001-09</t>
        </is>
      </c>
      <c r="F569" s="24" t="n"/>
      <c r="G569" s="29" t="inlineStr">
        <is>
          <t>4,05</t>
        </is>
      </c>
      <c r="H569" s="29" t="n"/>
      <c r="I569" s="24" t="n"/>
    </row>
    <row r="570">
      <c r="A570" s="26" t="inlineStr">
        <is>
          <t>SIMH3</t>
        </is>
      </c>
      <c r="B570" s="27" t="inlineStr">
        <is>
          <t>Ação</t>
        </is>
      </c>
      <c r="C570" s="27" t="inlineStr">
        <is>
          <t>Simpar</t>
        </is>
      </c>
      <c r="D570" s="27" t="n">
        <v>11.32</v>
      </c>
      <c r="E570" s="27" t="inlineStr">
        <is>
          <t>07.415.333/0001-20</t>
        </is>
      </c>
      <c r="F570" s="27" t="n"/>
      <c r="G570" s="28" t="inlineStr">
        <is>
          <t>1,19</t>
        </is>
      </c>
      <c r="H570" s="28" t="n"/>
      <c r="I570" s="27" t="n"/>
    </row>
    <row r="571">
      <c r="A571" s="23" t="inlineStr">
        <is>
          <t>CMIN3</t>
        </is>
      </c>
      <c r="B571" s="24" t="inlineStr">
        <is>
          <t>Ação</t>
        </is>
      </c>
      <c r="C571" s="24" t="inlineStr">
        <is>
          <t>CSN MineraÃ§Ã£o</t>
        </is>
      </c>
      <c r="D571" s="24" t="n">
        <v>4.9</v>
      </c>
      <c r="E571" s="24" t="inlineStr">
        <is>
          <t>08.902.291/0001-15</t>
        </is>
      </c>
      <c r="F571" s="24" t="n"/>
      <c r="G571" s="29" t="inlineStr">
        <is>
          <t>9,89</t>
        </is>
      </c>
      <c r="H571" s="29" t="inlineStr">
        <is>
          <t>0,00</t>
        </is>
      </c>
      <c r="I571" s="24" t="n"/>
    </row>
    <row r="572">
      <c r="A572" s="26" t="inlineStr">
        <is>
          <t>UGPA3</t>
        </is>
      </c>
      <c r="B572" s="27" t="inlineStr">
        <is>
          <t>Ação</t>
        </is>
      </c>
      <c r="C572" s="27" t="inlineStr">
        <is>
          <t>Ultrapar</t>
        </is>
      </c>
      <c r="D572" s="27" t="n">
        <v>26.43</v>
      </c>
      <c r="E572" s="27" t="inlineStr">
        <is>
          <t>33.256.439/0001-39</t>
        </is>
      </c>
      <c r="F572" s="27" t="n"/>
      <c r="G572" s="28" t="inlineStr">
        <is>
          <t>6,73</t>
        </is>
      </c>
      <c r="H572" s="28" t="n"/>
      <c r="I572" s="27" t="n"/>
    </row>
    <row r="573">
      <c r="A573" s="23" t="inlineStr">
        <is>
          <t>HAPV3</t>
        </is>
      </c>
      <c r="B573" s="24" t="inlineStr">
        <is>
          <t>Ação</t>
        </is>
      </c>
      <c r="C573" s="24" t="inlineStr">
        <is>
          <t>Hapvida</t>
        </is>
      </c>
      <c r="D573" s="24" t="n">
        <v>9.58</v>
      </c>
      <c r="E573" s="24" t="inlineStr">
        <is>
          <t>05.197.443/0001-38</t>
        </is>
      </c>
      <c r="F573" s="24" t="n"/>
      <c r="G573" s="29" t="inlineStr">
        <is>
          <t>0,00</t>
        </is>
      </c>
      <c r="H573" s="29" t="n"/>
      <c r="I573" s="24" t="n"/>
    </row>
    <row r="574">
      <c r="A574" s="26" t="inlineStr">
        <is>
          <t>CSMG3</t>
        </is>
      </c>
      <c r="B574" s="27" t="inlineStr">
        <is>
          <t>Ação</t>
        </is>
      </c>
      <c r="C574" s="27" t="inlineStr">
        <is>
          <t>COPASA</t>
        </is>
      </c>
      <c r="D574" s="27" t="n">
        <v>52.17</v>
      </c>
      <c r="E574" s="27" t="inlineStr">
        <is>
          <t>17.281.106/0001-03</t>
        </is>
      </c>
      <c r="F574" s="27" t="n"/>
      <c r="G574" s="28" t="inlineStr">
        <is>
          <t>3,43</t>
        </is>
      </c>
      <c r="H574" s="28" t="n"/>
      <c r="I574" s="27" t="n"/>
    </row>
    <row r="575">
      <c r="A575" s="23" t="inlineStr">
        <is>
          <t>CEAB3</t>
        </is>
      </c>
      <c r="B575" s="24" t="inlineStr">
        <is>
          <t>Ação</t>
        </is>
      </c>
      <c r="C575" s="24" t="inlineStr">
        <is>
          <t>C&amp;A</t>
        </is>
      </c>
      <c r="D575" s="24" t="n">
        <v>11.8</v>
      </c>
      <c r="E575" s="24" t="inlineStr">
        <is>
          <t>45.242.914/0001-05</t>
        </is>
      </c>
      <c r="F575" s="24" t="n"/>
      <c r="G575" s="29" t="inlineStr">
        <is>
          <t>7,15</t>
        </is>
      </c>
      <c r="H575" s="29" t="n"/>
      <c r="I575" s="24" t="n"/>
    </row>
    <row r="576">
      <c r="A576" s="26" t="inlineStr">
        <is>
          <t>MOVI3</t>
        </is>
      </c>
      <c r="B576" s="27" t="inlineStr">
        <is>
          <t>Ação</t>
        </is>
      </c>
      <c r="C576" s="27" t="inlineStr">
        <is>
          <t>Movida</t>
        </is>
      </c>
      <c r="D576" s="27" t="n">
        <v>12.28</v>
      </c>
      <c r="E576" s="27" t="inlineStr">
        <is>
          <t>21.314.559/0001-66</t>
        </is>
      </c>
      <c r="F576" s="27" t="n"/>
      <c r="G576" s="28" t="inlineStr">
        <is>
          <t>5,82</t>
        </is>
      </c>
      <c r="H576" s="28" t="n"/>
      <c r="I576" s="27" t="n"/>
    </row>
    <row r="577">
      <c r="A577" s="23" t="inlineStr">
        <is>
          <t>SUZB3</t>
        </is>
      </c>
      <c r="B577" s="24" t="inlineStr">
        <is>
          <t>Ação</t>
        </is>
      </c>
      <c r="C577" s="24" t="inlineStr">
        <is>
          <t>Suzano</t>
        </is>
      </c>
      <c r="D577" s="24" t="n">
        <v>54.92</v>
      </c>
      <c r="E577" s="24" t="inlineStr">
        <is>
          <t>16.404.287/0001-55</t>
        </is>
      </c>
      <c r="F577" s="24" t="n"/>
      <c r="G577" s="29" t="inlineStr">
        <is>
          <t>2,00</t>
        </is>
      </c>
      <c r="H577" s="29" t="n"/>
      <c r="I577" s="24" t="n"/>
    </row>
    <row r="578">
      <c r="A578" s="26" t="inlineStr">
        <is>
          <t>AURE3</t>
        </is>
      </c>
      <c r="B578" s="27" t="inlineStr">
        <is>
          <t>Ação</t>
        </is>
      </c>
      <c r="C578" s="27" t="inlineStr">
        <is>
          <t>Auren Energia</t>
        </is>
      </c>
      <c r="D578" s="27" t="n">
        <v>11.88</v>
      </c>
      <c r="E578" s="27" t="inlineStr">
        <is>
          <t>28.594.234/0001-23</t>
        </is>
      </c>
      <c r="F578" s="27" t="n"/>
      <c r="G578" s="28" t="inlineStr">
        <is>
          <t>0,48</t>
        </is>
      </c>
      <c r="H578" s="28" t="inlineStr">
        <is>
          <t>0,00</t>
        </is>
      </c>
      <c r="I578" s="27" t="n"/>
    </row>
    <row r="579">
      <c r="A579" s="23" t="inlineStr">
        <is>
          <t>ONCO3</t>
        </is>
      </c>
      <c r="B579" s="24" t="inlineStr">
        <is>
          <t>Ação</t>
        </is>
      </c>
      <c r="C579" s="24" t="inlineStr">
        <is>
          <t>OncoclÃ­nicas</t>
        </is>
      </c>
      <c r="D579" s="24" t="n">
        <v>2.15</v>
      </c>
      <c r="E579" s="24" t="inlineStr">
        <is>
          <t>12.104.241/0004-02</t>
        </is>
      </c>
      <c r="F579" s="24" t="n"/>
      <c r="G579" s="29" t="inlineStr">
        <is>
          <t>0,00</t>
        </is>
      </c>
      <c r="H579" s="29" t="n"/>
      <c r="I579" s="24" t="n"/>
    </row>
    <row r="580">
      <c r="A580" s="26" t="inlineStr">
        <is>
          <t>EMBR3</t>
        </is>
      </c>
      <c r="B580" s="27" t="inlineStr">
        <is>
          <t>Ação</t>
        </is>
      </c>
      <c r="C580" s="27" t="inlineStr">
        <is>
          <t>Embraer</t>
        </is>
      </c>
      <c r="D580" s="27" t="n"/>
      <c r="E580" s="27" t="n"/>
      <c r="F580" s="27" t="n"/>
      <c r="G580" s="28" t="inlineStr">
        <is>
          <t>0,00</t>
        </is>
      </c>
      <c r="H580" s="28" t="n"/>
      <c r="I580" s="27" t="n"/>
    </row>
    <row r="581">
      <c r="A581" s="23" t="inlineStr">
        <is>
          <t>ECOR3</t>
        </is>
      </c>
      <c r="B581" s="24" t="inlineStr">
        <is>
          <t>Ação</t>
        </is>
      </c>
      <c r="C581" s="24" t="inlineStr">
        <is>
          <t>EcoRodovias</t>
        </is>
      </c>
      <c r="D581" s="24" t="n">
        <v>9.56</v>
      </c>
      <c r="E581" s="24" t="inlineStr">
        <is>
          <t>04.149.454/0001-80</t>
        </is>
      </c>
      <c r="F581" s="24" t="n"/>
      <c r="G581" s="29" t="inlineStr">
        <is>
          <t>3,17</t>
        </is>
      </c>
      <c r="H581" s="29" t="n"/>
      <c r="I581" s="24" t="n"/>
    </row>
    <row r="582">
      <c r="A582" s="26" t="inlineStr">
        <is>
          <t>GMAT3</t>
        </is>
      </c>
      <c r="B582" s="27" t="inlineStr">
        <is>
          <t>Ação</t>
        </is>
      </c>
      <c r="C582" s="27" t="inlineStr">
        <is>
          <t>Grupo Mateus</t>
        </is>
      </c>
      <c r="D582" s="27" t="n">
        <v>5.25</v>
      </c>
      <c r="E582" s="27" t="inlineStr">
        <is>
          <t>24.990.777/0001-09</t>
        </is>
      </c>
      <c r="F582" s="27" t="n"/>
      <c r="G582" s="28" t="inlineStr">
        <is>
          <t>4,86</t>
        </is>
      </c>
      <c r="H582" s="28" t="n"/>
      <c r="I582" s="27" t="n"/>
    </row>
    <row r="583">
      <c r="A583" s="23" t="inlineStr">
        <is>
          <t>VIVT3</t>
        </is>
      </c>
      <c r="B583" s="24" t="inlineStr">
        <is>
          <t>Ação</t>
        </is>
      </c>
      <c r="C583" s="24" t="inlineStr">
        <is>
          <t>Vivo</t>
        </is>
      </c>
      <c r="D583" s="24" t="n">
        <v>41.47</v>
      </c>
      <c r="E583" s="24" t="inlineStr">
        <is>
          <t>02.558.157/0001-62</t>
        </is>
      </c>
      <c r="F583" s="24" t="n"/>
      <c r="G583" s="29" t="inlineStr">
        <is>
          <t>2,77</t>
        </is>
      </c>
      <c r="H583" s="29" t="n"/>
      <c r="I583" s="24" t="n"/>
    </row>
    <row r="584">
      <c r="A584" s="26" t="inlineStr">
        <is>
          <t>ALOS3</t>
        </is>
      </c>
      <c r="B584" s="27" t="inlineStr">
        <is>
          <t>Ação</t>
        </is>
      </c>
      <c r="C584" s="27" t="inlineStr">
        <is>
          <t>Allos</t>
        </is>
      </c>
      <c r="D584" s="27" t="n">
        <v>30.68</v>
      </c>
      <c r="E584" s="27" t="inlineStr">
        <is>
          <t>05.878.397/0001-32</t>
        </is>
      </c>
      <c r="F584" s="27" t="n"/>
      <c r="G584" s="28" t="inlineStr">
        <is>
          <t>6,38</t>
        </is>
      </c>
      <c r="H584" s="28" t="n"/>
      <c r="I584" s="27" t="n"/>
    </row>
    <row r="585">
      <c r="A585" s="23" t="inlineStr">
        <is>
          <t>YDUQ3</t>
        </is>
      </c>
      <c r="B585" s="24" t="inlineStr">
        <is>
          <t>Ação</t>
        </is>
      </c>
      <c r="C585" s="24" t="inlineStr">
        <is>
          <t>YDUQS</t>
        </is>
      </c>
      <c r="D585" s="24" t="n">
        <v>11.87</v>
      </c>
      <c r="E585" s="24" t="inlineStr">
        <is>
          <t>08.807.432/0001-10</t>
        </is>
      </c>
      <c r="F585" s="24" t="n"/>
      <c r="G585" s="29" t="inlineStr">
        <is>
          <t>9,60</t>
        </is>
      </c>
      <c r="H585" s="29" t="n"/>
      <c r="I585" s="24" t="n"/>
    </row>
    <row r="586">
      <c r="A586" s="26" t="inlineStr">
        <is>
          <t>BRKM5</t>
        </is>
      </c>
      <c r="B586" s="27" t="inlineStr">
        <is>
          <t>Ação</t>
        </is>
      </c>
      <c r="C586" s="27" t="inlineStr">
        <is>
          <t>Braskem</t>
        </is>
      </c>
      <c r="D586" s="27" t="n">
        <v>12.5</v>
      </c>
      <c r="E586" s="27" t="inlineStr">
        <is>
          <t>42.150.391/0001-70</t>
        </is>
      </c>
      <c r="F586" s="27" t="n"/>
      <c r="G586" s="28" t="inlineStr">
        <is>
          <t>0,00</t>
        </is>
      </c>
      <c r="H586" s="28" t="n"/>
      <c r="I586" s="27" t="n"/>
    </row>
    <row r="587">
      <c r="A587" s="23" t="inlineStr">
        <is>
          <t>SRNA3</t>
        </is>
      </c>
      <c r="B587" s="24" t="inlineStr">
        <is>
          <t>Ação</t>
        </is>
      </c>
      <c r="C587" s="24" t="inlineStr">
        <is>
          <t>Serena Energia</t>
        </is>
      </c>
      <c r="D587" s="24" t="n"/>
      <c r="E587" s="24" t="inlineStr">
        <is>
          <t>42.500.384/0001-51</t>
        </is>
      </c>
      <c r="F587" s="24" t="n"/>
      <c r="G587" s="29" t="inlineStr">
        <is>
          <t>0,00</t>
        </is>
      </c>
      <c r="H587" s="29" t="n"/>
      <c r="I587" s="24" t="n"/>
    </row>
    <row r="588">
      <c r="A588" s="26" t="inlineStr">
        <is>
          <t>MULT3</t>
        </is>
      </c>
      <c r="B588" s="27" t="inlineStr">
        <is>
          <t>Ação</t>
        </is>
      </c>
      <c r="C588" s="27" t="inlineStr">
        <is>
          <t>Multiplan</t>
        </is>
      </c>
      <c r="D588" s="27" t="n">
        <v>31.93</v>
      </c>
      <c r="E588" s="27" t="inlineStr">
        <is>
          <t>07.816.890/0001-53</t>
        </is>
      </c>
      <c r="F588" s="27" t="n"/>
      <c r="G588" s="28" t="inlineStr">
        <is>
          <t>3,16</t>
        </is>
      </c>
      <c r="H588" s="28" t="n"/>
      <c r="I588" s="27" t="n"/>
    </row>
    <row r="589">
      <c r="A589" s="23" t="inlineStr">
        <is>
          <t>KLBN11</t>
        </is>
      </c>
      <c r="B589" s="24" t="inlineStr">
        <is>
          <t>Ação</t>
        </is>
      </c>
      <c r="C589" s="24" t="inlineStr">
        <is>
          <t>Klabin</t>
        </is>
      </c>
      <c r="D589" s="24" t="n">
        <v>19.53</v>
      </c>
      <c r="E589" s="24" t="inlineStr">
        <is>
          <t>89.637.490/0001-45</t>
        </is>
      </c>
      <c r="F589" s="24" t="n"/>
      <c r="G589" s="29" t="inlineStr">
        <is>
          <t>7,23</t>
        </is>
      </c>
      <c r="H589" s="29" t="n"/>
      <c r="I589" s="24" t="n"/>
    </row>
    <row r="590">
      <c r="A590" s="26" t="inlineStr">
        <is>
          <t>RDOR3</t>
        </is>
      </c>
      <c r="B590" s="27" t="inlineStr">
        <is>
          <t>Ação</t>
        </is>
      </c>
      <c r="C590" s="27" t="inlineStr">
        <is>
          <t>Rede D'Or</t>
        </is>
      </c>
      <c r="D590" s="27" t="n">
        <v>38.41</v>
      </c>
      <c r="E590" s="27" t="inlineStr">
        <is>
          <t>06.047.087/0001-39</t>
        </is>
      </c>
      <c r="F590" s="27" t="n"/>
      <c r="G590" s="28" t="inlineStr">
        <is>
          <t>11,26</t>
        </is>
      </c>
      <c r="H590" s="28" t="n"/>
      <c r="I590" s="27" t="n"/>
    </row>
    <row r="591">
      <c r="A591" s="23" t="inlineStr">
        <is>
          <t>SMFT3</t>
        </is>
      </c>
      <c r="B591" s="24" t="inlineStr">
        <is>
          <t>Ação</t>
        </is>
      </c>
      <c r="C591" s="24" t="inlineStr">
        <is>
          <t>Smart Fit</t>
        </is>
      </c>
      <c r="D591" s="24" t="n">
        <v>18.8</v>
      </c>
      <c r="E591" s="24" t="inlineStr">
        <is>
          <t>07.594.978/0001-78</t>
        </is>
      </c>
      <c r="F591" s="24" t="n"/>
      <c r="G591" s="29" t="inlineStr">
        <is>
          <t>5,52</t>
        </is>
      </c>
      <c r="H591" s="29" t="n"/>
      <c r="I591" s="24" t="n"/>
    </row>
    <row r="592">
      <c r="A592" s="26" t="inlineStr">
        <is>
          <t>GGPS3</t>
        </is>
      </c>
      <c r="B592" s="27" t="inlineStr">
        <is>
          <t>Ação</t>
        </is>
      </c>
      <c r="C592" s="27" t="inlineStr">
        <is>
          <t>GPS</t>
        </is>
      </c>
      <c r="D592" s="27" t="n">
        <v>17.81</v>
      </c>
      <c r="E592" s="27" t="inlineStr">
        <is>
          <t>09.229.201/0001-30</t>
        </is>
      </c>
      <c r="F592" s="27" t="n"/>
      <c r="G592" s="28" t="inlineStr">
        <is>
          <t>3,64</t>
        </is>
      </c>
      <c r="H592" s="28" t="n"/>
      <c r="I592" s="27" t="n"/>
    </row>
    <row r="593">
      <c r="A593" s="23" t="inlineStr">
        <is>
          <t>GRND3</t>
        </is>
      </c>
      <c r="B593" s="24" t="inlineStr">
        <is>
          <t>Ação</t>
        </is>
      </c>
      <c r="C593" s="24" t="inlineStr">
        <is>
          <t>Grendene</t>
        </is>
      </c>
      <c r="D593" s="24" t="n">
        <v>4.57</v>
      </c>
      <c r="E593" s="24" t="inlineStr">
        <is>
          <t>89.850.341/0001-60</t>
        </is>
      </c>
      <c r="F593" s="24" t="n"/>
      <c r="G593" s="29" t="inlineStr">
        <is>
          <t>37,19</t>
        </is>
      </c>
      <c r="H593" s="29" t="inlineStr">
        <is>
          <t>0,00</t>
        </is>
      </c>
      <c r="I593" s="24" t="n"/>
    </row>
    <row r="594">
      <c r="A594" s="26" t="inlineStr">
        <is>
          <t>MRFG3</t>
        </is>
      </c>
      <c r="B594" s="27" t="inlineStr">
        <is>
          <t>Ação</t>
        </is>
      </c>
      <c r="C594" s="27" t="inlineStr">
        <is>
          <t>Marfrig</t>
        </is>
      </c>
      <c r="D594" s="27" t="n"/>
      <c r="E594" s="27" t="n"/>
      <c r="F594" s="27" t="n"/>
      <c r="G594" s="28" t="inlineStr">
        <is>
          <t>0,00</t>
        </is>
      </c>
      <c r="H594" s="28" t="n"/>
      <c r="I594" s="27" t="n"/>
    </row>
    <row r="595">
      <c r="A595" s="23" t="inlineStr">
        <is>
          <t>TOTS3</t>
        </is>
      </c>
      <c r="B595" s="24" t="inlineStr">
        <is>
          <t>Ação</t>
        </is>
      </c>
      <c r="C595" s="24" t="inlineStr">
        <is>
          <t>Totvs</t>
        </is>
      </c>
      <c r="D595" s="24" t="n">
        <v>36.07</v>
      </c>
      <c r="E595" s="24" t="inlineStr">
        <is>
          <t>53.113.791/0001-22</t>
        </is>
      </c>
      <c r="F595" s="24" t="n"/>
      <c r="G595" s="29" t="inlineStr">
        <is>
          <t>1,66</t>
        </is>
      </c>
      <c r="H595" s="29" t="n"/>
      <c r="I595" s="24" t="n"/>
    </row>
    <row r="596">
      <c r="A596" s="26" t="inlineStr">
        <is>
          <t>IGTI11</t>
        </is>
      </c>
      <c r="B596" s="27" t="inlineStr">
        <is>
          <t>Ação</t>
        </is>
      </c>
      <c r="C596" s="27" t="inlineStr">
        <is>
          <t>Jereissati ParticipaÃ§Ãµes</t>
        </is>
      </c>
      <c r="D596" s="27" t="n">
        <v>27.41</v>
      </c>
      <c r="E596" s="27" t="inlineStr">
        <is>
          <t>60.543.816/0001-93</t>
        </is>
      </c>
      <c r="F596" s="27" t="n"/>
      <c r="G596" s="28" t="inlineStr">
        <is>
          <t>2,43</t>
        </is>
      </c>
      <c r="H596" s="28" t="n"/>
      <c r="I596" s="27" t="n"/>
    </row>
    <row r="597">
      <c r="A597" s="23" t="inlineStr">
        <is>
          <t>PSSA3</t>
        </is>
      </c>
      <c r="B597" s="24" t="inlineStr">
        <is>
          <t>Ação</t>
        </is>
      </c>
      <c r="C597" s="24" t="inlineStr">
        <is>
          <t>Porto Seguro</t>
        </is>
      </c>
      <c r="D597" s="24" t="n">
        <v>49.23</v>
      </c>
      <c r="E597" s="24" t="inlineStr">
        <is>
          <t>02.149.205/0001-69</t>
        </is>
      </c>
      <c r="F597" s="24" t="n"/>
      <c r="G597" s="29" t="inlineStr">
        <is>
          <t>5,23</t>
        </is>
      </c>
      <c r="H597" s="29" t="n"/>
      <c r="I597" s="24" t="n"/>
    </row>
    <row r="598">
      <c r="A598" s="26" t="inlineStr">
        <is>
          <t>ALPA4</t>
        </is>
      </c>
      <c r="B598" s="27" t="inlineStr">
        <is>
          <t>Ação</t>
        </is>
      </c>
      <c r="C598" s="27" t="inlineStr">
        <is>
          <t>Alpargatas</t>
        </is>
      </c>
      <c r="D598" s="27" t="n">
        <v>12.26</v>
      </c>
      <c r="E598" s="27" t="inlineStr">
        <is>
          <t>61.079.117/0001-05</t>
        </is>
      </c>
      <c r="F598" s="27" t="n"/>
      <c r="G598" s="28" t="inlineStr">
        <is>
          <t>4,12</t>
        </is>
      </c>
      <c r="H598" s="28" t="n"/>
      <c r="I598" s="27" t="n"/>
    </row>
    <row r="599">
      <c r="A599" s="23" t="inlineStr">
        <is>
          <t>STBP3</t>
        </is>
      </c>
      <c r="B599" s="24" t="inlineStr">
        <is>
          <t>Ação</t>
        </is>
      </c>
      <c r="C599" s="24" t="inlineStr">
        <is>
          <t>Santos Brasil</t>
        </is>
      </c>
      <c r="D599" s="24" t="n"/>
      <c r="E599" s="24" t="inlineStr">
        <is>
          <t>02.762.121/0001-04</t>
        </is>
      </c>
      <c r="F599" s="24" t="n"/>
      <c r="G599" s="29" t="inlineStr">
        <is>
          <t>1,90</t>
        </is>
      </c>
      <c r="H599" s="29" t="n"/>
      <c r="I599" s="24" t="n"/>
    </row>
    <row r="600">
      <c r="A600" s="26" t="inlineStr">
        <is>
          <t>KLBN4</t>
        </is>
      </c>
      <c r="B600" s="27" t="inlineStr">
        <is>
          <t>Ação</t>
        </is>
      </c>
      <c r="C600" s="27" t="inlineStr">
        <is>
          <t>Klabin</t>
        </is>
      </c>
      <c r="D600" s="27" t="n">
        <v>3.88</v>
      </c>
      <c r="E600" s="27" t="inlineStr">
        <is>
          <t>89.637.490/0001-45</t>
        </is>
      </c>
      <c r="F600" s="27" t="n"/>
      <c r="G600" s="28" t="inlineStr">
        <is>
          <t>6,06</t>
        </is>
      </c>
      <c r="H600" s="28" t="n"/>
      <c r="I600" s="27" t="n"/>
    </row>
    <row r="601">
      <c r="A601" s="23" t="inlineStr">
        <is>
          <t>HYPE3</t>
        </is>
      </c>
      <c r="B601" s="24" t="inlineStr">
        <is>
          <t>Ação</t>
        </is>
      </c>
      <c r="C601" s="24" t="inlineStr">
        <is>
          <t>Hypera</t>
        </is>
      </c>
      <c r="D601" s="24" t="n">
        <v>22</v>
      </c>
      <c r="E601" s="24" t="inlineStr">
        <is>
          <t>02.932.074/0001-91</t>
        </is>
      </c>
      <c r="F601" s="24" t="n"/>
      <c r="G601" s="29" t="inlineStr">
        <is>
          <t>5,35</t>
        </is>
      </c>
      <c r="H601" s="29" t="n"/>
      <c r="I601" s="24" t="n"/>
    </row>
    <row r="602">
      <c r="A602" s="26" t="inlineStr">
        <is>
          <t>SLCE3</t>
        </is>
      </c>
      <c r="B602" s="27" t="inlineStr">
        <is>
          <t>Ação</t>
        </is>
      </c>
      <c r="C602" s="27" t="inlineStr">
        <is>
          <t>SLC AgrÃ­cola</t>
        </is>
      </c>
      <c r="D602" s="27" t="n">
        <v>16.39</v>
      </c>
      <c r="E602" s="27" t="inlineStr">
        <is>
          <t>89.096.457/0001-55</t>
        </is>
      </c>
      <c r="F602" s="27" t="n"/>
      <c r="G602" s="28" t="inlineStr">
        <is>
          <t>8,96</t>
        </is>
      </c>
      <c r="H602" s="28" t="n"/>
      <c r="I602" s="27" t="n"/>
    </row>
    <row r="603">
      <c r="A603" s="23" t="inlineStr">
        <is>
          <t>TAEE11</t>
        </is>
      </c>
      <c r="B603" s="24" t="inlineStr">
        <is>
          <t>Ação</t>
        </is>
      </c>
      <c r="C603" s="24" t="inlineStr">
        <is>
          <t>Taesa</t>
        </is>
      </c>
      <c r="D603" s="24" t="n">
        <v>42.67</v>
      </c>
      <c r="E603" s="24" t="inlineStr">
        <is>
          <t>07.859.971/0001-30</t>
        </is>
      </c>
      <c r="F603" s="24" t="n"/>
      <c r="G603" s="29" t="inlineStr">
        <is>
          <t>7,61</t>
        </is>
      </c>
      <c r="H603" s="29" t="n"/>
      <c r="I603" s="24" t="n"/>
    </row>
    <row r="604">
      <c r="A604" s="26" t="inlineStr">
        <is>
          <t>VIVA3</t>
        </is>
      </c>
      <c r="B604" s="27" t="inlineStr">
        <is>
          <t>Ação</t>
        </is>
      </c>
      <c r="C604" s="27" t="inlineStr">
        <is>
          <t>Vivara</t>
        </is>
      </c>
      <c r="D604" s="27" t="n">
        <v>29.99</v>
      </c>
      <c r="E604" s="27" t="inlineStr">
        <is>
          <t>33.839.910/0001-11</t>
        </is>
      </c>
      <c r="F604" s="27" t="n"/>
      <c r="G604" s="28" t="inlineStr">
        <is>
          <t>4,48</t>
        </is>
      </c>
      <c r="H604" s="28" t="n"/>
      <c r="I604" s="27" t="n"/>
    </row>
    <row r="605">
      <c r="A605" s="23" t="inlineStr">
        <is>
          <t>OIBR3</t>
        </is>
      </c>
      <c r="B605" s="24" t="inlineStr">
        <is>
          <t>Ação</t>
        </is>
      </c>
      <c r="C605" s="24" t="inlineStr">
        <is>
          <t>Oi</t>
        </is>
      </c>
      <c r="D605" s="24" t="n">
        <v>0.16</v>
      </c>
      <c r="E605" s="24" t="inlineStr">
        <is>
          <t>76.535.764/0001-43</t>
        </is>
      </c>
      <c r="F605" s="24" t="n"/>
      <c r="G605" s="29" t="inlineStr">
        <is>
          <t>0,00</t>
        </is>
      </c>
      <c r="H605" s="29" t="n"/>
      <c r="I605" s="24" t="n"/>
    </row>
    <row r="606">
      <c r="A606" s="26" t="inlineStr">
        <is>
          <t>CPLE3</t>
        </is>
      </c>
      <c r="B606" s="27" t="inlineStr">
        <is>
          <t>Ação</t>
        </is>
      </c>
      <c r="C606" s="27" t="inlineStr">
        <is>
          <t>Copel</t>
        </is>
      </c>
      <c r="D606" s="27" t="n">
        <v>14.45</v>
      </c>
      <c r="E606" s="27" t="inlineStr">
        <is>
          <t>76.483.817/0001-20</t>
        </is>
      </c>
      <c r="F606" s="27" t="n"/>
      <c r="G606" s="28" t="inlineStr">
        <is>
          <t>8,39</t>
        </is>
      </c>
      <c r="H606" s="28" t="n"/>
      <c r="I606" s="27" t="n"/>
    </row>
    <row r="607">
      <c r="A607" s="23" t="inlineStr">
        <is>
          <t>HBSA3</t>
        </is>
      </c>
      <c r="B607" s="24" t="inlineStr">
        <is>
          <t>Ação</t>
        </is>
      </c>
      <c r="C607" s="24" t="inlineStr">
        <is>
          <t>Hidrovias do Brasil</t>
        </is>
      </c>
      <c r="D607" s="24" t="n">
        <v>3.99</v>
      </c>
      <c r="E607" s="24" t="inlineStr">
        <is>
          <t>12.648.327/0001-53</t>
        </is>
      </c>
      <c r="F607" s="24" t="n"/>
      <c r="G607" s="29" t="inlineStr">
        <is>
          <t>0,00</t>
        </is>
      </c>
      <c r="H607" s="29" t="n"/>
      <c r="I607" s="24" t="n"/>
    </row>
    <row r="608">
      <c r="A608" s="26" t="inlineStr">
        <is>
          <t>JHSF3</t>
        </is>
      </c>
      <c r="B608" s="27" t="inlineStr">
        <is>
          <t>Ação</t>
        </is>
      </c>
      <c r="C608" s="27" t="inlineStr">
        <is>
          <t>JHSF</t>
        </is>
      </c>
      <c r="D608" s="27" t="n">
        <v>8.970000000000001</v>
      </c>
      <c r="E608" s="27" t="inlineStr">
        <is>
          <t>08.294.224/0001-65</t>
        </is>
      </c>
      <c r="F608" s="27" t="n"/>
      <c r="G608" s="28" t="inlineStr">
        <is>
          <t>5,38</t>
        </is>
      </c>
      <c r="H608" s="28" t="n"/>
      <c r="I608" s="27" t="n"/>
    </row>
    <row r="609">
      <c r="A609" s="23" t="inlineStr">
        <is>
          <t>ENGI11</t>
        </is>
      </c>
      <c r="B609" s="24" t="inlineStr">
        <is>
          <t>Ação</t>
        </is>
      </c>
      <c r="C609" s="24" t="inlineStr">
        <is>
          <t>Energisa</t>
        </is>
      </c>
      <c r="D609" s="24" t="n">
        <v>52.9</v>
      </c>
      <c r="E609" s="24" t="inlineStr">
        <is>
          <t>00.864.214/0001-06</t>
        </is>
      </c>
      <c r="F609" s="24" t="n"/>
      <c r="G609" s="29" t="inlineStr">
        <is>
          <t>3,22</t>
        </is>
      </c>
      <c r="H609" s="29" t="n"/>
      <c r="I609" s="24" t="n"/>
    </row>
    <row r="610">
      <c r="A610" s="26" t="inlineStr">
        <is>
          <t>BRAP4</t>
        </is>
      </c>
      <c r="B610" s="27" t="inlineStr">
        <is>
          <t>Ação</t>
        </is>
      </c>
      <c r="C610" s="27" t="inlineStr">
        <is>
          <t>Bradespar</t>
        </is>
      </c>
      <c r="D610" s="27" t="n">
        <v>22.42</v>
      </c>
      <c r="E610" s="27" t="inlineStr">
        <is>
          <t>03.847.461/0001-92</t>
        </is>
      </c>
      <c r="F610" s="27" t="n"/>
      <c r="G610" s="28" t="inlineStr">
        <is>
          <t>14,23</t>
        </is>
      </c>
      <c r="H610" s="28" t="n"/>
      <c r="I610" s="27" t="n"/>
    </row>
    <row r="611">
      <c r="A611" s="23" t="inlineStr">
        <is>
          <t>SBSP3</t>
        </is>
      </c>
      <c r="B611" s="24" t="inlineStr">
        <is>
          <t>Ação</t>
        </is>
      </c>
      <c r="C611" s="24" t="inlineStr">
        <is>
          <t>Sabesp</t>
        </is>
      </c>
      <c r="D611" s="24" t="n">
        <v>144.76</v>
      </c>
      <c r="E611" s="24" t="inlineStr">
        <is>
          <t>43.776.517/0001-80</t>
        </is>
      </c>
      <c r="F611" s="24" t="n"/>
      <c r="G611" s="29" t="inlineStr">
        <is>
          <t>4,36</t>
        </is>
      </c>
      <c r="H611" s="29" t="n"/>
      <c r="I611" s="24" t="n"/>
    </row>
    <row r="612">
      <c r="A612" s="26" t="inlineStr">
        <is>
          <t>NEOE3</t>
        </is>
      </c>
      <c r="B612" s="27" t="inlineStr">
        <is>
          <t>Ação</t>
        </is>
      </c>
      <c r="C612" s="27" t="inlineStr">
        <is>
          <t>Neoenergia</t>
        </is>
      </c>
      <c r="D612" s="27" t="n">
        <v>32.87</v>
      </c>
      <c r="E612" s="27" t="inlineStr">
        <is>
          <t>01.083.200/0001-18</t>
        </is>
      </c>
      <c r="F612" s="27" t="n"/>
      <c r="G612" s="28" t="inlineStr">
        <is>
          <t>4,20</t>
        </is>
      </c>
      <c r="H612" s="28" t="n"/>
      <c r="I612" s="27" t="n"/>
    </row>
    <row r="613">
      <c r="A613" s="23" t="inlineStr">
        <is>
          <t>LJQQ3</t>
        </is>
      </c>
      <c r="B613" s="24" t="inlineStr">
        <is>
          <t>Ação</t>
        </is>
      </c>
      <c r="C613" s="24" t="inlineStr">
        <is>
          <t>Lojas Quero-Quero</t>
        </is>
      </c>
      <c r="D613" s="24" t="n">
        <v>1.92</v>
      </c>
      <c r="E613" s="24" t="inlineStr">
        <is>
          <t>96.418.264/0218-02</t>
        </is>
      </c>
      <c r="F613" s="24" t="n"/>
      <c r="G613" s="29" t="inlineStr">
        <is>
          <t>0,00</t>
        </is>
      </c>
      <c r="H613" s="29" t="n"/>
      <c r="I613" s="24" t="n"/>
    </row>
    <row r="614">
      <c r="A614" s="26" t="inlineStr">
        <is>
          <t>INTB3</t>
        </is>
      </c>
      <c r="B614" s="27" t="inlineStr">
        <is>
          <t>Ação</t>
        </is>
      </c>
      <c r="C614" s="27" t="inlineStr">
        <is>
          <t>Intelbras</t>
        </is>
      </c>
      <c r="D614" s="27" t="n">
        <v>13.58</v>
      </c>
      <c r="E614" s="27" t="inlineStr">
        <is>
          <t>82.901.000/0001-27</t>
        </is>
      </c>
      <c r="F614" s="27" t="n"/>
      <c r="G614" s="28" t="inlineStr">
        <is>
          <t>8,12</t>
        </is>
      </c>
      <c r="H614" s="28" t="n"/>
      <c r="I614" s="27" t="n"/>
    </row>
    <row r="615">
      <c r="A615" s="23" t="inlineStr">
        <is>
          <t>HBOR3</t>
        </is>
      </c>
      <c r="B615" s="24" t="inlineStr">
        <is>
          <t>Ação</t>
        </is>
      </c>
      <c r="C615" s="24" t="inlineStr">
        <is>
          <t>Helbor</t>
        </is>
      </c>
      <c r="D615" s="24" t="n">
        <v>2.89</v>
      </c>
      <c r="E615" s="24" t="inlineStr">
        <is>
          <t>49.263.189/0001-02</t>
        </is>
      </c>
      <c r="F615" s="24" t="n"/>
      <c r="G615" s="29" t="inlineStr">
        <is>
          <t>3,52</t>
        </is>
      </c>
      <c r="H615" s="29" t="n"/>
      <c r="I615" s="24" t="n"/>
    </row>
    <row r="616">
      <c r="A616" s="26" t="inlineStr">
        <is>
          <t>TEND3</t>
        </is>
      </c>
      <c r="B616" s="27" t="inlineStr">
        <is>
          <t>Ação</t>
        </is>
      </c>
      <c r="C616" s="27" t="inlineStr">
        <is>
          <t>Construtora Tenda</t>
        </is>
      </c>
      <c r="D616" s="27" t="n">
        <v>30.06</v>
      </c>
      <c r="E616" s="27" t="inlineStr">
        <is>
          <t>71.476.527/0001-35</t>
        </is>
      </c>
      <c r="F616" s="27" t="n"/>
      <c r="G616" s="28" t="inlineStr">
        <is>
          <t>4,51</t>
        </is>
      </c>
      <c r="H616" s="28" t="n"/>
      <c r="I616" s="27" t="n"/>
    </row>
    <row r="617">
      <c r="A617" s="23" t="inlineStr">
        <is>
          <t>ISAE4</t>
        </is>
      </c>
      <c r="B617" s="24" t="inlineStr">
        <is>
          <t>Ação</t>
        </is>
      </c>
      <c r="C617" s="24" t="inlineStr">
        <is>
          <t>ISA Energia</t>
        </is>
      </c>
      <c r="D617" s="24" t="n">
        <v>27.89</v>
      </c>
      <c r="E617" s="24" t="inlineStr">
        <is>
          <t>02.998.611/0001-04</t>
        </is>
      </c>
      <c r="F617" s="24" t="n"/>
      <c r="G617" s="29" t="inlineStr">
        <is>
          <t>7,95</t>
        </is>
      </c>
      <c r="H617" s="29" t="n"/>
      <c r="I617" s="24" t="n"/>
    </row>
    <row r="618">
      <c r="A618" s="26" t="inlineStr">
        <is>
          <t>AZZA3</t>
        </is>
      </c>
      <c r="B618" s="27" t="inlineStr">
        <is>
          <t>Ação</t>
        </is>
      </c>
      <c r="C618" s="27" t="inlineStr">
        <is>
          <t>Arezzo</t>
        </is>
      </c>
      <c r="D618" s="27" t="n">
        <v>24.54</v>
      </c>
      <c r="E618" s="27" t="inlineStr">
        <is>
          <t>16.590.234/0001-76</t>
        </is>
      </c>
      <c r="F618" s="27" t="n"/>
      <c r="G618" s="28" t="inlineStr">
        <is>
          <t>9,89</t>
        </is>
      </c>
      <c r="H618" s="28" t="n"/>
      <c r="I618" s="27" t="n"/>
    </row>
    <row r="619">
      <c r="A619" s="23" t="inlineStr">
        <is>
          <t>CASH3</t>
        </is>
      </c>
      <c r="B619" s="24" t="inlineStr">
        <is>
          <t>Ação</t>
        </is>
      </c>
      <c r="C619" s="24" t="inlineStr">
        <is>
          <t>MÃ©liuz</t>
        </is>
      </c>
      <c r="D619" s="24" t="n">
        <v>3.33</v>
      </c>
      <c r="E619" s="24" t="inlineStr">
        <is>
          <t>14.110.585/0001-07</t>
        </is>
      </c>
      <c r="F619" s="24" t="n"/>
      <c r="G619" s="29" t="inlineStr">
        <is>
          <t>0,00</t>
        </is>
      </c>
      <c r="H619" s="29" t="n"/>
      <c r="I619" s="24" t="n"/>
    </row>
    <row r="620">
      <c r="A620" s="26" t="inlineStr">
        <is>
          <t>AZTE3</t>
        </is>
      </c>
      <c r="B620" s="27" t="inlineStr">
        <is>
          <t>Ação</t>
        </is>
      </c>
      <c r="C620" s="27" t="inlineStr">
        <is>
          <t>AZT Energia</t>
        </is>
      </c>
      <c r="D620" s="27" t="n">
        <v>0.27</v>
      </c>
      <c r="E620" s="27" t="inlineStr">
        <is>
          <t>52.017.473/0001-03</t>
        </is>
      </c>
      <c r="F620" s="27" t="n"/>
      <c r="G620" s="28" t="inlineStr">
        <is>
          <t>0,00</t>
        </is>
      </c>
      <c r="H620" s="28" t="n"/>
      <c r="I620" s="27" t="n"/>
    </row>
    <row r="621">
      <c r="A621" s="23" t="inlineStr">
        <is>
          <t>FLRY3</t>
        </is>
      </c>
      <c r="B621" s="24" t="inlineStr">
        <is>
          <t>Ação</t>
        </is>
      </c>
      <c r="C621" s="24" t="inlineStr">
        <is>
          <t>Fleury</t>
        </is>
      </c>
      <c r="D621" s="24" t="n">
        <v>15.55</v>
      </c>
      <c r="E621" s="24" t="inlineStr">
        <is>
          <t>60.840.055/0001-31</t>
        </is>
      </c>
      <c r="F621" s="24" t="n"/>
      <c r="G621" s="29" t="inlineStr">
        <is>
          <t>7,75</t>
        </is>
      </c>
      <c r="H621" s="29" t="inlineStr">
        <is>
          <t>0,00</t>
        </is>
      </c>
      <c r="I621" s="24" t="n"/>
    </row>
    <row r="622">
      <c r="A622" s="26" t="inlineStr">
        <is>
          <t>SBFG3</t>
        </is>
      </c>
      <c r="B622" s="27" t="inlineStr">
        <is>
          <t>Ação</t>
        </is>
      </c>
      <c r="C622" s="27" t="inlineStr">
        <is>
          <t>Grupo SBF</t>
        </is>
      </c>
      <c r="D622" s="27" t="n">
        <v>11.35</v>
      </c>
      <c r="E622" s="27" t="inlineStr">
        <is>
          <t>13.217.485/0001-11</t>
        </is>
      </c>
      <c r="F622" s="27" t="n"/>
      <c r="G622" s="28" t="inlineStr">
        <is>
          <t>4,75</t>
        </is>
      </c>
      <c r="H622" s="28" t="n"/>
      <c r="I622" s="27" t="n"/>
    </row>
    <row r="623">
      <c r="A623" s="23" t="inlineStr">
        <is>
          <t>ENJU3</t>
        </is>
      </c>
      <c r="B623" s="24" t="inlineStr">
        <is>
          <t>Ação</t>
        </is>
      </c>
      <c r="C623" s="24" t="inlineStr">
        <is>
          <t>Enjoei</t>
        </is>
      </c>
      <c r="D623" s="24" t="n">
        <v>1.03</v>
      </c>
      <c r="E623" s="24" t="inlineStr">
        <is>
          <t>16.922.038/0001-51</t>
        </is>
      </c>
      <c r="F623" s="24" t="n"/>
      <c r="G623" s="29" t="inlineStr">
        <is>
          <t>0,00</t>
        </is>
      </c>
      <c r="H623" s="29" t="n"/>
      <c r="I623" s="24" t="n"/>
    </row>
    <row r="624">
      <c r="A624" s="26" t="inlineStr">
        <is>
          <t>SAPR11</t>
        </is>
      </c>
      <c r="B624" s="27" t="inlineStr">
        <is>
          <t>Ação</t>
        </is>
      </c>
      <c r="C624" s="27" t="inlineStr">
        <is>
          <t>Sanepar</t>
        </is>
      </c>
      <c r="D624" s="27" t="n">
        <v>40.63</v>
      </c>
      <c r="E624" s="27" t="inlineStr">
        <is>
          <t>76.484.013/0001-45</t>
        </is>
      </c>
      <c r="F624" s="27" t="n"/>
      <c r="G624" s="28" t="inlineStr">
        <is>
          <t>4,79</t>
        </is>
      </c>
      <c r="H624" s="28" t="n"/>
      <c r="I624" s="27" t="n"/>
    </row>
    <row r="625">
      <c r="A625" s="23" t="inlineStr">
        <is>
          <t>BRSR6</t>
        </is>
      </c>
      <c r="B625" s="24" t="inlineStr">
        <is>
          <t>Ação</t>
        </is>
      </c>
      <c r="C625" s="24" t="inlineStr">
        <is>
          <t>Banrisul</t>
        </is>
      </c>
      <c r="D625" s="24" t="n">
        <v>17.88</v>
      </c>
      <c r="E625" s="24" t="inlineStr">
        <is>
          <t>92.702.067/0001-96</t>
        </is>
      </c>
      <c r="F625" s="24" t="n"/>
      <c r="G625" s="29" t="inlineStr">
        <is>
          <t>8,97</t>
        </is>
      </c>
      <c r="H625" s="29" t="n"/>
      <c r="I625" s="24" t="n"/>
    </row>
    <row r="626">
      <c r="A626" s="26" t="inlineStr">
        <is>
          <t>ODPV3</t>
        </is>
      </c>
      <c r="B626" s="27" t="inlineStr">
        <is>
          <t>Ação</t>
        </is>
      </c>
      <c r="C626" s="27" t="inlineStr">
        <is>
          <t>Odontoprev</t>
        </is>
      </c>
      <c r="D626" s="27" t="n">
        <v>13.7</v>
      </c>
      <c r="E626" s="27" t="inlineStr">
        <is>
          <t>58.119.199/0001-51</t>
        </is>
      </c>
      <c r="F626" s="27" t="n"/>
      <c r="G626" s="28" t="inlineStr">
        <is>
          <t>8,55</t>
        </is>
      </c>
      <c r="H626" s="28" t="n"/>
      <c r="I626" s="27" t="n"/>
    </row>
    <row r="627">
      <c r="A627" s="23" t="inlineStr">
        <is>
          <t>IFCM3</t>
        </is>
      </c>
      <c r="B627" s="24" t="inlineStr">
        <is>
          <t>Ação</t>
        </is>
      </c>
      <c r="C627" s="24" t="inlineStr">
        <is>
          <t>Infracommerce</t>
        </is>
      </c>
      <c r="D627" s="24" t="n">
        <v>1.05</v>
      </c>
      <c r="E627" s="24" t="inlineStr">
        <is>
          <t>38.456.921/0001-36</t>
        </is>
      </c>
      <c r="F627" s="24" t="n"/>
      <c r="G627" s="29" t="inlineStr">
        <is>
          <t>0,00</t>
        </is>
      </c>
      <c r="H627" s="29" t="n"/>
      <c r="I627" s="24" t="n"/>
    </row>
    <row r="628">
      <c r="A628" s="26" t="inlineStr">
        <is>
          <t>QUAL3</t>
        </is>
      </c>
      <c r="B628" s="27" t="inlineStr">
        <is>
          <t>Ação</t>
        </is>
      </c>
      <c r="C628" s="27" t="inlineStr">
        <is>
          <t>Qualicorp</t>
        </is>
      </c>
      <c r="D628" s="27" t="n">
        <v>1.97</v>
      </c>
      <c r="E628" s="27" t="inlineStr">
        <is>
          <t>11.992.680/0001-93</t>
        </is>
      </c>
      <c r="F628" s="27" t="n"/>
      <c r="G628" s="28" t="inlineStr">
        <is>
          <t>0,28</t>
        </is>
      </c>
      <c r="H628" s="28" t="n"/>
      <c r="I628" s="27" t="n"/>
    </row>
    <row r="629">
      <c r="A629" s="23" t="inlineStr">
        <is>
          <t>ZAMP3</t>
        </is>
      </c>
      <c r="B629" s="24" t="inlineStr">
        <is>
          <t>Ação</t>
        </is>
      </c>
      <c r="C629" s="24" t="inlineStr">
        <is>
          <t>Zamp</t>
        </is>
      </c>
      <c r="D629" s="24" t="n"/>
      <c r="E629" s="24" t="inlineStr">
        <is>
          <t>13.574.594/0001-96</t>
        </is>
      </c>
      <c r="F629" s="24" t="n"/>
      <c r="G629" s="29" t="inlineStr">
        <is>
          <t>0,00</t>
        </is>
      </c>
      <c r="H629" s="29" t="n"/>
      <c r="I629" s="24" t="n"/>
    </row>
    <row r="630">
      <c r="A630" s="26" t="inlineStr">
        <is>
          <t>SANB11</t>
        </is>
      </c>
      <c r="B630" s="27" t="inlineStr">
        <is>
          <t>Ação</t>
        </is>
      </c>
      <c r="C630" s="27" t="inlineStr">
        <is>
          <t>Banco Santander</t>
        </is>
      </c>
      <c r="D630" s="27" t="n">
        <v>31.52</v>
      </c>
      <c r="E630" s="27" t="inlineStr">
        <is>
          <t>90.400.888/0001-42</t>
        </is>
      </c>
      <c r="F630" s="27" t="n"/>
      <c r="G630" s="28" t="inlineStr">
        <is>
          <t>6,73</t>
        </is>
      </c>
      <c r="H630" s="28" t="n"/>
      <c r="I630" s="27" t="n"/>
    </row>
    <row r="631">
      <c r="A631" s="23" t="inlineStr">
        <is>
          <t>ELET6</t>
        </is>
      </c>
      <c r="B631" s="24" t="inlineStr">
        <is>
          <t>Ação</t>
        </is>
      </c>
      <c r="C631" s="24" t="inlineStr">
        <is>
          <t>Eletrobras</t>
        </is>
      </c>
      <c r="D631" s="24" t="n"/>
      <c r="E631" s="24" t="n"/>
      <c r="F631" s="24" t="n"/>
      <c r="G631" s="29" t="inlineStr">
        <is>
          <t>0,00</t>
        </is>
      </c>
      <c r="H631" s="29" t="n"/>
      <c r="I631" s="24" t="n"/>
    </row>
    <row r="632">
      <c r="A632" s="26" t="inlineStr">
        <is>
          <t>CPFE3</t>
        </is>
      </c>
      <c r="B632" s="27" t="inlineStr">
        <is>
          <t>Ação</t>
        </is>
      </c>
      <c r="C632" s="27" t="inlineStr">
        <is>
          <t>CPFL Energia</t>
        </is>
      </c>
      <c r="D632" s="27" t="n">
        <v>47.4</v>
      </c>
      <c r="E632" s="27" t="inlineStr">
        <is>
          <t>02.429.144/0001-93</t>
        </is>
      </c>
      <c r="F632" s="27" t="n"/>
      <c r="G632" s="28" t="inlineStr">
        <is>
          <t>5,95</t>
        </is>
      </c>
      <c r="H632" s="28" t="n"/>
      <c r="I632" s="27" t="n"/>
    </row>
    <row r="633">
      <c r="A633" s="23" t="inlineStr">
        <is>
          <t>DXCO3</t>
        </is>
      </c>
      <c r="B633" s="24" t="inlineStr">
        <is>
          <t>Ação</t>
        </is>
      </c>
      <c r="C633" s="24" t="inlineStr">
        <is>
          <t>Dexco</t>
        </is>
      </c>
      <c r="D633" s="24" t="n">
        <v>4.69</v>
      </c>
      <c r="E633" s="24" t="inlineStr">
        <is>
          <t>97.837.181/0001-47</t>
        </is>
      </c>
      <c r="F633" s="24" t="n"/>
      <c r="G633" s="29" t="inlineStr">
        <is>
          <t>0,15</t>
        </is>
      </c>
      <c r="H633" s="29" t="n"/>
      <c r="I633" s="24" t="n"/>
    </row>
    <row r="634">
      <c r="A634" s="26" t="inlineStr">
        <is>
          <t>EZTC3</t>
        </is>
      </c>
      <c r="B634" s="27" t="inlineStr">
        <is>
          <t>Ação</t>
        </is>
      </c>
      <c r="C634" s="27" t="inlineStr">
        <is>
          <t>EZTEC</t>
        </is>
      </c>
      <c r="D634" s="27" t="n">
        <v>14.76</v>
      </c>
      <c r="E634" s="27" t="inlineStr">
        <is>
          <t>08.312.229/0001-73</t>
        </is>
      </c>
      <c r="F634" s="27" t="n"/>
      <c r="G634" s="28" t="inlineStr">
        <is>
          <t>10,48</t>
        </is>
      </c>
      <c r="H634" s="28" t="n"/>
      <c r="I634" s="27" t="n"/>
    </row>
    <row r="635">
      <c r="A635" s="23" t="inlineStr">
        <is>
          <t>MLAS3</t>
        </is>
      </c>
      <c r="B635" s="24" t="inlineStr">
        <is>
          <t>Ação</t>
        </is>
      </c>
      <c r="C635" s="24" t="inlineStr">
        <is>
          <t>Multilaser</t>
        </is>
      </c>
      <c r="D635" s="24" t="n">
        <v>1.24</v>
      </c>
      <c r="E635" s="24" t="inlineStr">
        <is>
          <t>59.717.553/0001-02</t>
        </is>
      </c>
      <c r="F635" s="24" t="n"/>
      <c r="G635" s="29" t="inlineStr">
        <is>
          <t>3,94</t>
        </is>
      </c>
      <c r="H635" s="29" t="n"/>
      <c r="I635" s="24" t="n"/>
    </row>
    <row r="636">
      <c r="A636" s="26" t="inlineStr">
        <is>
          <t>JALL3</t>
        </is>
      </c>
      <c r="B636" s="27" t="inlineStr">
        <is>
          <t>Ação</t>
        </is>
      </c>
      <c r="C636" s="27" t="inlineStr">
        <is>
          <t>Jalles Machado</t>
        </is>
      </c>
      <c r="D636" s="27" t="n">
        <v>3.26</v>
      </c>
      <c r="E636" s="27" t="inlineStr">
        <is>
          <t>02.635.522/0001-95</t>
        </is>
      </c>
      <c r="F636" s="27" t="n"/>
      <c r="G636" s="28" t="inlineStr">
        <is>
          <t>0,00</t>
        </is>
      </c>
      <c r="H636" s="28" t="n"/>
      <c r="I636" s="27" t="n"/>
    </row>
    <row r="637">
      <c r="A637" s="23" t="inlineStr">
        <is>
          <t>AZEV4</t>
        </is>
      </c>
      <c r="B637" s="24" t="inlineStr">
        <is>
          <t>Ação</t>
        </is>
      </c>
      <c r="C637" s="24" t="inlineStr">
        <is>
          <t>Azevedo &amp; Travassos</t>
        </is>
      </c>
      <c r="D637" s="24" t="n">
        <v>0.19</v>
      </c>
      <c r="E637" s="24" t="inlineStr">
        <is>
          <t>61.351.532/0001-68</t>
        </is>
      </c>
      <c r="F637" s="24" t="n"/>
      <c r="G637" s="29" t="inlineStr">
        <is>
          <t>0,00</t>
        </is>
      </c>
      <c r="H637" s="29" t="n"/>
      <c r="I637" s="24" t="n"/>
    </row>
    <row r="638">
      <c r="A638" s="26" t="inlineStr">
        <is>
          <t>AMER3</t>
        </is>
      </c>
      <c r="B638" s="27" t="inlineStr">
        <is>
          <t>Ação</t>
        </is>
      </c>
      <c r="C638" s="27" t="inlineStr">
        <is>
          <t>Americanas</t>
        </is>
      </c>
      <c r="D638" s="27" t="n">
        <v>4.99</v>
      </c>
      <c r="E638" s="27" t="inlineStr">
        <is>
          <t>00.776.574/0001-56</t>
        </is>
      </c>
      <c r="F638" s="27" t="n"/>
      <c r="G638" s="28" t="inlineStr">
        <is>
          <t>0,00</t>
        </is>
      </c>
      <c r="H638" s="28" t="n"/>
      <c r="I638" s="27" t="n"/>
    </row>
    <row r="639">
      <c r="A639" s="23" t="inlineStr">
        <is>
          <t>HBRE3</t>
        </is>
      </c>
      <c r="B639" s="24" t="inlineStr">
        <is>
          <t>Ação</t>
        </is>
      </c>
      <c r="C639" s="24" t="inlineStr">
        <is>
          <t>HBR Realty</t>
        </is>
      </c>
      <c r="D639" s="24" t="n">
        <v>2.88</v>
      </c>
      <c r="E639" s="24" t="inlineStr">
        <is>
          <t>14.785.152/0001-51</t>
        </is>
      </c>
      <c r="F639" s="24" t="n"/>
      <c r="G639" s="29" t="inlineStr">
        <is>
          <t>40,61</t>
        </is>
      </c>
      <c r="H639" s="29" t="n"/>
      <c r="I639" s="24" t="n"/>
    </row>
    <row r="640">
      <c r="A640" s="26" t="inlineStr">
        <is>
          <t>EVEN3</t>
        </is>
      </c>
      <c r="B640" s="27" t="inlineStr">
        <is>
          <t>Ação</t>
        </is>
      </c>
      <c r="C640" s="27" t="inlineStr">
        <is>
          <t>Even</t>
        </is>
      </c>
      <c r="D640" s="27" t="n">
        <v>7.49</v>
      </c>
      <c r="E640" s="27" t="inlineStr">
        <is>
          <t>43.470.988/0001-65</t>
        </is>
      </c>
      <c r="F640" s="27" t="n"/>
      <c r="G640" s="28" t="inlineStr">
        <is>
          <t>9,99</t>
        </is>
      </c>
      <c r="H640" s="28" t="n"/>
      <c r="I640" s="27" t="n"/>
    </row>
    <row r="641">
      <c r="A641" s="23" t="inlineStr">
        <is>
          <t>SMTO3</t>
        </is>
      </c>
      <c r="B641" s="24" t="inlineStr">
        <is>
          <t>Ação</t>
        </is>
      </c>
      <c r="C641" s="24" t="inlineStr">
        <is>
          <t>SÃ£o Martinho</t>
        </is>
      </c>
      <c r="D641" s="24" t="n">
        <v>18.88</v>
      </c>
      <c r="E641" s="24" t="inlineStr">
        <is>
          <t>51.466.860/0001-56</t>
        </is>
      </c>
      <c r="F641" s="24" t="n"/>
      <c r="G641" s="29" t="inlineStr">
        <is>
          <t>2,50</t>
        </is>
      </c>
      <c r="H641" s="29" t="n"/>
      <c r="I641" s="24" t="n"/>
    </row>
    <row r="642">
      <c r="A642" s="26" t="inlineStr">
        <is>
          <t>KEPL3</t>
        </is>
      </c>
      <c r="B642" s="27" t="inlineStr">
        <is>
          <t>Ação</t>
        </is>
      </c>
      <c r="C642" s="27" t="inlineStr">
        <is>
          <t>Kepler Weber</t>
        </is>
      </c>
      <c r="D642" s="27" t="n">
        <v>8.16</v>
      </c>
      <c r="E642" s="27" t="inlineStr">
        <is>
          <t>91.983.056/0001-69</t>
        </is>
      </c>
      <c r="F642" s="27" t="n"/>
      <c r="G642" s="28" t="inlineStr">
        <is>
          <t>10,17</t>
        </is>
      </c>
      <c r="H642" s="28" t="n"/>
      <c r="I642" s="27" t="n"/>
    </row>
    <row r="643">
      <c r="A643" s="23" t="inlineStr">
        <is>
          <t>VULC3</t>
        </is>
      </c>
      <c r="B643" s="24" t="inlineStr">
        <is>
          <t>Ação</t>
        </is>
      </c>
      <c r="C643" s="24" t="inlineStr">
        <is>
          <t>Vulcabras</t>
        </is>
      </c>
      <c r="D643" s="24" t="n">
        <v>17.35</v>
      </c>
      <c r="E643" s="24" t="inlineStr">
        <is>
          <t>50.926.955/0001-42</t>
        </is>
      </c>
      <c r="F643" s="24" t="n"/>
      <c r="G643" s="29" t="inlineStr">
        <is>
          <t>28,93</t>
        </is>
      </c>
      <c r="H643" s="29" t="n"/>
      <c r="I643" s="24" t="n"/>
    </row>
    <row r="644">
      <c r="A644" s="26" t="inlineStr">
        <is>
          <t>AMBP3</t>
        </is>
      </c>
      <c r="B644" s="27" t="inlineStr">
        <is>
          <t>Ação</t>
        </is>
      </c>
      <c r="C644" s="27" t="inlineStr">
        <is>
          <t>Ambipar</t>
        </is>
      </c>
      <c r="D644" s="27" t="n">
        <v>0.22</v>
      </c>
      <c r="E644" s="27" t="inlineStr">
        <is>
          <t>12.648.266/0001-24</t>
        </is>
      </c>
      <c r="F644" s="27" t="n"/>
      <c r="G644" s="28" t="inlineStr">
        <is>
          <t>0,00</t>
        </is>
      </c>
      <c r="H644" s="28" t="n"/>
      <c r="I644" s="27" t="n"/>
    </row>
    <row r="645">
      <c r="A645" s="23" t="inlineStr">
        <is>
          <t>CAML3</t>
        </is>
      </c>
      <c r="B645" s="24" t="inlineStr">
        <is>
          <t>Ação</t>
        </is>
      </c>
      <c r="C645" s="24" t="inlineStr">
        <is>
          <t>Camil Alimentos</t>
        </is>
      </c>
      <c r="D645" s="24" t="n">
        <v>6.38</v>
      </c>
      <c r="E645" s="24" t="inlineStr">
        <is>
          <t>64.904.295/0001-03</t>
        </is>
      </c>
      <c r="F645" s="24" t="n"/>
      <c r="G645" s="29" t="inlineStr">
        <is>
          <t>5,33</t>
        </is>
      </c>
      <c r="H645" s="29" t="n"/>
      <c r="I645" s="24" t="n"/>
    </row>
    <row r="646">
      <c r="A646" s="26" t="inlineStr">
        <is>
          <t>TUPY3</t>
        </is>
      </c>
      <c r="B646" s="27" t="inlineStr">
        <is>
          <t>Ação</t>
        </is>
      </c>
      <c r="C646" s="27" t="inlineStr">
        <is>
          <t>Tupy</t>
        </is>
      </c>
      <c r="D646" s="27" t="n">
        <v>12.62</v>
      </c>
      <c r="E646" s="27" t="inlineStr">
        <is>
          <t>84.683.374/0003-00</t>
        </is>
      </c>
      <c r="F646" s="27" t="n"/>
      <c r="G646" s="28" t="inlineStr">
        <is>
          <t>0,00</t>
        </is>
      </c>
      <c r="H646" s="28" t="n"/>
      <c r="I646" s="27" t="n"/>
    </row>
    <row r="647">
      <c r="A647" s="23" t="inlineStr">
        <is>
          <t>VVEO3</t>
        </is>
      </c>
      <c r="B647" s="24" t="inlineStr">
        <is>
          <t>Ação</t>
        </is>
      </c>
      <c r="C647" s="24" t="inlineStr">
        <is>
          <t>Viveo</t>
        </is>
      </c>
      <c r="D647" s="24" t="n">
        <v>1.18</v>
      </c>
      <c r="E647" s="24" t="inlineStr">
        <is>
          <t>12.420.164/0001-57</t>
        </is>
      </c>
      <c r="F647" s="24" t="n"/>
      <c r="G647" s="29" t="inlineStr">
        <is>
          <t>0,00</t>
        </is>
      </c>
      <c r="H647" s="29" t="n"/>
      <c r="I647" s="24" t="n"/>
    </row>
    <row r="648">
      <c r="A648" s="26" t="inlineStr">
        <is>
          <t>POSI3</t>
        </is>
      </c>
      <c r="B648" s="27" t="inlineStr">
        <is>
          <t>Ação</t>
        </is>
      </c>
      <c r="C648" s="27" t="inlineStr">
        <is>
          <t>Positivo</t>
        </is>
      </c>
      <c r="D648" s="27" t="n">
        <v>4.06</v>
      </c>
      <c r="E648" s="27" t="inlineStr">
        <is>
          <t>81.243.735/0001-48</t>
        </is>
      </c>
      <c r="F648" s="27" t="n"/>
      <c r="G648" s="28" t="inlineStr">
        <is>
          <t>11,11</t>
        </is>
      </c>
      <c r="H648" s="28" t="n"/>
      <c r="I648" s="27" t="n"/>
    </row>
    <row r="649">
      <c r="A649" s="23" t="inlineStr">
        <is>
          <t>ALUP11</t>
        </is>
      </c>
      <c r="B649" s="24" t="inlineStr">
        <is>
          <t>Ação</t>
        </is>
      </c>
      <c r="C649" s="24" t="inlineStr">
        <is>
          <t>Alupar</t>
        </is>
      </c>
      <c r="D649" s="24" t="n">
        <v>33.82</v>
      </c>
      <c r="E649" s="24" t="inlineStr">
        <is>
          <t>08.364.948/0001-38</t>
        </is>
      </c>
      <c r="F649" s="24" t="n"/>
      <c r="G649" s="29" t="inlineStr">
        <is>
          <t>3,79</t>
        </is>
      </c>
      <c r="H649" s="29" t="n"/>
      <c r="I649" s="24" t="n"/>
    </row>
    <row r="650">
      <c r="A650" s="26" t="inlineStr">
        <is>
          <t>IRBR3</t>
        </is>
      </c>
      <c r="B650" s="27" t="inlineStr">
        <is>
          <t>Ação</t>
        </is>
      </c>
      <c r="C650" s="27" t="inlineStr">
        <is>
          <t>IRB Brasil RE</t>
        </is>
      </c>
      <c r="D650" s="27" t="n">
        <v>55.87</v>
      </c>
      <c r="E650" s="27" t="inlineStr">
        <is>
          <t>33.376.989/0001-91</t>
        </is>
      </c>
      <c r="F650" s="27" t="n"/>
      <c r="G650" s="28" t="inlineStr">
        <is>
          <t>0,00</t>
        </is>
      </c>
      <c r="H650" s="28" t="n"/>
      <c r="I650" s="27" t="n"/>
    </row>
    <row r="651">
      <c r="A651" s="23" t="inlineStr">
        <is>
          <t>ORVR3</t>
        </is>
      </c>
      <c r="B651" s="24" t="inlineStr">
        <is>
          <t>Ação</t>
        </is>
      </c>
      <c r="C651" s="24" t="inlineStr">
        <is>
          <t>Orizon</t>
        </is>
      </c>
      <c r="D651" s="24" t="n">
        <v>69.18000000000001</v>
      </c>
      <c r="E651" s="24" t="inlineStr">
        <is>
          <t>11.421.994/0001-36</t>
        </is>
      </c>
      <c r="F651" s="24" t="n"/>
      <c r="G651" s="29" t="inlineStr">
        <is>
          <t>0,00</t>
        </is>
      </c>
      <c r="H651" s="29" t="n"/>
      <c r="I651" s="24" t="n"/>
    </row>
    <row r="652">
      <c r="A652" s="26" t="inlineStr">
        <is>
          <t>SAPR4</t>
        </is>
      </c>
      <c r="B652" s="27" t="inlineStr">
        <is>
          <t>Ação</t>
        </is>
      </c>
      <c r="C652" s="27" t="inlineStr">
        <is>
          <t>Sanepar</t>
        </is>
      </c>
      <c r="D652" s="27" t="n">
        <v>7.83</v>
      </c>
      <c r="E652" s="27" t="inlineStr">
        <is>
          <t>76.484.013/0001-45</t>
        </is>
      </c>
      <c r="F652" s="27" t="n"/>
      <c r="G652" s="28" t="inlineStr">
        <is>
          <t>5,00</t>
        </is>
      </c>
      <c r="H652" s="28" t="n"/>
      <c r="I652" s="27" t="n"/>
    </row>
    <row r="653">
      <c r="A653" s="23" t="inlineStr">
        <is>
          <t>TTEN3</t>
        </is>
      </c>
      <c r="B653" s="24" t="inlineStr">
        <is>
          <t>Ação</t>
        </is>
      </c>
      <c r="C653" s="24" t="inlineStr">
        <is>
          <t>3tentos</t>
        </is>
      </c>
      <c r="D653" s="24" t="n">
        <v>15.64</v>
      </c>
      <c r="E653" s="24" t="inlineStr">
        <is>
          <t>94.813.102/0001-70</t>
        </is>
      </c>
      <c r="F653" s="24" t="n"/>
      <c r="G653" s="29" t="inlineStr">
        <is>
          <t>1,05</t>
        </is>
      </c>
      <c r="H653" s="29" t="n"/>
      <c r="I653" s="24" t="n"/>
    </row>
    <row r="654">
      <c r="A654" s="26" t="inlineStr">
        <is>
          <t>PDGR3</t>
        </is>
      </c>
      <c r="B654" s="27" t="inlineStr">
        <is>
          <t>Ação</t>
        </is>
      </c>
      <c r="C654" s="27" t="inlineStr">
        <is>
          <t>PDG Realty</t>
        </is>
      </c>
      <c r="D654" s="27" t="n">
        <v>1.95</v>
      </c>
      <c r="E654" s="27" t="inlineStr">
        <is>
          <t>02.950.811/0001-89</t>
        </is>
      </c>
      <c r="F654" s="27" t="n"/>
      <c r="G654" s="28" t="inlineStr">
        <is>
          <t>0,00</t>
        </is>
      </c>
      <c r="H654" s="28" t="n"/>
      <c r="I654" s="27" t="n"/>
    </row>
    <row r="655">
      <c r="A655" s="23" t="inlineStr">
        <is>
          <t>MTRE3</t>
        </is>
      </c>
      <c r="B655" s="24" t="inlineStr">
        <is>
          <t>Ação</t>
        </is>
      </c>
      <c r="C655" s="24" t="inlineStr">
        <is>
          <t>Mitre Realty</t>
        </is>
      </c>
      <c r="D655" s="24" t="n">
        <v>3.74</v>
      </c>
      <c r="E655" s="24" t="inlineStr">
        <is>
          <t>07.882.930/0001-65</t>
        </is>
      </c>
      <c r="F655" s="24" t="n"/>
      <c r="G655" s="29" t="inlineStr">
        <is>
          <t>11,94</t>
        </is>
      </c>
      <c r="H655" s="29" t="n"/>
      <c r="I655" s="24" t="n"/>
    </row>
    <row r="656">
      <c r="A656" s="26" t="inlineStr">
        <is>
          <t>ITUB3</t>
        </is>
      </c>
      <c r="B656" s="27" t="inlineStr">
        <is>
          <t>Ação</t>
        </is>
      </c>
      <c r="C656" s="27" t="inlineStr">
        <is>
          <t>ItaÃº Unibanco</t>
        </is>
      </c>
      <c r="D656" s="27" t="n">
        <v>40.81</v>
      </c>
      <c r="E656" s="27" t="inlineStr">
        <is>
          <t>60.872.504/0001-23</t>
        </is>
      </c>
      <c r="F656" s="27" t="n"/>
      <c r="G656" s="28" t="inlineStr">
        <is>
          <t>7,69</t>
        </is>
      </c>
      <c r="H656" s="28" t="n"/>
      <c r="I656" s="27" t="n"/>
    </row>
    <row r="657">
      <c r="A657" s="23" t="inlineStr">
        <is>
          <t>PLPL3</t>
        </is>
      </c>
      <c r="B657" s="24" t="inlineStr">
        <is>
          <t>Ação</t>
        </is>
      </c>
      <c r="C657" s="24" t="inlineStr">
        <is>
          <t>Plano&amp;Plano</t>
        </is>
      </c>
      <c r="D657" s="24" t="n">
        <v>14.07</v>
      </c>
      <c r="E657" s="24" t="inlineStr">
        <is>
          <t>24.230.275/0001-80</t>
        </is>
      </c>
      <c r="F657" s="24" t="n"/>
      <c r="G657" s="29" t="inlineStr">
        <is>
          <t>3,57</t>
        </is>
      </c>
      <c r="H657" s="29" t="n"/>
      <c r="I657" s="24" t="n"/>
    </row>
    <row r="658">
      <c r="A658" s="26" t="inlineStr">
        <is>
          <t>ARML3</t>
        </is>
      </c>
      <c r="B658" s="27" t="inlineStr">
        <is>
          <t>Ação</t>
        </is>
      </c>
      <c r="C658" s="27" t="inlineStr">
        <is>
          <t>Armac</t>
        </is>
      </c>
      <c r="D658" s="27" t="n">
        <v>4.9</v>
      </c>
      <c r="E658" s="27" t="inlineStr">
        <is>
          <t>00.242.184/0001-04</t>
        </is>
      </c>
      <c r="F658" s="27" t="n"/>
      <c r="G658" s="28" t="inlineStr">
        <is>
          <t>11,25</t>
        </is>
      </c>
      <c r="H658" s="28" t="n"/>
      <c r="I658" s="27" t="n"/>
    </row>
    <row r="659">
      <c r="A659" s="23" t="inlineStr">
        <is>
          <t>EGIE3</t>
        </is>
      </c>
      <c r="B659" s="24" t="inlineStr">
        <is>
          <t>Ação</t>
        </is>
      </c>
      <c r="C659" s="24" t="inlineStr">
        <is>
          <t>Engie</t>
        </is>
      </c>
      <c r="D659" s="24" t="n">
        <v>32.13</v>
      </c>
      <c r="E659" s="24" t="inlineStr">
        <is>
          <t>02.474.103/0001-19</t>
        </is>
      </c>
      <c r="F659" s="24" t="n"/>
      <c r="G659" s="29" t="inlineStr">
        <is>
          <t>5,80</t>
        </is>
      </c>
      <c r="H659" s="29" t="n"/>
      <c r="I659" s="24" t="n"/>
    </row>
    <row r="660">
      <c r="A660" s="26" t="inlineStr">
        <is>
          <t>BPAN4</t>
        </is>
      </c>
      <c r="B660" s="27" t="inlineStr">
        <is>
          <t>Ação</t>
        </is>
      </c>
      <c r="C660" s="27" t="inlineStr">
        <is>
          <t>Banco Pan</t>
        </is>
      </c>
      <c r="D660" s="27" t="n"/>
      <c r="E660" s="27" t="inlineStr">
        <is>
          <t>59.285.411/0001-13</t>
        </is>
      </c>
      <c r="F660" s="27" t="n"/>
      <c r="G660" s="28" t="inlineStr">
        <is>
          <t>0,00</t>
        </is>
      </c>
      <c r="H660" s="28" t="n"/>
      <c r="I660" s="27" t="n"/>
    </row>
    <row r="661">
      <c r="A661" s="23" t="inlineStr">
        <is>
          <t>MILS3</t>
        </is>
      </c>
      <c r="B661" s="24" t="inlineStr">
        <is>
          <t>Ação</t>
        </is>
      </c>
      <c r="C661" s="24" t="inlineStr">
        <is>
          <t>Mills</t>
        </is>
      </c>
      <c r="D661" s="24" t="n">
        <v>14.39</v>
      </c>
      <c r="E661" s="24" t="inlineStr">
        <is>
          <t>27.093.558/0001-15</t>
        </is>
      </c>
      <c r="F661" s="24" t="n"/>
      <c r="G661" s="29" t="inlineStr">
        <is>
          <t>3,11</t>
        </is>
      </c>
      <c r="H661" s="29" t="n"/>
      <c r="I661" s="24" t="n"/>
    </row>
    <row r="662">
      <c r="A662" s="26" t="inlineStr">
        <is>
          <t>LIGT3</t>
        </is>
      </c>
      <c r="B662" s="27" t="inlineStr">
        <is>
          <t>Ação</t>
        </is>
      </c>
      <c r="C662" s="27" t="inlineStr">
        <is>
          <t>Light</t>
        </is>
      </c>
      <c r="D662" s="27" t="n">
        <v>4.68</v>
      </c>
      <c r="E662" s="27" t="inlineStr">
        <is>
          <t>03.378.521/0001-75</t>
        </is>
      </c>
      <c r="F662" s="27" t="n"/>
      <c r="G662" s="28" t="inlineStr">
        <is>
          <t>0,00</t>
        </is>
      </c>
      <c r="H662" s="28" t="n"/>
      <c r="I662" s="27" t="n"/>
    </row>
    <row r="663">
      <c r="A663" s="23" t="inlineStr">
        <is>
          <t>JSLG3</t>
        </is>
      </c>
      <c r="B663" s="24" t="inlineStr">
        <is>
          <t>Ação</t>
        </is>
      </c>
      <c r="C663" s="24" t="inlineStr">
        <is>
          <t>JSL</t>
        </is>
      </c>
      <c r="D663" s="24" t="n">
        <v>7.5</v>
      </c>
      <c r="E663" s="24" t="inlineStr">
        <is>
          <t>52.548.435/0001-79</t>
        </is>
      </c>
      <c r="F663" s="24" t="n"/>
      <c r="G663" s="29" t="inlineStr">
        <is>
          <t>24,57</t>
        </is>
      </c>
      <c r="H663" s="29" t="n"/>
      <c r="I663" s="24" t="n"/>
    </row>
    <row r="664">
      <c r="A664" s="26" t="inlineStr">
        <is>
          <t>GUAR3</t>
        </is>
      </c>
      <c r="B664" s="27" t="inlineStr">
        <is>
          <t>Ação</t>
        </is>
      </c>
      <c r="C664" s="27" t="inlineStr">
        <is>
          <t>Guararapes</t>
        </is>
      </c>
      <c r="D664" s="27" t="n">
        <v>10.14</v>
      </c>
      <c r="E664" s="27" t="inlineStr">
        <is>
          <t>33.200.056/0001-49</t>
        </is>
      </c>
      <c r="F664" s="27" t="n"/>
      <c r="G664" s="28" t="inlineStr">
        <is>
          <t>24,46</t>
        </is>
      </c>
      <c r="H664" s="28" t="n"/>
      <c r="I664" s="27" t="n"/>
    </row>
    <row r="665">
      <c r="A665" s="23" t="inlineStr">
        <is>
          <t>MDNE3</t>
        </is>
      </c>
      <c r="B665" s="24" t="inlineStr">
        <is>
          <t>Ação</t>
        </is>
      </c>
      <c r="C665" s="24" t="inlineStr">
        <is>
          <t>Moura Dubeux</t>
        </is>
      </c>
      <c r="D665" s="24" t="n">
        <v>31.09</v>
      </c>
      <c r="E665" s="24" t="inlineStr">
        <is>
          <t>12.049.631/0001-84</t>
        </is>
      </c>
      <c r="F665" s="24" t="n"/>
      <c r="G665" s="29" t="inlineStr">
        <is>
          <t>16,83</t>
        </is>
      </c>
      <c r="H665" s="29" t="n"/>
      <c r="I665" s="24" t="n"/>
    </row>
    <row r="666">
      <c r="A666" s="26" t="inlineStr">
        <is>
          <t>POMO3</t>
        </is>
      </c>
      <c r="B666" s="27" t="inlineStr">
        <is>
          <t>Ação</t>
        </is>
      </c>
      <c r="C666" s="27" t="inlineStr">
        <is>
          <t>Marcopolo</t>
        </is>
      </c>
      <c r="D666" s="27" t="n">
        <v>6</v>
      </c>
      <c r="E666" s="27" t="inlineStr">
        <is>
          <t>88.611.835/0001-29</t>
        </is>
      </c>
      <c r="F666" s="27" t="n"/>
      <c r="G666" s="28" t="inlineStr">
        <is>
          <t>16,89</t>
        </is>
      </c>
      <c r="H666" s="28" t="n"/>
      <c r="I666" s="27" t="n"/>
    </row>
    <row r="667">
      <c r="A667" s="23" t="inlineStr">
        <is>
          <t>USIM3</t>
        </is>
      </c>
      <c r="B667" s="24" t="inlineStr">
        <is>
          <t>Ação</t>
        </is>
      </c>
      <c r="C667" s="24" t="inlineStr">
        <is>
          <t>Usiminas</t>
        </is>
      </c>
      <c r="D667" s="24" t="n">
        <v>6.56</v>
      </c>
      <c r="E667" s="24" t="inlineStr">
        <is>
          <t>60.894.730/0001-05</t>
        </is>
      </c>
      <c r="F667" s="24" t="n"/>
      <c r="G667" s="29" t="inlineStr">
        <is>
          <t>0,00</t>
        </is>
      </c>
      <c r="H667" s="29" t="n"/>
      <c r="I667" s="24" t="n"/>
    </row>
    <row r="668">
      <c r="A668" s="26" t="inlineStr">
        <is>
          <t>SYNE3</t>
        </is>
      </c>
      <c r="B668" s="27" t="inlineStr">
        <is>
          <t>Ação</t>
        </is>
      </c>
      <c r="C668" s="27" t="inlineStr">
        <is>
          <t>SYN</t>
        </is>
      </c>
      <c r="D668" s="27" t="n">
        <v>4.65</v>
      </c>
      <c r="E668" s="27" t="inlineStr">
        <is>
          <t>08.801.621/0001-86</t>
        </is>
      </c>
      <c r="F668" s="27" t="n"/>
      <c r="G668" s="28" t="inlineStr">
        <is>
          <t>18,60</t>
        </is>
      </c>
      <c r="H668" s="28" t="n"/>
      <c r="I668" s="27" t="n"/>
    </row>
    <row r="669">
      <c r="A669" s="23" t="inlineStr">
        <is>
          <t>MDIA3</t>
        </is>
      </c>
      <c r="B669" s="24" t="inlineStr">
        <is>
          <t>Ação</t>
        </is>
      </c>
      <c r="C669" s="24" t="inlineStr">
        <is>
          <t>M. Dias Branco</t>
        </is>
      </c>
      <c r="D669" s="24" t="n">
        <v>22.79</v>
      </c>
      <c r="E669" s="24" t="inlineStr">
        <is>
          <t>07.206.816/0001-15</t>
        </is>
      </c>
      <c r="F669" s="24" t="n"/>
      <c r="G669" s="29" t="inlineStr">
        <is>
          <t>5,99</t>
        </is>
      </c>
      <c r="H669" s="29" t="n"/>
      <c r="I669" s="24" t="n"/>
    </row>
    <row r="670">
      <c r="A670" s="26" t="inlineStr">
        <is>
          <t>AZEV3</t>
        </is>
      </c>
      <c r="B670" s="27" t="inlineStr">
        <is>
          <t>Ação</t>
        </is>
      </c>
      <c r="C670" s="27" t="inlineStr">
        <is>
          <t>Azevedo &amp; Travassos</t>
        </is>
      </c>
      <c r="D670" s="27" t="n">
        <v>0.28</v>
      </c>
      <c r="E670" s="27" t="inlineStr">
        <is>
          <t>61.351.532/0001-68</t>
        </is>
      </c>
      <c r="F670" s="27" t="n"/>
      <c r="G670" s="28" t="inlineStr">
        <is>
          <t>0,00</t>
        </is>
      </c>
      <c r="H670" s="28" t="n"/>
      <c r="I670" s="27" t="n"/>
    </row>
    <row r="671">
      <c r="A671" s="23" t="inlineStr">
        <is>
          <t>RCSL4</t>
        </is>
      </c>
      <c r="B671" s="24" t="inlineStr">
        <is>
          <t>Ação</t>
        </is>
      </c>
      <c r="C671" s="24" t="inlineStr">
        <is>
          <t>Recrusul</t>
        </is>
      </c>
      <c r="D671" s="24" t="n">
        <v>1.07</v>
      </c>
      <c r="E671" s="24" t="inlineStr">
        <is>
          <t>91.333.666/0001-17</t>
        </is>
      </c>
      <c r="F671" s="24" t="n"/>
      <c r="G671" s="29" t="inlineStr">
        <is>
          <t>0,00</t>
        </is>
      </c>
      <c r="H671" s="29" t="n"/>
      <c r="I671" s="24" t="n"/>
    </row>
    <row r="672">
      <c r="A672" s="26" t="inlineStr">
        <is>
          <t>TFCO4</t>
        </is>
      </c>
      <c r="B672" s="27" t="inlineStr">
        <is>
          <t>Ação</t>
        </is>
      </c>
      <c r="C672" s="27" t="inlineStr">
        <is>
          <t>Track &amp; Field</t>
        </is>
      </c>
      <c r="D672" s="27" t="n">
        <v>16.19</v>
      </c>
      <c r="E672" s="27" t="inlineStr">
        <is>
          <t>59.418.806/0001-47</t>
        </is>
      </c>
      <c r="F672" s="27" t="n"/>
      <c r="G672" s="28" t="inlineStr">
        <is>
          <t>1,40</t>
        </is>
      </c>
      <c r="H672" s="28" t="n"/>
      <c r="I672" s="27" t="n"/>
    </row>
    <row r="673">
      <c r="A673" s="23" t="inlineStr">
        <is>
          <t>SOJA3</t>
        </is>
      </c>
      <c r="B673" s="24" t="inlineStr">
        <is>
          <t>Ação</t>
        </is>
      </c>
      <c r="C673" s="24" t="inlineStr">
        <is>
          <t>Boa Safra Sementes</t>
        </is>
      </c>
      <c r="D673" s="24" t="n">
        <v>8.07</v>
      </c>
      <c r="E673" s="24" t="inlineStr">
        <is>
          <t>10.807.374/0001-77</t>
        </is>
      </c>
      <c r="F673" s="24" t="n"/>
      <c r="G673" s="29" t="inlineStr">
        <is>
          <t>3,76</t>
        </is>
      </c>
      <c r="H673" s="29" t="n"/>
      <c r="I673" s="24" t="n"/>
    </row>
    <row r="674">
      <c r="A674" s="26" t="inlineStr">
        <is>
          <t>SEER3</t>
        </is>
      </c>
      <c r="B674" s="27" t="inlineStr">
        <is>
          <t>Ação</t>
        </is>
      </c>
      <c r="C674" s="27" t="inlineStr">
        <is>
          <t>Ser Educacional</t>
        </is>
      </c>
      <c r="D674" s="27" t="n">
        <v>10.75</v>
      </c>
      <c r="E674" s="27" t="inlineStr">
        <is>
          <t>04.986.320/0001-13</t>
        </is>
      </c>
      <c r="F674" s="27" t="n"/>
      <c r="G674" s="28" t="inlineStr">
        <is>
          <t>1,38</t>
        </is>
      </c>
      <c r="H674" s="28" t="n"/>
      <c r="I674" s="27" t="n"/>
    </row>
    <row r="675">
      <c r="A675" s="23" t="inlineStr">
        <is>
          <t>ESPA3</t>
        </is>
      </c>
      <c r="B675" s="24" t="inlineStr">
        <is>
          <t>Ação</t>
        </is>
      </c>
      <c r="C675" s="24" t="inlineStr">
        <is>
          <t>EspaÃ§olaser</t>
        </is>
      </c>
      <c r="D675" s="24" t="n">
        <v>1.16</v>
      </c>
      <c r="E675" s="24" t="inlineStr">
        <is>
          <t>26.659.061/0001-59</t>
        </is>
      </c>
      <c r="F675" s="24" t="n"/>
      <c r="G675" s="29" t="inlineStr">
        <is>
          <t>3,47</t>
        </is>
      </c>
      <c r="H675" s="29" t="n"/>
      <c r="I675" s="24" t="n"/>
    </row>
    <row r="676">
      <c r="A676" s="26" t="inlineStr">
        <is>
          <t>GFSA3</t>
        </is>
      </c>
      <c r="B676" s="27" t="inlineStr">
        <is>
          <t>Ação</t>
        </is>
      </c>
      <c r="C676" s="27" t="inlineStr">
        <is>
          <t>Gafisa</t>
        </is>
      </c>
      <c r="D676" s="27" t="n">
        <v>1.91</v>
      </c>
      <c r="E676" s="27" t="inlineStr">
        <is>
          <t>01.545.826/0001-07</t>
        </is>
      </c>
      <c r="F676" s="27" t="n"/>
      <c r="G676" s="28" t="inlineStr">
        <is>
          <t>0,00</t>
        </is>
      </c>
      <c r="H676" s="28" t="n"/>
      <c r="I676" s="27" t="n"/>
    </row>
    <row r="677">
      <c r="A677" s="23" t="inlineStr">
        <is>
          <t>PGMN3</t>
        </is>
      </c>
      <c r="B677" s="24" t="inlineStr">
        <is>
          <t>Ação</t>
        </is>
      </c>
      <c r="C677" s="24" t="inlineStr">
        <is>
          <t>Pague Menos</t>
        </is>
      </c>
      <c r="D677" s="24" t="n">
        <v>6.2</v>
      </c>
      <c r="E677" s="24" t="inlineStr">
        <is>
          <t>06.626.253/0001-51</t>
        </is>
      </c>
      <c r="F677" s="24" t="n"/>
      <c r="G677" s="29" t="inlineStr">
        <is>
          <t>4,00</t>
        </is>
      </c>
      <c r="H677" s="29" t="n"/>
      <c r="I677" s="24" t="n"/>
    </row>
    <row r="678">
      <c r="A678" s="26" t="inlineStr">
        <is>
          <t>WIZC3</t>
        </is>
      </c>
      <c r="B678" s="27" t="inlineStr">
        <is>
          <t>Ação</t>
        </is>
      </c>
      <c r="C678" s="27" t="inlineStr">
        <is>
          <t>Wiz SoluÃ§Ãµes</t>
        </is>
      </c>
      <c r="D678" s="27" t="n">
        <v>9.35</v>
      </c>
      <c r="E678" s="27" t="inlineStr">
        <is>
          <t>42.278.473/0001-03</t>
        </is>
      </c>
      <c r="F678" s="27" t="n"/>
      <c r="G678" s="28" t="inlineStr">
        <is>
          <t>6,05</t>
        </is>
      </c>
      <c r="H678" s="28" t="n"/>
      <c r="I678" s="27" t="n"/>
    </row>
    <row r="679">
      <c r="A679" s="23" t="inlineStr">
        <is>
          <t>FESA4</t>
        </is>
      </c>
      <c r="B679" s="24" t="inlineStr">
        <is>
          <t>Ação</t>
        </is>
      </c>
      <c r="C679" s="24" t="inlineStr">
        <is>
          <t>Ferbasa</t>
        </is>
      </c>
      <c r="D679" s="24" t="n">
        <v>7.78</v>
      </c>
      <c r="E679" s="24" t="inlineStr">
        <is>
          <t>15.141.799/0001-03</t>
        </is>
      </c>
      <c r="F679" s="24" t="n"/>
      <c r="G679" s="29" t="inlineStr">
        <is>
          <t>9,25</t>
        </is>
      </c>
      <c r="H679" s="29" t="n"/>
      <c r="I679" s="24" t="n"/>
    </row>
    <row r="680">
      <c r="A680" s="26" t="inlineStr">
        <is>
          <t>PRNR3</t>
        </is>
      </c>
      <c r="B680" s="27" t="inlineStr">
        <is>
          <t>Ação</t>
        </is>
      </c>
      <c r="C680" s="27" t="inlineStr">
        <is>
          <t>Priner</t>
        </is>
      </c>
      <c r="D680" s="27" t="n">
        <v>20.25</v>
      </c>
      <c r="E680" s="27" t="inlineStr">
        <is>
          <t>18.593.815/0001-97</t>
        </is>
      </c>
      <c r="F680" s="27" t="n"/>
      <c r="G680" s="28" t="inlineStr">
        <is>
          <t>0,24</t>
        </is>
      </c>
      <c r="H680" s="28" t="n"/>
      <c r="I680" s="27" t="n"/>
    </row>
    <row r="681">
      <c r="A681" s="23" t="inlineStr">
        <is>
          <t>FRAS3</t>
        </is>
      </c>
      <c r="B681" s="24" t="inlineStr">
        <is>
          <t>Ação</t>
        </is>
      </c>
      <c r="C681" s="24" t="inlineStr">
        <is>
          <t>Fras-le</t>
        </is>
      </c>
      <c r="D681" s="24" t="n">
        <v>23.7</v>
      </c>
      <c r="E681" s="24" t="inlineStr">
        <is>
          <t>88.610.126/0001-29</t>
        </is>
      </c>
      <c r="F681" s="24" t="n"/>
      <c r="G681" s="29" t="inlineStr">
        <is>
          <t>2,96</t>
        </is>
      </c>
      <c r="H681" s="29" t="n"/>
      <c r="I681" s="24" t="n"/>
    </row>
    <row r="682">
      <c r="A682" s="26" t="inlineStr">
        <is>
          <t>BMGB4</t>
        </is>
      </c>
      <c r="B682" s="27" t="inlineStr">
        <is>
          <t>Ação</t>
        </is>
      </c>
      <c r="C682" s="27" t="inlineStr">
        <is>
          <t>Banco BMG</t>
        </is>
      </c>
      <c r="D682" s="27" t="n">
        <v>4.76</v>
      </c>
      <c r="E682" s="27" t="inlineStr">
        <is>
          <t>61.186.680/0001-74</t>
        </is>
      </c>
      <c r="F682" s="27" t="n"/>
      <c r="G682" s="28" t="inlineStr">
        <is>
          <t>11,52</t>
        </is>
      </c>
      <c r="H682" s="28" t="n"/>
      <c r="I682" s="27" t="n"/>
    </row>
    <row r="683">
      <c r="A683" s="23" t="inlineStr">
        <is>
          <t>SHUL4</t>
        </is>
      </c>
      <c r="B683" s="24" t="inlineStr">
        <is>
          <t>Ação</t>
        </is>
      </c>
      <c r="C683" s="24" t="inlineStr">
        <is>
          <t>Schulz</t>
        </is>
      </c>
      <c r="D683" s="24" t="n">
        <v>5.25</v>
      </c>
      <c r="E683" s="24" t="inlineStr">
        <is>
          <t>84.693.183/0001-68</t>
        </is>
      </c>
      <c r="F683" s="24" t="n"/>
      <c r="G683" s="29" t="inlineStr">
        <is>
          <t>11,69</t>
        </is>
      </c>
      <c r="H683" s="29" t="n"/>
      <c r="I683" s="24" t="n"/>
    </row>
    <row r="684">
      <c r="A684" s="26" t="inlineStr">
        <is>
          <t>AMAR3</t>
        </is>
      </c>
      <c r="B684" s="27" t="inlineStr">
        <is>
          <t>Ação</t>
        </is>
      </c>
      <c r="C684" s="27" t="inlineStr">
        <is>
          <t>Lojas Marisa</t>
        </is>
      </c>
      <c r="D684" s="27" t="n">
        <v>0.89</v>
      </c>
      <c r="E684" s="27" t="inlineStr">
        <is>
          <t>61.189.288/0001-89</t>
        </is>
      </c>
      <c r="F684" s="27" t="n"/>
      <c r="G684" s="28" t="inlineStr">
        <is>
          <t>0,00</t>
        </is>
      </c>
      <c r="H684" s="28" t="n"/>
      <c r="I684" s="27" t="n"/>
    </row>
    <row r="685">
      <c r="A685" s="23" t="inlineStr">
        <is>
          <t>PMAM3</t>
        </is>
      </c>
      <c r="B685" s="24" t="inlineStr">
        <is>
          <t>Ação</t>
        </is>
      </c>
      <c r="C685" s="24" t="inlineStr">
        <is>
          <t>Paranapanema</t>
        </is>
      </c>
      <c r="D685" s="24" t="n">
        <v>0.55</v>
      </c>
      <c r="E685" s="24" t="inlineStr">
        <is>
          <t>60.398.369/0004-79</t>
        </is>
      </c>
      <c r="F685" s="24" t="n"/>
      <c r="G685" s="29" t="inlineStr">
        <is>
          <t>0,00</t>
        </is>
      </c>
      <c r="H685" s="29" t="n"/>
      <c r="I685" s="24" t="n"/>
    </row>
    <row r="686">
      <c r="A686" s="26" t="inlineStr">
        <is>
          <t>ABCB4</t>
        </is>
      </c>
      <c r="B686" s="27" t="inlineStr">
        <is>
          <t>Ação</t>
        </is>
      </c>
      <c r="C686" s="27" t="inlineStr">
        <is>
          <t>Banco ABC Brasil</t>
        </is>
      </c>
      <c r="D686" s="27" t="n">
        <v>25.85</v>
      </c>
      <c r="E686" s="27" t="inlineStr">
        <is>
          <t>28.195.667/0001-06</t>
        </is>
      </c>
      <c r="F686" s="27" t="n"/>
      <c r="G686" s="28" t="inlineStr">
        <is>
          <t>9,98</t>
        </is>
      </c>
      <c r="H686" s="28" t="n"/>
      <c r="I686" s="27" t="n"/>
    </row>
    <row r="687">
      <c r="A687" s="23" t="inlineStr">
        <is>
          <t>FIQE3</t>
        </is>
      </c>
      <c r="B687" s="24" t="inlineStr">
        <is>
          <t>Ação</t>
        </is>
      </c>
      <c r="C687" s="24" t="inlineStr">
        <is>
          <t>Unifique</t>
        </is>
      </c>
      <c r="D687" s="24" t="n">
        <v>5.25</v>
      </c>
      <c r="E687" s="24" t="inlineStr">
        <is>
          <t>02.255.187/0001-08</t>
        </is>
      </c>
      <c r="F687" s="24" t="n"/>
      <c r="G687" s="29" t="inlineStr">
        <is>
          <t>14,77</t>
        </is>
      </c>
      <c r="H687" s="29" t="n"/>
      <c r="I687" s="24" t="n"/>
    </row>
    <row r="688">
      <c r="A688" s="26" t="inlineStr">
        <is>
          <t>MELK3</t>
        </is>
      </c>
      <c r="B688" s="27" t="inlineStr">
        <is>
          <t>Ação</t>
        </is>
      </c>
      <c r="C688" s="27" t="inlineStr">
        <is>
          <t>Melnick</t>
        </is>
      </c>
      <c r="D688" s="27" t="n">
        <v>3.7</v>
      </c>
      <c r="E688" s="27" t="inlineStr">
        <is>
          <t>12.181.987/0001-77</t>
        </is>
      </c>
      <c r="F688" s="27" t="n"/>
      <c r="G688" s="28" t="inlineStr">
        <is>
          <t>14,67</t>
        </is>
      </c>
      <c r="H688" s="28" t="n"/>
      <c r="I688" s="27" t="n"/>
    </row>
    <row r="689">
      <c r="A689" s="23" t="inlineStr">
        <is>
          <t>DASA3</t>
        </is>
      </c>
      <c r="B689" s="24" t="inlineStr">
        <is>
          <t>Ação</t>
        </is>
      </c>
      <c r="C689" s="24" t="inlineStr">
        <is>
          <t>Dasa</t>
        </is>
      </c>
      <c r="D689" s="24" t="n">
        <v>3.8</v>
      </c>
      <c r="E689" s="24" t="inlineStr">
        <is>
          <t>61.486.650/0001-83</t>
        </is>
      </c>
      <c r="F689" s="24" t="n"/>
      <c r="G689" s="29" t="inlineStr">
        <is>
          <t>0,00</t>
        </is>
      </c>
      <c r="H689" s="29" t="n"/>
      <c r="I689" s="24" t="n"/>
    </row>
    <row r="690">
      <c r="A690" s="26" t="inlineStr">
        <is>
          <t>PINE4</t>
        </is>
      </c>
      <c r="B690" s="27" t="inlineStr">
        <is>
          <t>Ação</t>
        </is>
      </c>
      <c r="C690" s="27" t="inlineStr">
        <is>
          <t>Banco Pine</t>
        </is>
      </c>
      <c r="D690" s="27" t="n">
        <v>11.3</v>
      </c>
      <c r="E690" s="27" t="inlineStr">
        <is>
          <t>62.144.175/0001-20</t>
        </is>
      </c>
      <c r="F690" s="27" t="n"/>
      <c r="G690" s="28" t="inlineStr">
        <is>
          <t>7,21</t>
        </is>
      </c>
      <c r="H690" s="28" t="n"/>
      <c r="I690" s="27" t="n"/>
    </row>
    <row r="691">
      <c r="A691" s="23" t="inlineStr">
        <is>
          <t>RANI3</t>
        </is>
      </c>
      <c r="B691" s="24" t="inlineStr">
        <is>
          <t>Ação</t>
        </is>
      </c>
      <c r="C691" s="24" t="inlineStr">
        <is>
          <t>Irani</t>
        </is>
      </c>
      <c r="D691" s="24" t="n">
        <v>9.789999999999999</v>
      </c>
      <c r="E691" s="24" t="inlineStr">
        <is>
          <t>92.791.243/0001-03</t>
        </is>
      </c>
      <c r="F691" s="24" t="n"/>
      <c r="G691" s="29" t="inlineStr">
        <is>
          <t>7,81</t>
        </is>
      </c>
      <c r="H691" s="29" t="n"/>
      <c r="I691" s="24" t="n"/>
    </row>
    <row r="692">
      <c r="A692" s="26" t="inlineStr">
        <is>
          <t>SEQL3</t>
        </is>
      </c>
      <c r="B692" s="27" t="inlineStr">
        <is>
          <t>Ação</t>
        </is>
      </c>
      <c r="C692" s="27" t="inlineStr">
        <is>
          <t>Sequoia LogÃ­stica</t>
        </is>
      </c>
      <c r="D692" s="27" t="n">
        <v>0.31</v>
      </c>
      <c r="E692" s="27" t="inlineStr">
        <is>
          <t>01.599.101/0001-93</t>
        </is>
      </c>
      <c r="F692" s="27" t="n"/>
      <c r="G692" s="28" t="inlineStr">
        <is>
          <t>0,00</t>
        </is>
      </c>
      <c r="H692" s="28" t="n"/>
      <c r="I692" s="27" t="n"/>
    </row>
    <row r="693">
      <c r="A693" s="23" t="inlineStr">
        <is>
          <t>PNVL3</t>
        </is>
      </c>
      <c r="B693" s="24" t="inlineStr">
        <is>
          <t>Ação</t>
        </is>
      </c>
      <c r="C693" s="24" t="inlineStr">
        <is>
          <t>Dimed</t>
        </is>
      </c>
      <c r="D693" s="24" t="n">
        <v>14.96</v>
      </c>
      <c r="E693" s="24" t="inlineStr">
        <is>
          <t>92.665.611/0001-77</t>
        </is>
      </c>
      <c r="F693" s="24" t="n"/>
      <c r="G693" s="29" t="inlineStr">
        <is>
          <t>2,28</t>
        </is>
      </c>
      <c r="H693" s="29" t="n"/>
      <c r="I693" s="24" t="n"/>
    </row>
    <row r="694">
      <c r="A694" s="26" t="inlineStr">
        <is>
          <t>BLAU3</t>
        </is>
      </c>
      <c r="B694" s="27" t="inlineStr">
        <is>
          <t>Ação</t>
        </is>
      </c>
      <c r="C694" s="27" t="inlineStr">
        <is>
          <t>Blau FarmacÃªutica</t>
        </is>
      </c>
      <c r="D694" s="27" t="n">
        <v>10.43</v>
      </c>
      <c r="E694" s="27" t="inlineStr">
        <is>
          <t>58.430.828/0001-60</t>
        </is>
      </c>
      <c r="F694" s="27" t="n"/>
      <c r="G694" s="28" t="inlineStr">
        <is>
          <t>9,75</t>
        </is>
      </c>
      <c r="H694" s="28" t="n"/>
      <c r="I694" s="27" t="n"/>
    </row>
    <row r="695">
      <c r="A695" s="23" t="inlineStr">
        <is>
          <t>OPCT3</t>
        </is>
      </c>
      <c r="B695" s="24" t="inlineStr">
        <is>
          <t>Ação</t>
        </is>
      </c>
      <c r="C695" s="24" t="inlineStr">
        <is>
          <t>OceanPact</t>
        </is>
      </c>
      <c r="D695" s="24" t="n">
        <v>9.48</v>
      </c>
      <c r="E695" s="24" t="inlineStr">
        <is>
          <t>09.114.805/0001-30</t>
        </is>
      </c>
      <c r="F695" s="24" t="n"/>
      <c r="G695" s="29" t="inlineStr">
        <is>
          <t>0,00</t>
        </is>
      </c>
      <c r="H695" s="29" t="n"/>
      <c r="I695" s="24" t="n"/>
    </row>
    <row r="696">
      <c r="A696" s="26" t="inlineStr">
        <is>
          <t>TOKY3</t>
        </is>
      </c>
      <c r="B696" s="27" t="inlineStr">
        <is>
          <t>Ação</t>
        </is>
      </c>
      <c r="C696" s="27" t="inlineStr">
        <is>
          <t>TOKY3</t>
        </is>
      </c>
      <c r="D696" s="27" t="n">
        <v>0.49</v>
      </c>
      <c r="E696" s="27" t="inlineStr">
        <is>
          <t>31.553.627/0001-01</t>
        </is>
      </c>
      <c r="F696" s="27" t="n"/>
      <c r="G696" s="28" t="inlineStr">
        <is>
          <t>0,00</t>
        </is>
      </c>
      <c r="H696" s="28" t="n"/>
      <c r="I696" s="27" t="n"/>
    </row>
    <row r="697">
      <c r="A697" s="23" t="inlineStr">
        <is>
          <t>MYPK3</t>
        </is>
      </c>
      <c r="B697" s="24" t="inlineStr">
        <is>
          <t>Ação</t>
        </is>
      </c>
      <c r="C697" s="24" t="inlineStr">
        <is>
          <t>Iochpe-Maxion</t>
        </is>
      </c>
      <c r="D697" s="24" t="n">
        <v>9.460000000000001</v>
      </c>
      <c r="E697" s="24" t="inlineStr">
        <is>
          <t>61.156.113/0001-75</t>
        </is>
      </c>
      <c r="F697" s="24" t="n"/>
      <c r="G697" s="29" t="inlineStr">
        <is>
          <t>5,15</t>
        </is>
      </c>
      <c r="H697" s="29" t="n"/>
      <c r="I697" s="24" t="n"/>
    </row>
    <row r="698">
      <c r="A698" s="26" t="inlineStr">
        <is>
          <t>PORT3</t>
        </is>
      </c>
      <c r="B698" s="27" t="inlineStr">
        <is>
          <t>Ação</t>
        </is>
      </c>
      <c r="C698" s="27" t="inlineStr">
        <is>
          <t>Wilson Sons</t>
        </is>
      </c>
      <c r="D698" s="27" t="n"/>
      <c r="E698" s="27" t="inlineStr">
        <is>
          <t>33.130.691/0001-05</t>
        </is>
      </c>
      <c r="F698" s="27" t="n"/>
      <c r="G698" s="28" t="inlineStr">
        <is>
          <t>4,10</t>
        </is>
      </c>
      <c r="H698" s="28" t="n"/>
      <c r="I698" s="27" t="n"/>
    </row>
    <row r="699">
      <c r="A699" s="23" t="inlineStr">
        <is>
          <t>KLBN3</t>
        </is>
      </c>
      <c r="B699" s="24" t="inlineStr">
        <is>
          <t>Ação</t>
        </is>
      </c>
      <c r="C699" s="24" t="inlineStr">
        <is>
          <t>Klabin</t>
        </is>
      </c>
      <c r="D699" s="24" t="n">
        <v>3.92</v>
      </c>
      <c r="E699" s="24" t="inlineStr">
        <is>
          <t>89.637.490/0001-45</t>
        </is>
      </c>
      <c r="F699" s="24" t="n"/>
      <c r="G699" s="29" t="inlineStr">
        <is>
          <t>8,37</t>
        </is>
      </c>
      <c r="H699" s="29" t="n"/>
      <c r="I699" s="24" t="n"/>
    </row>
    <row r="700">
      <c r="A700" s="26" t="inlineStr">
        <is>
          <t>TRIS3</t>
        </is>
      </c>
      <c r="B700" s="27" t="inlineStr">
        <is>
          <t>Ação</t>
        </is>
      </c>
      <c r="C700" s="27" t="inlineStr">
        <is>
          <t>Trisul</t>
        </is>
      </c>
      <c r="D700" s="27" t="n">
        <v>6.78</v>
      </c>
      <c r="E700" s="27" t="inlineStr">
        <is>
          <t>08.811.643/0001-27</t>
        </is>
      </c>
      <c r="F700" s="27" t="n"/>
      <c r="G700" s="28" t="inlineStr">
        <is>
          <t>18,08</t>
        </is>
      </c>
      <c r="H700" s="28" t="n"/>
      <c r="I700" s="27" t="n"/>
    </row>
    <row r="701">
      <c r="A701" s="23" t="inlineStr">
        <is>
          <t>LEVE3</t>
        </is>
      </c>
      <c r="B701" s="24" t="inlineStr">
        <is>
          <t>Ação</t>
        </is>
      </c>
      <c r="C701" s="24" t="inlineStr">
        <is>
          <t>Mahle Metal Leve</t>
        </is>
      </c>
      <c r="D701" s="24" t="n">
        <v>34.93</v>
      </c>
      <c r="E701" s="24" t="inlineStr">
        <is>
          <t>60.476.884/0001-87</t>
        </is>
      </c>
      <c r="F701" s="24" t="n"/>
      <c r="G701" s="29" t="inlineStr">
        <is>
          <t>7,75</t>
        </is>
      </c>
      <c r="H701" s="29" t="n"/>
      <c r="I701" s="24" t="n"/>
    </row>
    <row r="702">
      <c r="A702" s="26" t="inlineStr">
        <is>
          <t>BMOB3</t>
        </is>
      </c>
      <c r="B702" s="27" t="inlineStr">
        <is>
          <t>Ação</t>
        </is>
      </c>
      <c r="C702" s="27" t="inlineStr">
        <is>
          <t>Bemobi</t>
        </is>
      </c>
      <c r="D702" s="27" t="n">
        <v>23.42</v>
      </c>
      <c r="E702" s="27" t="inlineStr">
        <is>
          <t>09.042.817/0001-05</t>
        </is>
      </c>
      <c r="F702" s="27" t="n"/>
      <c r="G702" s="28" t="inlineStr">
        <is>
          <t>11,04</t>
        </is>
      </c>
      <c r="H702" s="28" t="n"/>
      <c r="I702" s="27" t="n"/>
    </row>
    <row r="703">
      <c r="A703" s="23" t="inlineStr">
        <is>
          <t>LOGG3</t>
        </is>
      </c>
      <c r="B703" s="24" t="inlineStr">
        <is>
          <t>Ação</t>
        </is>
      </c>
      <c r="C703" s="24" t="inlineStr">
        <is>
          <t>LOG CP</t>
        </is>
      </c>
      <c r="D703" s="24" t="n">
        <v>27.19</v>
      </c>
      <c r="E703" s="24" t="inlineStr">
        <is>
          <t>09.041.168/0001-10</t>
        </is>
      </c>
      <c r="F703" s="24" t="n"/>
      <c r="G703" s="29" t="inlineStr">
        <is>
          <t>14,53</t>
        </is>
      </c>
      <c r="H703" s="29" t="n"/>
      <c r="I703" s="24" t="n"/>
    </row>
    <row r="704">
      <c r="A704" s="26" t="inlineStr">
        <is>
          <t>MATD3</t>
        </is>
      </c>
      <c r="B704" s="27" t="inlineStr">
        <is>
          <t>Ação</t>
        </is>
      </c>
      <c r="C704" s="27" t="inlineStr">
        <is>
          <t>Mater Dei</t>
        </is>
      </c>
      <c r="D704" s="27" t="n">
        <v>5.86</v>
      </c>
      <c r="E704" s="27" t="inlineStr">
        <is>
          <t>16.676.520/0001-59</t>
        </is>
      </c>
      <c r="F704" s="27" t="n"/>
      <c r="G704" s="28" t="inlineStr">
        <is>
          <t>3,73</t>
        </is>
      </c>
      <c r="H704" s="28" t="n"/>
      <c r="I704" s="27" t="n"/>
    </row>
    <row r="705">
      <c r="A705" s="23" t="inlineStr">
        <is>
          <t>TASA4</t>
        </is>
      </c>
      <c r="B705" s="24" t="inlineStr">
        <is>
          <t>Ação</t>
        </is>
      </c>
      <c r="C705" s="24" t="inlineStr">
        <is>
          <t>Taurus</t>
        </is>
      </c>
      <c r="D705" s="24" t="n">
        <v>5.75</v>
      </c>
      <c r="E705" s="24" t="inlineStr">
        <is>
          <t>92.781.335/0001-02</t>
        </is>
      </c>
      <c r="F705" s="24" t="n"/>
      <c r="G705" s="29" t="inlineStr">
        <is>
          <t>3,44</t>
        </is>
      </c>
      <c r="H705" s="29" t="n"/>
      <c r="I705" s="24" t="n"/>
    </row>
    <row r="706">
      <c r="A706" s="26" t="inlineStr">
        <is>
          <t>LAVV3</t>
        </is>
      </c>
      <c r="B706" s="27" t="inlineStr">
        <is>
          <t>Ação</t>
        </is>
      </c>
      <c r="C706" s="27" t="inlineStr">
        <is>
          <t>Lavvi Incorporadora</t>
        </is>
      </c>
      <c r="D706" s="27" t="n">
        <v>17.5</v>
      </c>
      <c r="E706" s="27" t="inlineStr">
        <is>
          <t>26.462.693/0001-28</t>
        </is>
      </c>
      <c r="F706" s="27" t="n"/>
      <c r="G706" s="28" t="inlineStr">
        <is>
          <t>15,08</t>
        </is>
      </c>
      <c r="H706" s="28" t="n"/>
      <c r="I706" s="27" t="n"/>
    </row>
    <row r="707">
      <c r="A707" s="23" t="inlineStr">
        <is>
          <t>VTRU3</t>
        </is>
      </c>
      <c r="B707" s="24" t="inlineStr">
        <is>
          <t>Ação</t>
        </is>
      </c>
      <c r="C707" s="24" t="inlineStr">
        <is>
          <t>VITRUBREPCOM</t>
        </is>
      </c>
      <c r="D707" s="24" t="n">
        <v>13.48</v>
      </c>
      <c r="E707" s="24" t="inlineStr">
        <is>
          <t>20.512.706/0001-40</t>
        </is>
      </c>
      <c r="F707" s="24" t="n"/>
      <c r="G707" s="29" t="inlineStr">
        <is>
          <t>0,17</t>
        </is>
      </c>
      <c r="H707" s="29" t="n"/>
      <c r="I707" s="24" t="n"/>
    </row>
    <row r="708">
      <c r="A708" s="26" t="inlineStr">
        <is>
          <t>ITSA3</t>
        </is>
      </c>
      <c r="B708" s="27" t="inlineStr">
        <is>
          <t>Ação</t>
        </is>
      </c>
      <c r="C708" s="27" t="inlineStr">
        <is>
          <t>ItaÃºsa</t>
        </is>
      </c>
      <c r="D708" s="27" t="n">
        <v>13.39</v>
      </c>
      <c r="E708" s="27" t="inlineStr">
        <is>
          <t>61.532.644/0001-15</t>
        </is>
      </c>
      <c r="F708" s="27" t="inlineStr">
        <is>
          <t>Financeiro</t>
        </is>
      </c>
      <c r="G708" s="28" t="inlineStr">
        <is>
          <t>8,40</t>
        </is>
      </c>
      <c r="H708" s="28" t="n"/>
      <c r="I708" s="27" t="n"/>
    </row>
    <row r="709">
      <c r="A709" s="23" t="inlineStr">
        <is>
          <t>ALLD3</t>
        </is>
      </c>
      <c r="B709" s="24" t="inlineStr">
        <is>
          <t>Ação</t>
        </is>
      </c>
      <c r="C709" s="24" t="inlineStr">
        <is>
          <t>Allied</t>
        </is>
      </c>
      <c r="D709" s="24" t="n">
        <v>7.11</v>
      </c>
      <c r="E709" s="24" t="inlineStr">
        <is>
          <t>20.247.322/0001-47</t>
        </is>
      </c>
      <c r="F709" s="24" t="n"/>
      <c r="G709" s="29" t="inlineStr">
        <is>
          <t>16,16</t>
        </is>
      </c>
      <c r="H709" s="29" t="n"/>
      <c r="I709" s="24" t="n"/>
    </row>
    <row r="710">
      <c r="A710" s="26" t="inlineStr">
        <is>
          <t>LUPA3</t>
        </is>
      </c>
      <c r="B710" s="27" t="inlineStr">
        <is>
          <t>Ação</t>
        </is>
      </c>
      <c r="C710" s="27" t="inlineStr">
        <is>
          <t>Lupatech</t>
        </is>
      </c>
      <c r="D710" s="27" t="n">
        <v>1.17</v>
      </c>
      <c r="E710" s="27" t="inlineStr">
        <is>
          <t>89.463.822/0001-12</t>
        </is>
      </c>
      <c r="F710" s="27" t="n"/>
      <c r="G710" s="28" t="inlineStr">
        <is>
          <t>0,00</t>
        </is>
      </c>
      <c r="H710" s="28" t="n"/>
      <c r="I710" s="27" t="n"/>
    </row>
    <row r="711">
      <c r="A711" s="23" t="inlineStr">
        <is>
          <t>CSED3</t>
        </is>
      </c>
      <c r="B711" s="24" t="inlineStr">
        <is>
          <t>Ação</t>
        </is>
      </c>
      <c r="C711" s="24" t="inlineStr">
        <is>
          <t>Cruzeiro do Sul Educacional</t>
        </is>
      </c>
      <c r="D711" s="24" t="n">
        <v>6.16</v>
      </c>
      <c r="E711" s="24" t="inlineStr">
        <is>
          <t>62.984.091/0001-02</t>
        </is>
      </c>
      <c r="F711" s="24" t="n"/>
      <c r="G711" s="29" t="inlineStr">
        <is>
          <t>7,76</t>
        </is>
      </c>
      <c r="H711" s="29" t="n"/>
      <c r="I711" s="24" t="n"/>
    </row>
    <row r="712">
      <c r="A712" s="26" t="inlineStr">
        <is>
          <t>VLID3</t>
        </is>
      </c>
      <c r="B712" s="27" t="inlineStr">
        <is>
          <t>Ação</t>
        </is>
      </c>
      <c r="C712" s="27" t="inlineStr">
        <is>
          <t>Valid</t>
        </is>
      </c>
      <c r="D712" s="27" t="n">
        <v>20.66</v>
      </c>
      <c r="E712" s="27" t="inlineStr">
        <is>
          <t>33.113.309/0001-47</t>
        </is>
      </c>
      <c r="F712" s="27" t="n"/>
      <c r="G712" s="28" t="inlineStr">
        <is>
          <t>14,91</t>
        </is>
      </c>
      <c r="H712" s="28" t="n"/>
      <c r="I712" s="27" t="n"/>
    </row>
    <row r="713">
      <c r="A713" s="23" t="inlineStr">
        <is>
          <t>BRBI11</t>
        </is>
      </c>
      <c r="B713" s="24" t="inlineStr">
        <is>
          <t>Ação</t>
        </is>
      </c>
      <c r="C713" s="24" t="inlineStr">
        <is>
          <t>BR Partners</t>
        </is>
      </c>
      <c r="D713" s="24" t="n">
        <v>18.7</v>
      </c>
      <c r="E713" s="24" t="inlineStr">
        <is>
          <t>10.739.356/0001-03</t>
        </is>
      </c>
      <c r="F713" s="24" t="n"/>
      <c r="G713" s="29" t="inlineStr">
        <is>
          <t>10,10</t>
        </is>
      </c>
      <c r="H713" s="29" t="n"/>
      <c r="I713" s="24" t="n"/>
    </row>
    <row r="714">
      <c r="A714" s="26" t="inlineStr">
        <is>
          <t>VITT3</t>
        </is>
      </c>
      <c r="B714" s="27" t="inlineStr">
        <is>
          <t>Ação</t>
        </is>
      </c>
      <c r="C714" s="27" t="inlineStr">
        <is>
          <t>Vittia</t>
        </is>
      </c>
      <c r="D714" s="27" t="n">
        <v>4.1</v>
      </c>
      <c r="E714" s="27" t="inlineStr">
        <is>
          <t>45.365.558/0001-09</t>
        </is>
      </c>
      <c r="F714" s="27" t="n"/>
      <c r="G714" s="28" t="inlineStr">
        <is>
          <t>6,96</t>
        </is>
      </c>
      <c r="H714" s="28" t="n"/>
      <c r="I714" s="27" t="n"/>
    </row>
    <row r="715">
      <c r="A715" s="23" t="inlineStr">
        <is>
          <t>WEST3</t>
        </is>
      </c>
      <c r="B715" s="24" t="inlineStr">
        <is>
          <t>Ação</t>
        </is>
      </c>
      <c r="C715" s="24" t="inlineStr">
        <is>
          <t>Westwing</t>
        </is>
      </c>
      <c r="D715" s="24" t="n">
        <v>5.93</v>
      </c>
      <c r="E715" s="24" t="inlineStr">
        <is>
          <t>14.776.142/0001-50</t>
        </is>
      </c>
      <c r="F715" s="24" t="n"/>
      <c r="G715" s="29" t="inlineStr">
        <is>
          <t>0,00</t>
        </is>
      </c>
      <c r="H715" s="29" t="n"/>
      <c r="I715" s="24" t="n"/>
    </row>
    <row r="716">
      <c r="A716" s="26" t="inlineStr">
        <is>
          <t>MEAL3</t>
        </is>
      </c>
      <c r="B716" s="27" t="inlineStr">
        <is>
          <t>Ação</t>
        </is>
      </c>
      <c r="C716" s="27" t="inlineStr">
        <is>
          <t>IMC AlimentaÃ§Ã£o</t>
        </is>
      </c>
      <c r="D716" s="27" t="n">
        <v>1.12</v>
      </c>
      <c r="E716" s="27" t="inlineStr">
        <is>
          <t>17.314.329/0001-20</t>
        </is>
      </c>
      <c r="F716" s="27" t="n"/>
      <c r="G716" s="28" t="inlineStr">
        <is>
          <t>0,00</t>
        </is>
      </c>
      <c r="H716" s="28" t="n"/>
      <c r="I716" s="27" t="n"/>
    </row>
    <row r="717">
      <c r="A717" s="23" t="inlineStr">
        <is>
          <t>TGMA3</t>
        </is>
      </c>
      <c r="B717" s="24" t="inlineStr">
        <is>
          <t>Ação</t>
        </is>
      </c>
      <c r="C717" s="24" t="inlineStr">
        <is>
          <t>Tegma</t>
        </is>
      </c>
      <c r="D717" s="24" t="n">
        <v>37.73</v>
      </c>
      <c r="E717" s="24" t="inlineStr">
        <is>
          <t>02.351.144/0001-18</t>
        </is>
      </c>
      <c r="F717" s="24" t="n"/>
      <c r="G717" s="29" t="inlineStr">
        <is>
          <t>11,32</t>
        </is>
      </c>
      <c r="H717" s="29" t="n"/>
      <c r="I717" s="24" t="n"/>
    </row>
    <row r="718">
      <c r="A718" s="26" t="inlineStr">
        <is>
          <t>BRST3</t>
        </is>
      </c>
      <c r="B718" s="27" t="inlineStr">
        <is>
          <t>Ação</t>
        </is>
      </c>
      <c r="C718" s="27" t="inlineStr">
        <is>
          <t>Brisanet</t>
        </is>
      </c>
      <c r="D718" s="27" t="n">
        <v>2.95</v>
      </c>
      <c r="E718" s="27" t="inlineStr">
        <is>
          <t>19.796.586/0001-70</t>
        </is>
      </c>
      <c r="F718" s="27" t="n"/>
      <c r="G718" s="28" t="inlineStr">
        <is>
          <t>0,00</t>
        </is>
      </c>
      <c r="H718" s="28" t="n"/>
      <c r="I718" s="27" t="n"/>
    </row>
    <row r="719">
      <c r="A719" s="23" t="inlineStr">
        <is>
          <t>SAPR3</t>
        </is>
      </c>
      <c r="B719" s="24" t="inlineStr">
        <is>
          <t>Ação</t>
        </is>
      </c>
      <c r="C719" s="24" t="inlineStr">
        <is>
          <t>Sanepar</t>
        </is>
      </c>
      <c r="D719" s="24" t="n">
        <v>9.09</v>
      </c>
      <c r="E719" s="24" t="inlineStr">
        <is>
          <t>76.484.013/0001-45</t>
        </is>
      </c>
      <c r="F719" s="24" t="n"/>
      <c r="G719" s="29" t="inlineStr">
        <is>
          <t>3,95</t>
        </is>
      </c>
      <c r="H719" s="29" t="n"/>
      <c r="I719" s="24" t="n"/>
    </row>
    <row r="720">
      <c r="A720" s="26" t="inlineStr">
        <is>
          <t>UNIP6</t>
        </is>
      </c>
      <c r="B720" s="27" t="inlineStr">
        <is>
          <t>Ação</t>
        </is>
      </c>
      <c r="C720" s="27" t="inlineStr">
        <is>
          <t>Unipar</t>
        </is>
      </c>
      <c r="D720" s="27" t="n">
        <v>69.03</v>
      </c>
      <c r="E720" s="27" t="inlineStr">
        <is>
          <t>33.958.695/0001-78</t>
        </is>
      </c>
      <c r="F720" s="27" t="n"/>
      <c r="G720" s="28" t="inlineStr">
        <is>
          <t>18,00</t>
        </is>
      </c>
      <c r="H720" s="28" t="n"/>
      <c r="I720" s="27" t="n"/>
    </row>
    <row r="721">
      <c r="A721" s="23" t="inlineStr">
        <is>
          <t>TCSA3</t>
        </is>
      </c>
      <c r="B721" s="24" t="inlineStr">
        <is>
          <t>Ação</t>
        </is>
      </c>
      <c r="C721" s="24" t="inlineStr">
        <is>
          <t>Tecnisa</t>
        </is>
      </c>
      <c r="D721" s="24" t="n">
        <v>1.33</v>
      </c>
      <c r="E721" s="24" t="inlineStr">
        <is>
          <t>08.065.557/0001-12</t>
        </is>
      </c>
      <c r="F721" s="24" t="n"/>
      <c r="G721" s="29" t="inlineStr">
        <is>
          <t>0,00</t>
        </is>
      </c>
      <c r="H721" s="29" t="n"/>
      <c r="I721" s="24" t="n"/>
    </row>
    <row r="722">
      <c r="A722" s="26" t="inlineStr">
        <is>
          <t>IGTI4</t>
        </is>
      </c>
      <c r="B722" s="27" t="inlineStr">
        <is>
          <t>Ação</t>
        </is>
      </c>
      <c r="C722" s="27" t="inlineStr">
        <is>
          <t>Jereissati ParticipaÃ§Ãµes</t>
        </is>
      </c>
      <c r="D722" s="27" t="n">
        <v>12.27</v>
      </c>
      <c r="E722" s="27" t="inlineStr">
        <is>
          <t>60.543.816/0001-93</t>
        </is>
      </c>
      <c r="F722" s="27" t="n"/>
      <c r="G722" s="28" t="inlineStr">
        <is>
          <t>2,36</t>
        </is>
      </c>
      <c r="H722" s="28" t="n"/>
      <c r="I722" s="27" t="n"/>
    </row>
    <row r="723">
      <c r="A723" s="23" t="inlineStr">
        <is>
          <t>IGTI3</t>
        </is>
      </c>
      <c r="B723" s="24" t="inlineStr">
        <is>
          <t>Ação</t>
        </is>
      </c>
      <c r="C723" s="24" t="inlineStr">
        <is>
          <t>Jereissati ParticipaÃ§Ãµes</t>
        </is>
      </c>
      <c r="D723" s="24" t="n">
        <v>3.21</v>
      </c>
      <c r="E723" s="24" t="inlineStr">
        <is>
          <t>60.543.816/0001-93</t>
        </is>
      </c>
      <c r="F723" s="24" t="n"/>
      <c r="G723" s="29" t="inlineStr">
        <is>
          <t>2,97</t>
        </is>
      </c>
      <c r="H723" s="29" t="n"/>
      <c r="I723" s="24" t="n"/>
    </row>
    <row r="724">
      <c r="A724" s="26" t="inlineStr">
        <is>
          <t>ETER3</t>
        </is>
      </c>
      <c r="B724" s="27" t="inlineStr">
        <is>
          <t>Ação</t>
        </is>
      </c>
      <c r="C724" s="27" t="inlineStr">
        <is>
          <t>Eternit</t>
        </is>
      </c>
      <c r="D724" s="27" t="n">
        <v>3.9</v>
      </c>
      <c r="E724" s="27" t="inlineStr">
        <is>
          <t>61.092.037/0001-81</t>
        </is>
      </c>
      <c r="F724" s="27" t="n"/>
      <c r="G724" s="28" t="inlineStr">
        <is>
          <t>0,94</t>
        </is>
      </c>
      <c r="H724" s="28" t="n"/>
      <c r="I724" s="27" t="n"/>
    </row>
    <row r="725">
      <c r="A725" s="23" t="inlineStr">
        <is>
          <t>AGRO3</t>
        </is>
      </c>
      <c r="B725" s="24" t="inlineStr">
        <is>
          <t>Ação</t>
        </is>
      </c>
      <c r="C725" s="24" t="inlineStr">
        <is>
          <t>BrasilAgro</t>
        </is>
      </c>
      <c r="D725" s="24" t="n">
        <v>21.21</v>
      </c>
      <c r="E725" s="24" t="inlineStr">
        <is>
          <t>07.628.528/0001-59</t>
        </is>
      </c>
      <c r="F725" s="24" t="n"/>
      <c r="G725" s="29" t="inlineStr">
        <is>
          <t>3,56</t>
        </is>
      </c>
      <c r="H725" s="29" t="n"/>
      <c r="I725" s="24" t="n"/>
    </row>
    <row r="726">
      <c r="A726" s="26" t="inlineStr">
        <is>
          <t>PTBL3</t>
        </is>
      </c>
      <c r="B726" s="27" t="inlineStr">
        <is>
          <t>Ação</t>
        </is>
      </c>
      <c r="C726" s="27" t="inlineStr">
        <is>
          <t>Portobello</t>
        </is>
      </c>
      <c r="D726" s="27" t="n">
        <v>3.18</v>
      </c>
      <c r="E726" s="27" t="inlineStr">
        <is>
          <t>83.475.913/0001-91</t>
        </is>
      </c>
      <c r="F726" s="27" t="n"/>
      <c r="G726" s="28" t="inlineStr">
        <is>
          <t>0,00</t>
        </is>
      </c>
      <c r="H726" s="28" t="n"/>
      <c r="I726" s="27" t="n"/>
    </row>
    <row r="727">
      <c r="A727" s="23" t="inlineStr">
        <is>
          <t>INEP3</t>
        </is>
      </c>
      <c r="B727" s="24" t="inlineStr">
        <is>
          <t>Ação</t>
        </is>
      </c>
      <c r="C727" s="24" t="inlineStr">
        <is>
          <t>Inepar</t>
        </is>
      </c>
      <c r="D727" s="24" t="n">
        <v>1.27</v>
      </c>
      <c r="E727" s="24" t="inlineStr">
        <is>
          <t>76.627.504/0001-06</t>
        </is>
      </c>
      <c r="F727" s="24" t="n"/>
      <c r="G727" s="29" t="inlineStr">
        <is>
          <t>0,00</t>
        </is>
      </c>
      <c r="H727" s="29" t="n"/>
      <c r="I727" s="24" t="n"/>
    </row>
    <row r="728">
      <c r="A728" s="26" t="inlineStr">
        <is>
          <t>DESK3</t>
        </is>
      </c>
      <c r="B728" s="27" t="inlineStr">
        <is>
          <t>Ação</t>
        </is>
      </c>
      <c r="C728" s="27" t="inlineStr">
        <is>
          <t>Desktop</t>
        </is>
      </c>
      <c r="D728" s="27" t="n">
        <v>14.4</v>
      </c>
      <c r="E728" s="27" t="inlineStr">
        <is>
          <t>08.170.849/0001-15</t>
        </is>
      </c>
      <c r="F728" s="27" t="n"/>
      <c r="G728" s="28" t="inlineStr">
        <is>
          <t>0,99</t>
        </is>
      </c>
      <c r="H728" s="28" t="n"/>
      <c r="I728" s="27" t="n"/>
    </row>
    <row r="729">
      <c r="A729" s="23" t="inlineStr">
        <is>
          <t>PFRM3</t>
        </is>
      </c>
      <c r="B729" s="24" t="inlineStr">
        <is>
          <t>Ação</t>
        </is>
      </c>
      <c r="C729" s="24" t="inlineStr">
        <is>
          <t>Profarma</t>
        </is>
      </c>
      <c r="D729" s="24" t="n">
        <v>8.67</v>
      </c>
      <c r="E729" s="24" t="inlineStr">
        <is>
          <t>45.453.214/0001-51</t>
        </is>
      </c>
      <c r="F729" s="24" t="n"/>
      <c r="G729" s="29" t="inlineStr">
        <is>
          <t>3,68</t>
        </is>
      </c>
      <c r="H729" s="29" t="n"/>
      <c r="I729" s="24" t="n"/>
    </row>
    <row r="730">
      <c r="A730" s="26" t="inlineStr">
        <is>
          <t>SCAR3</t>
        </is>
      </c>
      <c r="B730" s="27" t="inlineStr">
        <is>
          <t>Ação</t>
        </is>
      </c>
      <c r="C730" s="27" t="inlineStr">
        <is>
          <t>SÃ£o Carlos</t>
        </is>
      </c>
      <c r="D730" s="27" t="n">
        <v>14.31</v>
      </c>
      <c r="E730" s="27" t="inlineStr">
        <is>
          <t>29.780.061/0001-09</t>
        </is>
      </c>
      <c r="F730" s="27" t="n"/>
      <c r="G730" s="28" t="inlineStr">
        <is>
          <t>48,97</t>
        </is>
      </c>
      <c r="H730" s="28" t="n"/>
      <c r="I730" s="27" t="n"/>
    </row>
    <row r="731">
      <c r="A731" s="23" t="inlineStr">
        <is>
          <t>CMIG3</t>
        </is>
      </c>
      <c r="B731" s="24" t="inlineStr">
        <is>
          <t>Ação</t>
        </is>
      </c>
      <c r="C731" s="24" t="inlineStr">
        <is>
          <t>Cemig</t>
        </is>
      </c>
      <c r="D731" s="24" t="n">
        <v>15.11</v>
      </c>
      <c r="E731" s="24" t="inlineStr">
        <is>
          <t>17.155.730/0001-64</t>
        </is>
      </c>
      <c r="F731" s="24" t="inlineStr">
        <is>
          <t>Energia Elétrica</t>
        </is>
      </c>
      <c r="G731" s="29" t="inlineStr">
        <is>
          <t>11,01</t>
        </is>
      </c>
      <c r="H731" s="29" t="n"/>
      <c r="I731" s="24" t="n"/>
    </row>
    <row r="732">
      <c r="A732" s="26" t="inlineStr">
        <is>
          <t>TAEE4</t>
        </is>
      </c>
      <c r="B732" s="27" t="inlineStr">
        <is>
          <t>Ação</t>
        </is>
      </c>
      <c r="C732" s="27" t="inlineStr">
        <is>
          <t>Taesa</t>
        </is>
      </c>
      <c r="D732" s="27" t="n">
        <v>14.33</v>
      </c>
      <c r="E732" s="27" t="inlineStr">
        <is>
          <t>07.859.971/0001-30</t>
        </is>
      </c>
      <c r="F732" s="27" t="n"/>
      <c r="G732" s="28" t="inlineStr">
        <is>
          <t>7,55</t>
        </is>
      </c>
      <c r="H732" s="28" t="n"/>
      <c r="I732" s="27" t="n"/>
    </row>
    <row r="733">
      <c r="A733" s="23" t="inlineStr">
        <is>
          <t>LPSB3</t>
        </is>
      </c>
      <c r="B733" s="24" t="inlineStr">
        <is>
          <t>Ação</t>
        </is>
      </c>
      <c r="C733" s="24" t="inlineStr">
        <is>
          <t>Lopes</t>
        </is>
      </c>
      <c r="D733" s="24" t="n">
        <v>1.9</v>
      </c>
      <c r="E733" s="24" t="inlineStr">
        <is>
          <t>08.078.847/0001-09</t>
        </is>
      </c>
      <c r="F733" s="24" t="n"/>
      <c r="G733" s="29" t="inlineStr">
        <is>
          <t>10,77</t>
        </is>
      </c>
      <c r="H733" s="29" t="n"/>
      <c r="I733" s="24" t="n"/>
    </row>
    <row r="734">
      <c r="A734" s="26" t="inlineStr">
        <is>
          <t>RAPT3</t>
        </is>
      </c>
      <c r="B734" s="27" t="inlineStr">
        <is>
          <t>Ação</t>
        </is>
      </c>
      <c r="C734" s="27" t="inlineStr">
        <is>
          <t>Randon</t>
        </is>
      </c>
      <c r="D734" s="27" t="n">
        <v>6.1</v>
      </c>
      <c r="E734" s="27" t="inlineStr">
        <is>
          <t>89.086.144/0001-16</t>
        </is>
      </c>
      <c r="F734" s="27" t="n"/>
      <c r="G734" s="28" t="inlineStr">
        <is>
          <t>0,75</t>
        </is>
      </c>
      <c r="H734" s="28" t="n"/>
      <c r="I734" s="27" t="n"/>
    </row>
    <row r="735">
      <c r="A735" s="23" t="inlineStr">
        <is>
          <t>SANB3</t>
        </is>
      </c>
      <c r="B735" s="24" t="inlineStr">
        <is>
          <t>Ação</t>
        </is>
      </c>
      <c r="C735" s="24" t="inlineStr">
        <is>
          <t>Banco Santander</t>
        </is>
      </c>
      <c r="D735" s="24" t="n">
        <v>15.62</v>
      </c>
      <c r="E735" s="24" t="inlineStr">
        <is>
          <t>90.400.888/0001-42</t>
        </is>
      </c>
      <c r="F735" s="24" t="n"/>
      <c r="G735" s="29" t="inlineStr">
        <is>
          <t>6,44</t>
        </is>
      </c>
      <c r="H735" s="29" t="n"/>
      <c r="I735" s="24" t="n"/>
    </row>
    <row r="736">
      <c r="A736" s="26" t="inlineStr">
        <is>
          <t>ROMI3</t>
        </is>
      </c>
      <c r="B736" s="27" t="inlineStr">
        <is>
          <t>Ação</t>
        </is>
      </c>
      <c r="C736" s="27" t="inlineStr">
        <is>
          <t>IndÃºstrias ROMI</t>
        </is>
      </c>
      <c r="D736" s="27" t="n">
        <v>8.06</v>
      </c>
      <c r="E736" s="27" t="inlineStr">
        <is>
          <t>56.720.428/0001-63</t>
        </is>
      </c>
      <c r="F736" s="27" t="n"/>
      <c r="G736" s="28" t="inlineStr">
        <is>
          <t>8,91</t>
        </is>
      </c>
      <c r="H736" s="28" t="n"/>
      <c r="I736" s="27" t="n"/>
    </row>
    <row r="737">
      <c r="A737" s="23" t="inlineStr">
        <is>
          <t>AALR3</t>
        </is>
      </c>
      <c r="B737" s="24" t="inlineStr">
        <is>
          <t>Ação</t>
        </is>
      </c>
      <c r="C737" s="24" t="inlineStr">
        <is>
          <t>AllianÃ§a</t>
        </is>
      </c>
      <c r="D737" s="24" t="n">
        <v>4.8</v>
      </c>
      <c r="E737" s="24" t="inlineStr">
        <is>
          <t>42.771.949/0001-35</t>
        </is>
      </c>
      <c r="F737" s="24" t="n"/>
      <c r="G737" s="29" t="inlineStr">
        <is>
          <t>0,00</t>
        </is>
      </c>
      <c r="H737" s="29" t="n"/>
      <c r="I737" s="24" t="n"/>
    </row>
    <row r="738">
      <c r="A738" s="26" t="inlineStr">
        <is>
          <t>VIVR3</t>
        </is>
      </c>
      <c r="B738" s="27" t="inlineStr">
        <is>
          <t>Ação</t>
        </is>
      </c>
      <c r="C738" s="27" t="inlineStr">
        <is>
          <t>Viver</t>
        </is>
      </c>
      <c r="D738" s="27" t="n">
        <v>0.42</v>
      </c>
      <c r="E738" s="27" t="inlineStr">
        <is>
          <t>67.571.414/0001-41</t>
        </is>
      </c>
      <c r="F738" s="27" t="n"/>
      <c r="G738" s="28" t="inlineStr">
        <is>
          <t>0,00</t>
        </is>
      </c>
      <c r="H738" s="28" t="n"/>
      <c r="I738" s="27" t="n"/>
    </row>
    <row r="739">
      <c r="A739" s="23" t="inlineStr">
        <is>
          <t>TAEE3</t>
        </is>
      </c>
      <c r="B739" s="24" t="inlineStr">
        <is>
          <t>Ação</t>
        </is>
      </c>
      <c r="C739" s="24" t="inlineStr">
        <is>
          <t>Taesa</t>
        </is>
      </c>
      <c r="D739" s="24" t="n">
        <v>14.2</v>
      </c>
      <c r="E739" s="24" t="inlineStr">
        <is>
          <t>07.859.971/0001-30</t>
        </is>
      </c>
      <c r="F739" s="24" t="n"/>
      <c r="G739" s="29" t="inlineStr">
        <is>
          <t>7,64</t>
        </is>
      </c>
      <c r="H739" s="29" t="n"/>
      <c r="I739" s="24" t="n"/>
    </row>
    <row r="740">
      <c r="A740" s="26" t="inlineStr">
        <is>
          <t>ALPK3</t>
        </is>
      </c>
      <c r="B740" s="27" t="inlineStr">
        <is>
          <t>Ação</t>
        </is>
      </c>
      <c r="C740" s="27" t="inlineStr">
        <is>
          <t>Estapar</t>
        </is>
      </c>
      <c r="D740" s="27" t="n">
        <v>4.5</v>
      </c>
      <c r="E740" s="27" t="inlineStr">
        <is>
          <t>60.537.263/0001-66</t>
        </is>
      </c>
      <c r="F740" s="27" t="n"/>
      <c r="G740" s="28" t="inlineStr">
        <is>
          <t>0,00</t>
        </is>
      </c>
      <c r="H740" s="28" t="n"/>
      <c r="I740" s="27" t="n"/>
    </row>
    <row r="741">
      <c r="A741" s="23" t="inlineStr">
        <is>
          <t>TECN3</t>
        </is>
      </c>
      <c r="B741" s="24" t="inlineStr">
        <is>
          <t>Ação</t>
        </is>
      </c>
      <c r="C741" s="24" t="inlineStr">
        <is>
          <t>Technos</t>
        </is>
      </c>
      <c r="D741" s="24" t="n">
        <v>8.07</v>
      </c>
      <c r="E741" s="24" t="inlineStr">
        <is>
          <t>09.295.063/0001-97</t>
        </is>
      </c>
      <c r="F741" s="24" t="n"/>
      <c r="G741" s="29" t="inlineStr">
        <is>
          <t>5,04</t>
        </is>
      </c>
      <c r="H741" s="29" t="n"/>
      <c r="I741" s="24" t="n"/>
    </row>
    <row r="742">
      <c r="A742" s="26" t="inlineStr">
        <is>
          <t>AERI3</t>
        </is>
      </c>
      <c r="B742" s="27" t="inlineStr">
        <is>
          <t>Ação</t>
        </is>
      </c>
      <c r="C742" s="27" t="inlineStr">
        <is>
          <t>Aeris Energy</t>
        </is>
      </c>
      <c r="D742" s="27" t="n">
        <v>2.71</v>
      </c>
      <c r="E742" s="27" t="inlineStr">
        <is>
          <t>12.528.708/0001-07</t>
        </is>
      </c>
      <c r="F742" s="27" t="n"/>
      <c r="G742" s="28" t="inlineStr">
        <is>
          <t>0,00</t>
        </is>
      </c>
      <c r="H742" s="28" t="n"/>
      <c r="I742" s="27" t="n"/>
    </row>
    <row r="743">
      <c r="A743" s="23" t="inlineStr">
        <is>
          <t>BOBR4</t>
        </is>
      </c>
      <c r="B743" s="24" t="inlineStr">
        <is>
          <t>Ação</t>
        </is>
      </c>
      <c r="C743" s="24" t="inlineStr">
        <is>
          <t>Bombril</t>
        </is>
      </c>
      <c r="D743" s="24" t="n">
        <v>1.21</v>
      </c>
      <c r="E743" s="24" t="inlineStr">
        <is>
          <t>50.564.053/0001-03</t>
        </is>
      </c>
      <c r="F743" s="24" t="n"/>
      <c r="G743" s="29" t="inlineStr">
        <is>
          <t>0,00</t>
        </is>
      </c>
      <c r="H743" s="29" t="n"/>
      <c r="I743" s="24" t="n"/>
    </row>
    <row r="744">
      <c r="A744" s="26" t="inlineStr">
        <is>
          <t>TRAD3</t>
        </is>
      </c>
      <c r="B744" s="27" t="inlineStr">
        <is>
          <t>Ação</t>
        </is>
      </c>
      <c r="C744" s="27" t="inlineStr">
        <is>
          <t>Traders Club</t>
        </is>
      </c>
      <c r="D744" s="27" t="n">
        <v>2.4</v>
      </c>
      <c r="E744" s="27" t="inlineStr">
        <is>
          <t>26.345.998/0001-50</t>
        </is>
      </c>
      <c r="F744" s="27" t="n"/>
      <c r="G744" s="28" t="inlineStr">
        <is>
          <t>0,00</t>
        </is>
      </c>
      <c r="H744" s="28" t="n"/>
      <c r="I744" s="27" t="n"/>
    </row>
    <row r="745">
      <c r="A745" s="23" t="inlineStr">
        <is>
          <t>RNEW4</t>
        </is>
      </c>
      <c r="B745" s="24" t="inlineStr">
        <is>
          <t>Ação</t>
        </is>
      </c>
      <c r="C745" s="24" t="inlineStr">
        <is>
          <t>Renova Energia</t>
        </is>
      </c>
      <c r="D745" s="24" t="n">
        <v>1.29</v>
      </c>
      <c r="E745" s="24" t="inlineStr">
        <is>
          <t>08.534.605/0001-74</t>
        </is>
      </c>
      <c r="F745" s="24" t="n"/>
      <c r="G745" s="29" t="inlineStr">
        <is>
          <t>0,00</t>
        </is>
      </c>
      <c r="H745" s="29" t="n"/>
      <c r="I745" s="24" t="n"/>
    </row>
    <row r="746">
      <c r="A746" s="26" t="inlineStr">
        <is>
          <t>EALT4</t>
        </is>
      </c>
      <c r="B746" s="27" t="inlineStr">
        <is>
          <t>Ação</t>
        </is>
      </c>
      <c r="C746" s="27" t="inlineStr">
        <is>
          <t>Electro AÃ§o Altona</t>
        </is>
      </c>
      <c r="D746" s="27" t="n">
        <v>14.51</v>
      </c>
      <c r="E746" s="27" t="inlineStr">
        <is>
          <t>82.643.537/0001-34</t>
        </is>
      </c>
      <c r="F746" s="27" t="n"/>
      <c r="G746" s="28" t="inlineStr">
        <is>
          <t>5,02</t>
        </is>
      </c>
      <c r="H746" s="28" t="n"/>
      <c r="I746" s="27" t="n"/>
    </row>
    <row r="747">
      <c r="A747" s="23" t="inlineStr">
        <is>
          <t>DMVF3</t>
        </is>
      </c>
      <c r="B747" s="24" t="inlineStr">
        <is>
          <t>Ação</t>
        </is>
      </c>
      <c r="C747" s="24" t="inlineStr">
        <is>
          <t>D1000 Varejo Farma</t>
        </is>
      </c>
      <c r="D747" s="24" t="n">
        <v>6.62</v>
      </c>
      <c r="E747" s="24" t="inlineStr">
        <is>
          <t>12.108.897/0001-50</t>
        </is>
      </c>
      <c r="F747" s="24" t="n"/>
      <c r="G747" s="29" t="inlineStr">
        <is>
          <t>0,00</t>
        </is>
      </c>
      <c r="H747" s="29" t="n"/>
      <c r="I747" s="24" t="n"/>
    </row>
    <row r="748">
      <c r="A748" s="26" t="inlineStr">
        <is>
          <t>SHOW3</t>
        </is>
      </c>
      <c r="B748" s="27" t="inlineStr">
        <is>
          <t>Ação</t>
        </is>
      </c>
      <c r="C748" s="27" t="inlineStr">
        <is>
          <t>Time For Fun</t>
        </is>
      </c>
      <c r="D748" s="27" t="n">
        <v>4.65</v>
      </c>
      <c r="E748" s="27" t="inlineStr">
        <is>
          <t>02.860.694/0001-62</t>
        </is>
      </c>
      <c r="F748" s="27" t="n"/>
      <c r="G748" s="28" t="inlineStr">
        <is>
          <t>0,00</t>
        </is>
      </c>
      <c r="H748" s="28" t="n"/>
      <c r="I748" s="27" t="n"/>
    </row>
    <row r="749">
      <c r="A749" s="23" t="inlineStr">
        <is>
          <t>GOAU3</t>
        </is>
      </c>
      <c r="B749" s="24" t="inlineStr">
        <is>
          <t>Ação</t>
        </is>
      </c>
      <c r="C749" s="24" t="inlineStr">
        <is>
          <t>MetalÃºrgica Gerdau</t>
        </is>
      </c>
      <c r="D749" s="24" t="n">
        <v>8.35</v>
      </c>
      <c r="E749" s="24" t="inlineStr">
        <is>
          <t>92.690.783/0001-09</t>
        </is>
      </c>
      <c r="F749" s="24" t="n"/>
      <c r="G749" s="29" t="inlineStr">
        <is>
          <t>4,09</t>
        </is>
      </c>
      <c r="H749" s="29" t="n"/>
      <c r="I749" s="24" t="n"/>
    </row>
    <row r="750">
      <c r="A750" s="26" t="inlineStr">
        <is>
          <t>EUCA4</t>
        </is>
      </c>
      <c r="B750" s="27" t="inlineStr">
        <is>
          <t>Ação</t>
        </is>
      </c>
      <c r="C750" s="27" t="inlineStr">
        <is>
          <t>Eucatex</t>
        </is>
      </c>
      <c r="D750" s="27" t="n">
        <v>20.76</v>
      </c>
      <c r="E750" s="27" t="inlineStr">
        <is>
          <t>56.643.018/0001-66</t>
        </is>
      </c>
      <c r="F750" s="27" t="n"/>
      <c r="G750" s="28" t="inlineStr">
        <is>
          <t>5,25</t>
        </is>
      </c>
      <c r="H750" s="28" t="n"/>
      <c r="I750" s="27" t="n"/>
    </row>
    <row r="751">
      <c r="A751" s="23" t="inlineStr">
        <is>
          <t>BRAP3</t>
        </is>
      </c>
      <c r="B751" s="24" t="inlineStr">
        <is>
          <t>Ação</t>
        </is>
      </c>
      <c r="C751" s="24" t="inlineStr">
        <is>
          <t>Bradespar</t>
        </is>
      </c>
      <c r="D751" s="24" t="n">
        <v>19.46</v>
      </c>
      <c r="E751" s="24" t="inlineStr">
        <is>
          <t>03.847.461/0001-92</t>
        </is>
      </c>
      <c r="F751" s="24" t="n"/>
      <c r="G751" s="29" t="inlineStr">
        <is>
          <t>14,97</t>
        </is>
      </c>
      <c r="H751" s="29" t="n"/>
      <c r="I751" s="24" t="n"/>
    </row>
    <row r="752">
      <c r="A752" s="26" t="inlineStr">
        <is>
          <t>ATED3</t>
        </is>
      </c>
      <c r="B752" s="27" t="inlineStr">
        <is>
          <t>Ação</t>
        </is>
      </c>
      <c r="C752" s="27" t="inlineStr">
        <is>
          <t>ATOM EDUCAÃ‡ÃƒO E EDITORA S.A.</t>
        </is>
      </c>
      <c r="D752" s="27" t="n">
        <v>2</v>
      </c>
      <c r="E752" s="27" t="n"/>
      <c r="F752" s="27" t="n"/>
      <c r="G752" s="28" t="inlineStr">
        <is>
          <t>0,00</t>
        </is>
      </c>
      <c r="H752" s="28" t="n"/>
      <c r="I752" s="27" t="n"/>
    </row>
    <row r="753">
      <c r="A753" s="23" t="inlineStr">
        <is>
          <t>DEXP3</t>
        </is>
      </c>
      <c r="B753" s="24" t="inlineStr">
        <is>
          <t>Ação</t>
        </is>
      </c>
      <c r="C753" s="24" t="inlineStr">
        <is>
          <t>Dexxos</t>
        </is>
      </c>
      <c r="D753" s="24" t="n">
        <v>7.28</v>
      </c>
      <c r="E753" s="24" t="inlineStr">
        <is>
          <t>02.193.750/0001-52</t>
        </is>
      </c>
      <c r="F753" s="24" t="n"/>
      <c r="G753" s="29" t="inlineStr">
        <is>
          <t>12,48</t>
        </is>
      </c>
      <c r="H753" s="29" t="n"/>
      <c r="I753" s="24" t="n"/>
    </row>
    <row r="754">
      <c r="A754" s="26" t="inlineStr">
        <is>
          <t>FICT3</t>
        </is>
      </c>
      <c r="B754" s="27" t="inlineStr">
        <is>
          <t>Ação</t>
        </is>
      </c>
      <c r="C754" s="27" t="inlineStr">
        <is>
          <t>Fictor Alimentos</t>
        </is>
      </c>
      <c r="D754" s="27" t="n">
        <v>0.5</v>
      </c>
      <c r="E754" s="27" t="inlineStr">
        <is>
          <t>00.359.742/0001-08</t>
        </is>
      </c>
      <c r="F754" s="27" t="n"/>
      <c r="G754" s="28" t="inlineStr">
        <is>
          <t>0,00</t>
        </is>
      </c>
      <c r="H754" s="28" t="n"/>
      <c r="I754" s="27" t="n"/>
    </row>
    <row r="755">
      <c r="A755" s="23" t="inlineStr">
        <is>
          <t>BRKM3</t>
        </is>
      </c>
      <c r="B755" s="24" t="inlineStr">
        <is>
          <t>Ação</t>
        </is>
      </c>
      <c r="C755" s="24" t="inlineStr">
        <is>
          <t>Braskem</t>
        </is>
      </c>
      <c r="D755" s="24" t="n">
        <v>10.45</v>
      </c>
      <c r="E755" s="24" t="inlineStr">
        <is>
          <t>42.150.391/0001-70</t>
        </is>
      </c>
      <c r="F755" s="24" t="n"/>
      <c r="G755" s="29" t="inlineStr">
        <is>
          <t>0,00</t>
        </is>
      </c>
      <c r="H755" s="29" t="n"/>
      <c r="I755" s="24" t="n"/>
    </row>
    <row r="756">
      <c r="A756" s="26" t="inlineStr">
        <is>
          <t>INEP4</t>
        </is>
      </c>
      <c r="B756" s="27" t="inlineStr">
        <is>
          <t>Ação</t>
        </is>
      </c>
      <c r="C756" s="27" t="inlineStr">
        <is>
          <t>Inepar</t>
        </is>
      </c>
      <c r="D756" s="27" t="n">
        <v>1.15</v>
      </c>
      <c r="E756" s="27" t="inlineStr">
        <is>
          <t>76.627.504/0001-06</t>
        </is>
      </c>
      <c r="F756" s="27" t="n"/>
      <c r="G756" s="28" t="inlineStr">
        <is>
          <t>0,00</t>
        </is>
      </c>
      <c r="H756" s="28" t="n"/>
      <c r="I756" s="27" t="n"/>
    </row>
    <row r="757">
      <c r="A757" s="23" t="inlineStr">
        <is>
          <t>BIOM3</t>
        </is>
      </c>
      <c r="B757" s="24" t="inlineStr">
        <is>
          <t>Ação</t>
        </is>
      </c>
      <c r="C757" s="24" t="inlineStr">
        <is>
          <t>Biomm</t>
        </is>
      </c>
      <c r="D757" s="24" t="n">
        <v>7.4</v>
      </c>
      <c r="E757" s="24" t="inlineStr">
        <is>
          <t>04.752.991/0001-10</t>
        </is>
      </c>
      <c r="F757" s="24" t="n"/>
      <c r="G757" s="29" t="inlineStr">
        <is>
          <t>0,00</t>
        </is>
      </c>
      <c r="H757" s="29" t="n"/>
      <c r="I757" s="24" t="n"/>
    </row>
    <row r="758">
      <c r="A758" s="26" t="inlineStr">
        <is>
          <t>ESTR4</t>
        </is>
      </c>
      <c r="B758" s="27" t="inlineStr">
        <is>
          <t>Ação</t>
        </is>
      </c>
      <c r="C758" s="27" t="inlineStr">
        <is>
          <t>Estrela</t>
        </is>
      </c>
      <c r="D758" s="27" t="n">
        <v>4.8</v>
      </c>
      <c r="E758" s="27" t="inlineStr">
        <is>
          <t>61.082.004/0001-50</t>
        </is>
      </c>
      <c r="F758" s="27" t="n"/>
      <c r="G758" s="28" t="inlineStr">
        <is>
          <t>0,00</t>
        </is>
      </c>
      <c r="H758" s="28" t="n"/>
      <c r="I758" s="27" t="n"/>
    </row>
    <row r="759">
      <c r="A759" s="23" t="inlineStr">
        <is>
          <t>AGXY3</t>
        </is>
      </c>
      <c r="B759" s="24" t="inlineStr">
        <is>
          <t>Ação</t>
        </is>
      </c>
      <c r="C759" s="24" t="inlineStr">
        <is>
          <t>AgroGalaxy</t>
        </is>
      </c>
      <c r="D759" s="24" t="n">
        <v>2.17</v>
      </c>
      <c r="E759" s="24" t="inlineStr">
        <is>
          <t>21.240.146/0001-84</t>
        </is>
      </c>
      <c r="F759" s="24" t="n"/>
      <c r="G759" s="29" t="inlineStr">
        <is>
          <t>0,00</t>
        </is>
      </c>
      <c r="H759" s="29" t="n"/>
      <c r="I759" s="24" t="n"/>
    </row>
    <row r="760">
      <c r="A760" s="26" t="inlineStr">
        <is>
          <t>BMEB4</t>
        </is>
      </c>
      <c r="B760" s="27" t="inlineStr">
        <is>
          <t>Ação</t>
        </is>
      </c>
      <c r="C760" s="27" t="inlineStr">
        <is>
          <t>Banco Mercantil do Brasil</t>
        </is>
      </c>
      <c r="D760" s="27" t="n">
        <v>77.95999999999999</v>
      </c>
      <c r="E760" s="27" t="inlineStr">
        <is>
          <t>17.184.037/0001-10</t>
        </is>
      </c>
      <c r="F760" s="27" t="n"/>
      <c r="G760" s="28" t="inlineStr">
        <is>
          <t>2,37</t>
        </is>
      </c>
      <c r="H760" s="28" t="n"/>
      <c r="I760" s="27" t="n"/>
    </row>
    <row r="761">
      <c r="A761" s="23" t="inlineStr">
        <is>
          <t>RNEW3</t>
        </is>
      </c>
      <c r="B761" s="24" t="inlineStr">
        <is>
          <t>Ação</t>
        </is>
      </c>
      <c r="C761" s="24" t="inlineStr">
        <is>
          <t>Renova Energia</t>
        </is>
      </c>
      <c r="D761" s="24" t="n">
        <v>1.27</v>
      </c>
      <c r="E761" s="24" t="inlineStr">
        <is>
          <t>08.534.605/0001-74</t>
        </is>
      </c>
      <c r="F761" s="24" t="n"/>
      <c r="G761" s="29" t="inlineStr">
        <is>
          <t>0,00</t>
        </is>
      </c>
      <c r="H761" s="29" t="n"/>
      <c r="I761" s="24" t="n"/>
    </row>
    <row r="762">
      <c r="A762" s="26" t="inlineStr">
        <is>
          <t>RCSL3</t>
        </is>
      </c>
      <c r="B762" s="27" t="inlineStr">
        <is>
          <t>Ação</t>
        </is>
      </c>
      <c r="C762" s="27" t="inlineStr">
        <is>
          <t>Recrusul</t>
        </is>
      </c>
      <c r="D762" s="27" t="n">
        <v>0.7</v>
      </c>
      <c r="E762" s="27" t="inlineStr">
        <is>
          <t>91.333.666/0001-17</t>
        </is>
      </c>
      <c r="F762" s="27" t="n"/>
      <c r="G762" s="28" t="inlineStr">
        <is>
          <t>0,00</t>
        </is>
      </c>
      <c r="H762" s="28" t="n"/>
      <c r="I762" s="27" t="n"/>
    </row>
    <row r="763">
      <c r="A763" s="23" t="inlineStr">
        <is>
          <t>HOOT4</t>
        </is>
      </c>
      <c r="B763" s="24" t="inlineStr">
        <is>
          <t>Ação</t>
        </is>
      </c>
      <c r="C763" s="24" t="inlineStr">
        <is>
          <t>HotÃ©is Othon</t>
        </is>
      </c>
      <c r="D763" s="24" t="n">
        <v>7.1</v>
      </c>
      <c r="E763" s="24" t="inlineStr">
        <is>
          <t>33.200.049/0001-47</t>
        </is>
      </c>
      <c r="F763" s="24" t="n"/>
      <c r="G763" s="29" t="inlineStr">
        <is>
          <t>0,00</t>
        </is>
      </c>
      <c r="H763" s="29" t="n"/>
      <c r="I763" s="24" t="n"/>
    </row>
    <row r="764">
      <c r="A764" s="26" t="inlineStr">
        <is>
          <t>CSUD3</t>
        </is>
      </c>
      <c r="B764" s="27" t="inlineStr">
        <is>
          <t>Ação</t>
        </is>
      </c>
      <c r="C764" s="27" t="inlineStr">
        <is>
          <t>CSU Cardsystem</t>
        </is>
      </c>
      <c r="D764" s="27" t="n">
        <v>18.73</v>
      </c>
      <c r="E764" s="27" t="inlineStr">
        <is>
          <t>01.896.779/0001-38</t>
        </is>
      </c>
      <c r="F764" s="27" t="n"/>
      <c r="G764" s="28" t="inlineStr">
        <is>
          <t>14,54</t>
        </is>
      </c>
      <c r="H764" s="28" t="n"/>
      <c r="I764" s="27" t="n"/>
    </row>
    <row r="765">
      <c r="A765" s="23" t="inlineStr">
        <is>
          <t>BEES3</t>
        </is>
      </c>
      <c r="B765" s="24" t="inlineStr">
        <is>
          <t>Ação</t>
        </is>
      </c>
      <c r="C765" s="24" t="inlineStr">
        <is>
          <t>Banestes</t>
        </is>
      </c>
      <c r="D765" s="24" t="n">
        <v>8.74</v>
      </c>
      <c r="E765" s="24" t="inlineStr">
        <is>
          <t>28.127.603/0001-78</t>
        </is>
      </c>
      <c r="F765" s="24" t="n"/>
      <c r="G765" s="29" t="inlineStr">
        <is>
          <t>7,87</t>
        </is>
      </c>
      <c r="H765" s="29" t="n"/>
      <c r="I765" s="24" t="n"/>
    </row>
    <row r="766">
      <c r="A766" s="26" t="inlineStr">
        <is>
          <t>ENGI4</t>
        </is>
      </c>
      <c r="B766" s="27" t="inlineStr">
        <is>
          <t>Ação</t>
        </is>
      </c>
      <c r="C766" s="27" t="inlineStr">
        <is>
          <t>Energisa</t>
        </is>
      </c>
      <c r="D766" s="27" t="n">
        <v>9.92</v>
      </c>
      <c r="E766" s="27" t="inlineStr">
        <is>
          <t>00.864.214/0001-06</t>
        </is>
      </c>
      <c r="F766" s="27" t="n"/>
      <c r="G766" s="28" t="inlineStr">
        <is>
          <t>2,00</t>
        </is>
      </c>
      <c r="H766" s="28" t="n"/>
      <c r="I766" s="27" t="n"/>
    </row>
    <row r="767">
      <c r="A767" s="23" t="inlineStr">
        <is>
          <t>GGBR3</t>
        </is>
      </c>
      <c r="B767" s="24" t="inlineStr">
        <is>
          <t>Ação</t>
        </is>
      </c>
      <c r="C767" s="24" t="inlineStr">
        <is>
          <t>Gerdau</t>
        </is>
      </c>
      <c r="D767" s="24" t="n">
        <v>16</v>
      </c>
      <c r="E767" s="24" t="inlineStr">
        <is>
          <t>33.611.500/0001-19</t>
        </is>
      </c>
      <c r="F767" s="24" t="n"/>
      <c r="G767" s="29" t="inlineStr">
        <is>
          <t>3,88</t>
        </is>
      </c>
      <c r="H767" s="29" t="inlineStr">
        <is>
          <t>0,00</t>
        </is>
      </c>
      <c r="I767" s="24" t="n"/>
    </row>
    <row r="768">
      <c r="A768" s="26" t="inlineStr">
        <is>
          <t>LVTC3</t>
        </is>
      </c>
      <c r="B768" s="27" t="inlineStr">
        <is>
          <t>Ação</t>
        </is>
      </c>
      <c r="C768" s="27" t="inlineStr">
        <is>
          <t>WDC Networks</t>
        </is>
      </c>
      <c r="D768" s="27" t="n"/>
      <c r="E768" s="27" t="n"/>
      <c r="F768" s="27" t="n"/>
      <c r="G768" s="28" t="inlineStr">
        <is>
          <t>0,00</t>
        </is>
      </c>
      <c r="H768" s="28" t="n"/>
      <c r="I768" s="27" t="n"/>
    </row>
    <row r="769">
      <c r="A769" s="23" t="inlineStr">
        <is>
          <t>CEBR6</t>
        </is>
      </c>
      <c r="B769" s="24" t="inlineStr">
        <is>
          <t>Ação</t>
        </is>
      </c>
      <c r="C769" s="24" t="inlineStr">
        <is>
          <t>CEB</t>
        </is>
      </c>
      <c r="D769" s="24" t="n">
        <v>31.12</v>
      </c>
      <c r="E769" s="24" t="inlineStr">
        <is>
          <t>00.070.698/0001-11</t>
        </is>
      </c>
      <c r="F769" s="24" t="n"/>
      <c r="G769" s="29" t="inlineStr">
        <is>
          <t>21,73</t>
        </is>
      </c>
      <c r="H769" s="29" t="n"/>
      <c r="I769" s="24" t="n"/>
    </row>
    <row r="770">
      <c r="A770" s="26" t="inlineStr">
        <is>
          <t>CAMB3</t>
        </is>
      </c>
      <c r="B770" s="27" t="inlineStr">
        <is>
          <t>Ação</t>
        </is>
      </c>
      <c r="C770" s="27" t="inlineStr">
        <is>
          <t>Cambuci</t>
        </is>
      </c>
      <c r="D770" s="27" t="n">
        <v>9.41</v>
      </c>
      <c r="E770" s="27" t="inlineStr">
        <is>
          <t>61.088.894/0001-08</t>
        </is>
      </c>
      <c r="F770" s="27" t="n"/>
      <c r="G770" s="28" t="inlineStr">
        <is>
          <t>11,09</t>
        </is>
      </c>
      <c r="H770" s="28" t="n"/>
      <c r="I770" s="27" t="n"/>
    </row>
    <row r="771">
      <c r="A771" s="23" t="inlineStr">
        <is>
          <t>PDTC3</t>
        </is>
      </c>
      <c r="B771" s="24" t="inlineStr">
        <is>
          <t>Ação</t>
        </is>
      </c>
      <c r="C771" s="24" t="inlineStr">
        <is>
          <t>Padtec</t>
        </is>
      </c>
      <c r="D771" s="24" t="n">
        <v>1.5</v>
      </c>
      <c r="E771" s="24" t="inlineStr">
        <is>
          <t>02.365.069/0001-44</t>
        </is>
      </c>
      <c r="F771" s="24" t="n"/>
      <c r="G771" s="29" t="inlineStr">
        <is>
          <t>0,00</t>
        </is>
      </c>
      <c r="H771" s="29" t="n"/>
      <c r="I771" s="24" t="n"/>
    </row>
    <row r="772">
      <c r="A772" s="26" t="inlineStr">
        <is>
          <t>TASA3</t>
        </is>
      </c>
      <c r="B772" s="27" t="inlineStr">
        <is>
          <t>Ação</t>
        </is>
      </c>
      <c r="C772" s="27" t="inlineStr">
        <is>
          <t>Taurus</t>
        </is>
      </c>
      <c r="D772" s="27" t="n">
        <v>5.76</v>
      </c>
      <c r="E772" s="27" t="inlineStr">
        <is>
          <t>92.781.335/0001-02</t>
        </is>
      </c>
      <c r="F772" s="27" t="n"/>
      <c r="G772" s="28" t="inlineStr">
        <is>
          <t>3,49</t>
        </is>
      </c>
      <c r="H772" s="28" t="n"/>
      <c r="I772" s="27" t="n"/>
    </row>
    <row r="773">
      <c r="A773" s="23" t="inlineStr">
        <is>
          <t>CEBR3</t>
        </is>
      </c>
      <c r="B773" s="24" t="inlineStr">
        <is>
          <t>Ação</t>
        </is>
      </c>
      <c r="C773" s="24" t="inlineStr">
        <is>
          <t>CEB</t>
        </is>
      </c>
      <c r="D773" s="24" t="n">
        <v>31.5</v>
      </c>
      <c r="E773" s="24" t="inlineStr">
        <is>
          <t>00.070.698/0001-11</t>
        </is>
      </c>
      <c r="F773" s="24" t="n"/>
      <c r="G773" s="29" t="inlineStr">
        <is>
          <t>19,30</t>
        </is>
      </c>
      <c r="H773" s="29" t="n"/>
      <c r="I773" s="24" t="n"/>
    </row>
    <row r="774">
      <c r="A774" s="26" t="inlineStr">
        <is>
          <t>WHRL4</t>
        </is>
      </c>
      <c r="B774" s="27" t="inlineStr">
        <is>
          <t>Ação</t>
        </is>
      </c>
      <c r="C774" s="27" t="inlineStr">
        <is>
          <t>Whirlpool</t>
        </is>
      </c>
      <c r="D774" s="27" t="n">
        <v>4.61</v>
      </c>
      <c r="E774" s="27" t="inlineStr">
        <is>
          <t>59.105.999/0001-86</t>
        </is>
      </c>
      <c r="F774" s="27" t="n"/>
      <c r="G774" s="28" t="inlineStr">
        <is>
          <t>11,76</t>
        </is>
      </c>
      <c r="H774" s="28" t="n"/>
      <c r="I774" s="27" t="n"/>
    </row>
    <row r="775">
      <c r="A775" s="23" t="inlineStr">
        <is>
          <t>OIBR4</t>
        </is>
      </c>
      <c r="B775" s="24" t="inlineStr">
        <is>
          <t>Ação</t>
        </is>
      </c>
      <c r="C775" s="24" t="inlineStr">
        <is>
          <t>Oi</t>
        </is>
      </c>
      <c r="D775" s="24" t="n">
        <v>1.34</v>
      </c>
      <c r="E775" s="24" t="inlineStr">
        <is>
          <t>76.535.764/0001-43</t>
        </is>
      </c>
      <c r="F775" s="24" t="n"/>
      <c r="G775" s="29" t="inlineStr">
        <is>
          <t>0,00</t>
        </is>
      </c>
      <c r="H775" s="29" t="n"/>
      <c r="I775" s="24" t="n"/>
    </row>
    <row r="776">
      <c r="A776" s="26" t="inlineStr">
        <is>
          <t>FIEI3</t>
        </is>
      </c>
      <c r="B776" s="27" t="inlineStr">
        <is>
          <t>Ação</t>
        </is>
      </c>
      <c r="C776" s="27" t="inlineStr">
        <is>
          <t>Fica</t>
        </is>
      </c>
      <c r="D776" s="27" t="n">
        <v>12.6</v>
      </c>
      <c r="E776" s="27" t="inlineStr">
        <is>
          <t>07.820.907/0001-46</t>
        </is>
      </c>
      <c r="F776" s="27" t="n"/>
      <c r="G776" s="28" t="inlineStr">
        <is>
          <t>0,00</t>
        </is>
      </c>
      <c r="H776" s="28" t="n"/>
      <c r="I776" s="27" t="n"/>
    </row>
    <row r="777">
      <c r="A777" s="23" t="inlineStr">
        <is>
          <t>CGRA4</t>
        </is>
      </c>
      <c r="B777" s="24" t="inlineStr">
        <is>
          <t>Ação</t>
        </is>
      </c>
      <c r="C777" s="24" t="inlineStr">
        <is>
          <t>Grazziotin</t>
        </is>
      </c>
      <c r="D777" s="24" t="n">
        <v>27.1</v>
      </c>
      <c r="E777" s="24" t="inlineStr">
        <is>
          <t>92.012.467/0001-70</t>
        </is>
      </c>
      <c r="F777" s="24" t="n"/>
      <c r="G777" s="29" t="inlineStr">
        <is>
          <t>25,43</t>
        </is>
      </c>
      <c r="H777" s="29" t="n"/>
      <c r="I777" s="24" t="n"/>
    </row>
    <row r="778">
      <c r="A778" s="26" t="inlineStr">
        <is>
          <t>RPMG3</t>
        </is>
      </c>
      <c r="B778" s="27" t="inlineStr">
        <is>
          <t>Ação</t>
        </is>
      </c>
      <c r="C778" s="27" t="inlineStr">
        <is>
          <t>Refinaria de Manguinhos</t>
        </is>
      </c>
      <c r="D778" s="27" t="n">
        <v>2.29</v>
      </c>
      <c r="E778" s="27" t="inlineStr">
        <is>
          <t>33.412.081/0001-96</t>
        </is>
      </c>
      <c r="F778" s="27" t="n"/>
      <c r="G778" s="28" t="inlineStr">
        <is>
          <t>0,00</t>
        </is>
      </c>
      <c r="H778" s="28" t="n"/>
      <c r="I778" s="27" t="n"/>
    </row>
    <row r="779">
      <c r="A779" s="23" t="inlineStr">
        <is>
          <t>COCE5</t>
        </is>
      </c>
      <c r="B779" s="24" t="inlineStr">
        <is>
          <t>Ação</t>
        </is>
      </c>
      <c r="C779" s="24" t="inlineStr">
        <is>
          <t>Coelce</t>
        </is>
      </c>
      <c r="D779" s="24" t="n">
        <v>31.9</v>
      </c>
      <c r="E779" s="24" t="inlineStr">
        <is>
          <t>07.047.251/0001-70</t>
        </is>
      </c>
      <c r="F779" s="24" t="n"/>
      <c r="G779" s="29" t="inlineStr">
        <is>
          <t>4,32</t>
        </is>
      </c>
      <c r="H779" s="29" t="n"/>
      <c r="I779" s="24" t="n"/>
    </row>
    <row r="780">
      <c r="A780" s="26" t="inlineStr">
        <is>
          <t>LAND3</t>
        </is>
      </c>
      <c r="B780" s="27" t="inlineStr">
        <is>
          <t>Ação</t>
        </is>
      </c>
      <c r="C780" s="27" t="inlineStr">
        <is>
          <t>Terra Santa</t>
        </is>
      </c>
      <c r="D780" s="27" t="n">
        <v>8.94</v>
      </c>
      <c r="E780" s="27" t="inlineStr">
        <is>
          <t>40.337.136/0001-06</t>
        </is>
      </c>
      <c r="F780" s="27" t="n"/>
      <c r="G780" s="28" t="inlineStr">
        <is>
          <t>0,82</t>
        </is>
      </c>
      <c r="H780" s="28" t="n"/>
      <c r="I780" s="27" t="n"/>
    </row>
    <row r="781">
      <c r="A781" s="23" t="inlineStr">
        <is>
          <t>REAG3</t>
        </is>
      </c>
      <c r="B781" s="24" t="inlineStr">
        <is>
          <t>Ação</t>
        </is>
      </c>
      <c r="C781" s="24" t="inlineStr">
        <is>
          <t>REAG3</t>
        </is>
      </c>
      <c r="D781" s="24" t="n"/>
      <c r="E781" s="24" t="n"/>
      <c r="F781" s="24" t="n"/>
      <c r="G781" s="29" t="inlineStr">
        <is>
          <t>0,00</t>
        </is>
      </c>
      <c r="H781" s="29" t="n"/>
      <c r="I781" s="24" t="n"/>
    </row>
    <row r="782">
      <c r="A782" s="26" t="inlineStr">
        <is>
          <t>ENGI3</t>
        </is>
      </c>
      <c r="B782" s="27" t="inlineStr">
        <is>
          <t>Ação</t>
        </is>
      </c>
      <c r="C782" s="27" t="inlineStr">
        <is>
          <t>Energisa</t>
        </is>
      </c>
      <c r="D782" s="27" t="n">
        <v>12.5</v>
      </c>
      <c r="E782" s="27" t="inlineStr">
        <is>
          <t>00.864.214/0001-06</t>
        </is>
      </c>
      <c r="F782" s="27" t="n"/>
      <c r="G782" s="28" t="inlineStr">
        <is>
          <t>1,57</t>
        </is>
      </c>
      <c r="H782" s="28" t="n"/>
      <c r="I782" s="27" t="n"/>
    </row>
    <row r="783">
      <c r="A783" s="23" t="inlineStr">
        <is>
          <t>NGRD3</t>
        </is>
      </c>
      <c r="B783" s="24" t="inlineStr">
        <is>
          <t>Ação</t>
        </is>
      </c>
      <c r="C783" s="24" t="inlineStr">
        <is>
          <t>Neogrid</t>
        </is>
      </c>
      <c r="D783" s="24" t="n">
        <v>26.02</v>
      </c>
      <c r="E783" s="24" t="inlineStr">
        <is>
          <t>10.139.870/0001-08</t>
        </is>
      </c>
      <c r="F783" s="24" t="n"/>
      <c r="G783" s="29" t="inlineStr">
        <is>
          <t>0,00</t>
        </is>
      </c>
      <c r="H783" s="29" t="n"/>
      <c r="I783" s="24" t="n"/>
    </row>
    <row r="784">
      <c r="A784" s="26" t="inlineStr">
        <is>
          <t>LOGN3</t>
        </is>
      </c>
      <c r="B784" s="27" t="inlineStr">
        <is>
          <t>Ação</t>
        </is>
      </c>
      <c r="C784" s="27" t="inlineStr">
        <is>
          <t>Log-In</t>
        </is>
      </c>
      <c r="D784" s="27" t="n">
        <v>32.04</v>
      </c>
      <c r="E784" s="27" t="inlineStr">
        <is>
          <t>42.278.291/0001-24</t>
        </is>
      </c>
      <c r="F784" s="27" t="n"/>
      <c r="G784" s="28" t="inlineStr">
        <is>
          <t>0,00</t>
        </is>
      </c>
      <c r="H784" s="28" t="n"/>
      <c r="I784" s="27" t="n"/>
    </row>
    <row r="785">
      <c r="A785" s="23" t="inlineStr">
        <is>
          <t>TPIS3</t>
        </is>
      </c>
      <c r="B785" s="24" t="inlineStr">
        <is>
          <t>Ação</t>
        </is>
      </c>
      <c r="C785" s="24" t="inlineStr">
        <is>
          <t>Triunfo</t>
        </is>
      </c>
      <c r="D785" s="24" t="n">
        <v>7.23</v>
      </c>
      <c r="E785" s="24" t="inlineStr">
        <is>
          <t>03.014.553/0001-91</t>
        </is>
      </c>
      <c r="F785" s="24" t="n"/>
      <c r="G785" s="29" t="inlineStr">
        <is>
          <t>7,63</t>
        </is>
      </c>
      <c r="H785" s="29" t="n"/>
      <c r="I785" s="24" t="n"/>
    </row>
    <row r="786">
      <c r="A786" s="26" t="inlineStr">
        <is>
          <t>CLSC4</t>
        </is>
      </c>
      <c r="B786" s="27" t="inlineStr">
        <is>
          <t>Ação</t>
        </is>
      </c>
      <c r="C786" s="27" t="inlineStr">
        <is>
          <t>Celesc</t>
        </is>
      </c>
      <c r="D786" s="27" t="n">
        <v>145.34</v>
      </c>
      <c r="E786" s="27" t="inlineStr">
        <is>
          <t>83.878.892/0001-55</t>
        </is>
      </c>
      <c r="F786" s="27" t="n"/>
      <c r="G786" s="28" t="inlineStr">
        <is>
          <t>2,20</t>
        </is>
      </c>
      <c r="H786" s="28" t="n"/>
      <c r="I786" s="27" t="n"/>
    </row>
    <row r="787">
      <c r="A787" s="23" t="inlineStr">
        <is>
          <t>CEBR5</t>
        </is>
      </c>
      <c r="B787" s="24" t="inlineStr">
        <is>
          <t>Ação</t>
        </is>
      </c>
      <c r="C787" s="24" t="inlineStr">
        <is>
          <t>CEB</t>
        </is>
      </c>
      <c r="D787" s="24" t="n">
        <v>30.01</v>
      </c>
      <c r="E787" s="24" t="inlineStr">
        <is>
          <t>00.070.698/0001-11</t>
        </is>
      </c>
      <c r="F787" s="24" t="n"/>
      <c r="G787" s="29" t="inlineStr">
        <is>
          <t>14,94</t>
        </is>
      </c>
      <c r="H787" s="29" t="n"/>
      <c r="I787" s="24" t="n"/>
    </row>
    <row r="788">
      <c r="A788" s="26" t="inlineStr">
        <is>
          <t>AZEV11</t>
        </is>
      </c>
      <c r="B788" s="27" t="inlineStr">
        <is>
          <t>Ação</t>
        </is>
      </c>
      <c r="C788" s="27" t="inlineStr">
        <is>
          <t>Azevedo &amp; Travassos</t>
        </is>
      </c>
      <c r="D788" s="27" t="n"/>
      <c r="E788" s="27" t="n"/>
      <c r="F788" s="27" t="n"/>
      <c r="G788" s="28" t="inlineStr">
        <is>
          <t>0,00</t>
        </is>
      </c>
      <c r="H788" s="28" t="n"/>
      <c r="I788" s="27" t="n"/>
    </row>
    <row r="789">
      <c r="A789" s="23" t="inlineStr">
        <is>
          <t>DOTZ3</t>
        </is>
      </c>
      <c r="B789" s="24" t="inlineStr">
        <is>
          <t>Ação</t>
        </is>
      </c>
      <c r="C789" s="24" t="inlineStr">
        <is>
          <t>Dotz</t>
        </is>
      </c>
      <c r="D789" s="24" t="n">
        <v>2.84</v>
      </c>
      <c r="E789" s="24" t="inlineStr">
        <is>
          <t>10.221.279/0001-97</t>
        </is>
      </c>
      <c r="F789" s="24" t="n"/>
      <c r="G789" s="29" t="inlineStr">
        <is>
          <t>0,00</t>
        </is>
      </c>
      <c r="H789" s="29" t="n"/>
      <c r="I789" s="24" t="n"/>
    </row>
    <row r="790">
      <c r="A790" s="26" t="inlineStr">
        <is>
          <t>DOHL4</t>
        </is>
      </c>
      <c r="B790" s="27" t="inlineStr">
        <is>
          <t>Ação</t>
        </is>
      </c>
      <c r="C790" s="27" t="inlineStr">
        <is>
          <t>DÃ¶hler</t>
        </is>
      </c>
      <c r="D790" s="27" t="n">
        <v>3.79</v>
      </c>
      <c r="E790" s="27" t="inlineStr">
        <is>
          <t>84.683.408/0001-03</t>
        </is>
      </c>
      <c r="F790" s="27" t="n"/>
      <c r="G790" s="28" t="inlineStr">
        <is>
          <t>0,26</t>
        </is>
      </c>
      <c r="H790" s="28" t="n"/>
      <c r="I790" s="27" t="n"/>
    </row>
    <row r="791">
      <c r="A791" s="23" t="inlineStr">
        <is>
          <t>UNIP3</t>
        </is>
      </c>
      <c r="B791" s="24" t="inlineStr">
        <is>
          <t>Ação</t>
        </is>
      </c>
      <c r="C791" s="24" t="inlineStr">
        <is>
          <t>Unipar</t>
        </is>
      </c>
      <c r="D791" s="24" t="n">
        <v>64.89</v>
      </c>
      <c r="E791" s="24" t="inlineStr">
        <is>
          <t>33.958.695/0001-78</t>
        </is>
      </c>
      <c r="F791" s="24" t="n"/>
      <c r="G791" s="29" t="inlineStr">
        <is>
          <t>17,24</t>
        </is>
      </c>
      <c r="H791" s="29" t="n"/>
      <c r="I791" s="24" t="n"/>
    </row>
    <row r="792">
      <c r="A792" s="26" t="inlineStr">
        <is>
          <t>HAGA4</t>
        </is>
      </c>
      <c r="B792" s="27" t="inlineStr">
        <is>
          <t>Ação</t>
        </is>
      </c>
      <c r="C792" s="27" t="inlineStr">
        <is>
          <t>Haga</t>
        </is>
      </c>
      <c r="D792" s="27" t="n">
        <v>1.46</v>
      </c>
      <c r="E792" s="27" t="inlineStr">
        <is>
          <t>30.540.991/0001-66</t>
        </is>
      </c>
      <c r="F792" s="27" t="n"/>
      <c r="G792" s="28" t="inlineStr">
        <is>
          <t>0,00</t>
        </is>
      </c>
      <c r="H792" s="28" t="n"/>
      <c r="I792" s="27" t="n"/>
    </row>
    <row r="793">
      <c r="A793" s="23" t="inlineStr">
        <is>
          <t>NUTR3</t>
        </is>
      </c>
      <c r="B793" s="24" t="inlineStr">
        <is>
          <t>Ação</t>
        </is>
      </c>
      <c r="C793" s="24" t="inlineStr">
        <is>
          <t>Nutriplant</t>
        </is>
      </c>
      <c r="D793" s="24" t="n">
        <v>2.5</v>
      </c>
      <c r="E793" s="24" t="inlineStr">
        <is>
          <t>51.128.999/0001-90</t>
        </is>
      </c>
      <c r="F793" s="24" t="n"/>
      <c r="G793" s="29" t="inlineStr">
        <is>
          <t>0,00</t>
        </is>
      </c>
      <c r="H793" s="29" t="n"/>
      <c r="I793" s="24" t="n"/>
    </row>
    <row r="794">
      <c r="A794" s="26" t="inlineStr">
        <is>
          <t>UCAS3</t>
        </is>
      </c>
      <c r="B794" s="27" t="inlineStr">
        <is>
          <t>Ação</t>
        </is>
      </c>
      <c r="C794" s="27" t="inlineStr">
        <is>
          <t>Unicasa</t>
        </is>
      </c>
      <c r="D794" s="27" t="n">
        <v>1.49</v>
      </c>
      <c r="E794" s="27" t="inlineStr">
        <is>
          <t>90.441.460/0001-48</t>
        </is>
      </c>
      <c r="F794" s="27" t="n"/>
      <c r="G794" s="28" t="inlineStr">
        <is>
          <t>0,00</t>
        </is>
      </c>
      <c r="H794" s="28" t="n"/>
      <c r="I794" s="27" t="n"/>
    </row>
    <row r="795">
      <c r="A795" s="23" t="inlineStr">
        <is>
          <t>BAZA3</t>
        </is>
      </c>
      <c r="B795" s="24" t="inlineStr">
        <is>
          <t>Ação</t>
        </is>
      </c>
      <c r="C795" s="24" t="inlineStr">
        <is>
          <t>Banco da AmazÃ´nia</t>
        </is>
      </c>
      <c r="D795" s="24" t="n">
        <v>86.52</v>
      </c>
      <c r="E795" s="24" t="inlineStr">
        <is>
          <t>04.902.979/0001-44</t>
        </is>
      </c>
      <c r="F795" s="24" t="n"/>
      <c r="G795" s="29" t="inlineStr">
        <is>
          <t>9,32</t>
        </is>
      </c>
      <c r="H795" s="29" t="n"/>
      <c r="I795" s="24" t="n"/>
    </row>
    <row r="796">
      <c r="A796" s="26" t="inlineStr">
        <is>
          <t>RSID3</t>
        </is>
      </c>
      <c r="B796" s="27" t="inlineStr">
        <is>
          <t>Ação</t>
        </is>
      </c>
      <c r="C796" s="27" t="inlineStr">
        <is>
          <t>Rossi Residencial</t>
        </is>
      </c>
      <c r="D796" s="27" t="n">
        <v>1.79</v>
      </c>
      <c r="E796" s="27" t="inlineStr">
        <is>
          <t>61.065.751/0001-80</t>
        </is>
      </c>
      <c r="F796" s="27" t="n"/>
      <c r="G796" s="28" t="inlineStr">
        <is>
          <t>0,00</t>
        </is>
      </c>
      <c r="H796" s="28" t="n"/>
      <c r="I796" s="27" t="n"/>
    </row>
    <row r="797">
      <c r="A797" s="23" t="inlineStr">
        <is>
          <t>CRPG5</t>
        </is>
      </c>
      <c r="B797" s="24" t="inlineStr">
        <is>
          <t>Ação</t>
        </is>
      </c>
      <c r="C797" s="24" t="inlineStr">
        <is>
          <t>Tronox Pigmentos</t>
        </is>
      </c>
      <c r="D797" s="24" t="n">
        <v>17.9</v>
      </c>
      <c r="E797" s="24" t="inlineStr">
        <is>
          <t>15.115.504/0001-24</t>
        </is>
      </c>
      <c r="F797" s="24" t="n"/>
      <c r="G797" s="29" t="inlineStr">
        <is>
          <t>0,00</t>
        </is>
      </c>
      <c r="H797" s="29" t="n"/>
      <c r="I797" s="24" t="n"/>
    </row>
    <row r="798">
      <c r="A798" s="26" t="inlineStr">
        <is>
          <t>ALUP4</t>
        </is>
      </c>
      <c r="B798" s="27" t="inlineStr">
        <is>
          <t>Ação</t>
        </is>
      </c>
      <c r="C798" s="27" t="inlineStr">
        <is>
          <t>Alupar</t>
        </is>
      </c>
      <c r="D798" s="27" t="n">
        <v>10.71</v>
      </c>
      <c r="E798" s="27" t="inlineStr">
        <is>
          <t>08.364.948/0001-38</t>
        </is>
      </c>
      <c r="F798" s="27" t="n"/>
      <c r="G798" s="28" t="inlineStr">
        <is>
          <t>4,00</t>
        </is>
      </c>
      <c r="H798" s="28" t="n"/>
      <c r="I798" s="27" t="n"/>
    </row>
    <row r="799">
      <c r="A799" s="23" t="inlineStr">
        <is>
          <t>BSLI3</t>
        </is>
      </c>
      <c r="B799" s="24" t="inlineStr">
        <is>
          <t>Ação</t>
        </is>
      </c>
      <c r="C799" s="24" t="inlineStr">
        <is>
          <t>Banco de BrasÃ­lia</t>
        </is>
      </c>
      <c r="D799" s="24" t="n">
        <v>4.77</v>
      </c>
      <c r="E799" s="24" t="inlineStr">
        <is>
          <t>00.000.208/0001-00</t>
        </is>
      </c>
      <c r="F799" s="24" t="n"/>
      <c r="G799" s="29" t="inlineStr">
        <is>
          <t>8,69</t>
        </is>
      </c>
      <c r="H799" s="29" t="n"/>
      <c r="I799" s="24" t="n"/>
    </row>
    <row r="800">
      <c r="A800" s="26" t="inlineStr">
        <is>
          <t>EMAE4</t>
        </is>
      </c>
      <c r="B800" s="27" t="inlineStr">
        <is>
          <t>Ação</t>
        </is>
      </c>
      <c r="C800" s="27" t="inlineStr">
        <is>
          <t>EMAE</t>
        </is>
      </c>
      <c r="D800" s="27" t="n">
        <v>47.45</v>
      </c>
      <c r="E800" s="27" t="inlineStr">
        <is>
          <t>02.302.101/0001-42</t>
        </is>
      </c>
      <c r="F800" s="27" t="n"/>
      <c r="G800" s="28" t="inlineStr">
        <is>
          <t>0,00</t>
        </is>
      </c>
      <c r="H800" s="28" t="n"/>
      <c r="I800" s="27" t="n"/>
    </row>
    <row r="801">
      <c r="A801" s="23" t="inlineStr">
        <is>
          <t>MGEL4</t>
        </is>
      </c>
      <c r="B801" s="24" t="inlineStr">
        <is>
          <t>Ação</t>
        </is>
      </c>
      <c r="C801" s="24" t="inlineStr">
        <is>
          <t>Mangels</t>
        </is>
      </c>
      <c r="D801" s="24" t="n">
        <v>6.07</v>
      </c>
      <c r="E801" s="24" t="inlineStr">
        <is>
          <t>61.065.298/0001-02</t>
        </is>
      </c>
      <c r="F801" s="24" t="n"/>
      <c r="G801" s="29" t="inlineStr">
        <is>
          <t>0,00</t>
        </is>
      </c>
      <c r="H801" s="29" t="n"/>
      <c r="I801" s="24" t="n"/>
    </row>
    <row r="802">
      <c r="A802" s="26" t="inlineStr">
        <is>
          <t>JFEN3</t>
        </is>
      </c>
      <c r="B802" s="27" t="inlineStr">
        <is>
          <t>Ação</t>
        </is>
      </c>
      <c r="C802" s="27" t="inlineStr">
        <is>
          <t>JoÃ£o Fortes</t>
        </is>
      </c>
      <c r="D802" s="27" t="n">
        <v>0.83</v>
      </c>
      <c r="E802" s="27" t="inlineStr">
        <is>
          <t>33.035.536/0001-00</t>
        </is>
      </c>
      <c r="F802" s="27" t="n"/>
      <c r="G802" s="28" t="inlineStr">
        <is>
          <t>0,00</t>
        </is>
      </c>
      <c r="H802" s="28" t="n"/>
      <c r="I802" s="27" t="n"/>
    </row>
    <row r="803">
      <c r="A803" s="23" t="inlineStr">
        <is>
          <t>FHER3</t>
        </is>
      </c>
      <c r="B803" s="24" t="inlineStr">
        <is>
          <t>Ação</t>
        </is>
      </c>
      <c r="C803" s="24" t="inlineStr">
        <is>
          <t>Fertilizantes Heringer</t>
        </is>
      </c>
      <c r="D803" s="24" t="n">
        <v>3.95</v>
      </c>
      <c r="E803" s="24" t="inlineStr">
        <is>
          <t>22.266.175/0001-88</t>
        </is>
      </c>
      <c r="F803" s="24" t="n"/>
      <c r="G803" s="29" t="inlineStr">
        <is>
          <t>0,00</t>
        </is>
      </c>
      <c r="H803" s="29" t="n"/>
      <c r="I803" s="24" t="n"/>
    </row>
    <row r="804">
      <c r="A804" s="26" t="inlineStr">
        <is>
          <t>BEES4</t>
        </is>
      </c>
      <c r="B804" s="27" t="inlineStr">
        <is>
          <t>Ação</t>
        </is>
      </c>
      <c r="C804" s="27" t="inlineStr">
        <is>
          <t>Banestes</t>
        </is>
      </c>
      <c r="D804" s="27" t="n">
        <v>8.859999999999999</v>
      </c>
      <c r="E804" s="27" t="inlineStr">
        <is>
          <t>28.127.603/0001-78</t>
        </is>
      </c>
      <c r="F804" s="27" t="n"/>
      <c r="G804" s="28" t="inlineStr">
        <is>
          <t>7,83</t>
        </is>
      </c>
      <c r="H804" s="28" t="n"/>
      <c r="I804" s="27" t="n"/>
    </row>
    <row r="805">
      <c r="A805" s="23" t="inlineStr">
        <is>
          <t>BRSR3</t>
        </is>
      </c>
      <c r="B805" s="24" t="inlineStr">
        <is>
          <t>Ação</t>
        </is>
      </c>
      <c r="C805" s="24" t="inlineStr">
        <is>
          <t>Banrisul</t>
        </is>
      </c>
      <c r="D805" s="24" t="n">
        <v>18.94</v>
      </c>
      <c r="E805" s="24" t="inlineStr">
        <is>
          <t>92.702.067/0001-96</t>
        </is>
      </c>
      <c r="F805" s="24" t="n"/>
      <c r="G805" s="29" t="inlineStr">
        <is>
          <t>8,40</t>
        </is>
      </c>
      <c r="H805" s="29" t="n"/>
      <c r="I805" s="24" t="n"/>
    </row>
    <row r="806">
      <c r="A806" s="26" t="inlineStr">
        <is>
          <t>WLMM4</t>
        </is>
      </c>
      <c r="B806" s="27" t="inlineStr">
        <is>
          <t>Ação</t>
        </is>
      </c>
      <c r="C806" s="27" t="inlineStr">
        <is>
          <t>WLM</t>
        </is>
      </c>
      <c r="D806" s="27" t="n">
        <v>23.47</v>
      </c>
      <c r="E806" s="27" t="inlineStr">
        <is>
          <t>33.228.024/0001-51</t>
        </is>
      </c>
      <c r="F806" s="27" t="n"/>
      <c r="G806" s="28" t="inlineStr">
        <is>
          <t>7,44</t>
        </is>
      </c>
      <c r="H806" s="28" t="n"/>
      <c r="I806" s="27" t="n"/>
    </row>
    <row r="807">
      <c r="A807" s="23" t="inlineStr">
        <is>
          <t>AVLL3</t>
        </is>
      </c>
      <c r="B807" s="24" t="inlineStr">
        <is>
          <t>Ação</t>
        </is>
      </c>
      <c r="C807" s="24" t="inlineStr">
        <is>
          <t>Alphaville</t>
        </is>
      </c>
      <c r="D807" s="24" t="n">
        <v>0.73</v>
      </c>
      <c r="E807" s="24" t="inlineStr">
        <is>
          <t>16.811.931/0001-00</t>
        </is>
      </c>
      <c r="F807" s="24" t="n"/>
      <c r="G807" s="29" t="inlineStr">
        <is>
          <t>0,00</t>
        </is>
      </c>
      <c r="H807" s="29" t="n"/>
      <c r="I807" s="24" t="n"/>
    </row>
    <row r="808">
      <c r="A808" s="26" t="inlineStr">
        <is>
          <t>MTSA4</t>
        </is>
      </c>
      <c r="B808" s="27" t="inlineStr">
        <is>
          <t>Ação</t>
        </is>
      </c>
      <c r="C808" s="27" t="inlineStr">
        <is>
          <t>Metisa</t>
        </is>
      </c>
      <c r="D808" s="27" t="n">
        <v>60.98</v>
      </c>
      <c r="E808" s="27" t="inlineStr">
        <is>
          <t>86.375.425/0001-09</t>
        </is>
      </c>
      <c r="F808" s="27" t="n"/>
      <c r="G808" s="28" t="inlineStr">
        <is>
          <t>7,58</t>
        </is>
      </c>
      <c r="H808" s="28" t="n"/>
      <c r="I808" s="27" t="n"/>
    </row>
    <row r="809">
      <c r="A809" s="23" t="inlineStr">
        <is>
          <t>RSUL4</t>
        </is>
      </c>
      <c r="B809" s="24" t="inlineStr">
        <is>
          <t>Ação</t>
        </is>
      </c>
      <c r="C809" s="24" t="inlineStr">
        <is>
          <t>MetalÃºrgica Riosulense</t>
        </is>
      </c>
      <c r="D809" s="24" t="n">
        <v>63.01</v>
      </c>
      <c r="E809" s="24" t="inlineStr">
        <is>
          <t>85.778.074/0001-06</t>
        </is>
      </c>
      <c r="F809" s="24" t="n"/>
      <c r="G809" s="29" t="inlineStr">
        <is>
          <t>0,00</t>
        </is>
      </c>
      <c r="H809" s="29" t="n"/>
      <c r="I809" s="24" t="n"/>
    </row>
    <row r="810">
      <c r="A810" s="26" t="inlineStr">
        <is>
          <t>ALUP3</t>
        </is>
      </c>
      <c r="B810" s="27" t="inlineStr">
        <is>
          <t>Ação</t>
        </is>
      </c>
      <c r="C810" s="27" t="inlineStr">
        <is>
          <t>Alupar</t>
        </is>
      </c>
      <c r="D810" s="27" t="n">
        <v>12.3</v>
      </c>
      <c r="E810" s="27" t="inlineStr">
        <is>
          <t>08.364.948/0001-38</t>
        </is>
      </c>
      <c r="F810" s="27" t="n"/>
      <c r="G810" s="28" t="inlineStr">
        <is>
          <t>3,50</t>
        </is>
      </c>
      <c r="H810" s="28" t="n"/>
      <c r="I810" s="27" t="n"/>
    </row>
    <row r="811">
      <c r="A811" s="23" t="inlineStr">
        <is>
          <t>DEXP4</t>
        </is>
      </c>
      <c r="B811" s="24" t="inlineStr">
        <is>
          <t>Ação</t>
        </is>
      </c>
      <c r="C811" s="24" t="inlineStr">
        <is>
          <t>Dexxos</t>
        </is>
      </c>
      <c r="D811" s="24" t="n">
        <v>7.29</v>
      </c>
      <c r="E811" s="24" t="inlineStr">
        <is>
          <t>02.193.750/0001-52</t>
        </is>
      </c>
      <c r="F811" s="24" t="n"/>
      <c r="G811" s="29" t="inlineStr">
        <is>
          <t>9,54</t>
        </is>
      </c>
      <c r="H811" s="29" t="n"/>
      <c r="I811" s="24" t="n"/>
    </row>
    <row r="812">
      <c r="A812" s="26" t="inlineStr">
        <is>
          <t>MNPR3</t>
        </is>
      </c>
      <c r="B812" s="27" t="inlineStr">
        <is>
          <t>Ação</t>
        </is>
      </c>
      <c r="C812" s="27" t="inlineStr">
        <is>
          <t>Minupar</t>
        </is>
      </c>
      <c r="D812" s="27" t="n">
        <v>4.39</v>
      </c>
      <c r="E812" s="27" t="inlineStr">
        <is>
          <t>90.076.886/0001-40</t>
        </is>
      </c>
      <c r="F812" s="27" t="n"/>
      <c r="G812" s="28" t="inlineStr">
        <is>
          <t>0,00</t>
        </is>
      </c>
      <c r="H812" s="28" t="n"/>
      <c r="I812" s="27" t="n"/>
    </row>
    <row r="813">
      <c r="A813" s="23" t="inlineStr">
        <is>
          <t>ALPA3</t>
        </is>
      </c>
      <c r="B813" s="24" t="inlineStr">
        <is>
          <t>Ação</t>
        </is>
      </c>
      <c r="C813" s="24" t="inlineStr">
        <is>
          <t>Alpargatas</t>
        </is>
      </c>
      <c r="D813" s="24" t="n">
        <v>11.57</v>
      </c>
      <c r="E813" s="24" t="inlineStr">
        <is>
          <t>61.079.117/0001-05</t>
        </is>
      </c>
      <c r="F813" s="24" t="n"/>
      <c r="G813" s="29" t="inlineStr">
        <is>
          <t>4,12</t>
        </is>
      </c>
      <c r="H813" s="29" t="n"/>
      <c r="I813" s="24" t="n"/>
    </row>
    <row r="814">
      <c r="A814" s="26" t="inlineStr">
        <is>
          <t>ISAE3</t>
        </is>
      </c>
      <c r="B814" s="27" t="inlineStr">
        <is>
          <t>Ação</t>
        </is>
      </c>
      <c r="C814" s="27" t="inlineStr">
        <is>
          <t>ISA Energia</t>
        </is>
      </c>
      <c r="D814" s="27" t="n">
        <v>32.5</v>
      </c>
      <c r="E814" s="27" t="inlineStr">
        <is>
          <t>02.998.611/0001-04</t>
        </is>
      </c>
      <c r="F814" s="27" t="n"/>
      <c r="G814" s="28" t="inlineStr">
        <is>
          <t>6,81</t>
        </is>
      </c>
      <c r="H814" s="28" t="n"/>
      <c r="I814" s="27" t="n"/>
    </row>
    <row r="815">
      <c r="A815" s="23" t="inlineStr">
        <is>
          <t>NEXP3</t>
        </is>
      </c>
      <c r="B815" s="24" t="inlineStr">
        <is>
          <t>Ação</t>
        </is>
      </c>
      <c r="C815" s="24" t="inlineStr">
        <is>
          <t>Brasil Brokers</t>
        </is>
      </c>
      <c r="D815" s="24" t="n">
        <v>2.77</v>
      </c>
      <c r="E815" s="24" t="inlineStr">
        <is>
          <t>08.613.550/0001-98</t>
        </is>
      </c>
      <c r="F815" s="24" t="n"/>
      <c r="G815" s="29" t="inlineStr">
        <is>
          <t>0,00</t>
        </is>
      </c>
      <c r="H815" s="29" t="n"/>
      <c r="I815" s="24" t="n"/>
    </row>
    <row r="816">
      <c r="A816" s="26" t="inlineStr">
        <is>
          <t>TELB4</t>
        </is>
      </c>
      <c r="B816" s="27" t="inlineStr">
        <is>
          <t>Ação</t>
        </is>
      </c>
      <c r="C816" s="27" t="inlineStr">
        <is>
          <t>Telebras</t>
        </is>
      </c>
      <c r="D816" s="27" t="n">
        <v>7.99</v>
      </c>
      <c r="E816" s="27" t="inlineStr">
        <is>
          <t>00.336.701/0001-04</t>
        </is>
      </c>
      <c r="F816" s="27" t="n"/>
      <c r="G816" s="28" t="inlineStr">
        <is>
          <t>0,00</t>
        </is>
      </c>
      <c r="H816" s="28" t="n"/>
      <c r="I816" s="27" t="n"/>
    </row>
    <row r="817">
      <c r="A817" s="23" t="inlineStr">
        <is>
          <t>PTNT4</t>
        </is>
      </c>
      <c r="B817" s="24" t="inlineStr">
        <is>
          <t>Ação</t>
        </is>
      </c>
      <c r="C817" s="24" t="inlineStr">
        <is>
          <t>Pettenati</t>
        </is>
      </c>
      <c r="D817" s="24" t="n">
        <v>8.460000000000001</v>
      </c>
      <c r="E817" s="24" t="inlineStr">
        <is>
          <t>88.613.658/0001-10</t>
        </is>
      </c>
      <c r="F817" s="24" t="n"/>
      <c r="G817" s="29" t="inlineStr">
        <is>
          <t>0,00</t>
        </is>
      </c>
      <c r="H817" s="29" t="n"/>
      <c r="I817" s="24" t="n"/>
    </row>
    <row r="818">
      <c r="A818" s="26" t="inlineStr">
        <is>
          <t>PATI3</t>
        </is>
      </c>
      <c r="B818" s="27" t="inlineStr">
        <is>
          <t>Ação</t>
        </is>
      </c>
      <c r="C818" s="27" t="inlineStr">
        <is>
          <t>PanatlÃ¢ntica</t>
        </is>
      </c>
      <c r="D818" s="27" t="n">
        <v>32</v>
      </c>
      <c r="E818" s="27" t="inlineStr">
        <is>
          <t>92.693.019/0001-89</t>
        </is>
      </c>
      <c r="F818" s="27" t="n"/>
      <c r="G818" s="28" t="inlineStr">
        <is>
          <t>2,47</t>
        </is>
      </c>
      <c r="H818" s="28" t="n"/>
      <c r="I818" s="27" t="n"/>
    </row>
    <row r="819">
      <c r="A819" s="23" t="inlineStr">
        <is>
          <t>EALT3</t>
        </is>
      </c>
      <c r="B819" s="24" t="inlineStr">
        <is>
          <t>Ação</t>
        </is>
      </c>
      <c r="C819" s="24" t="inlineStr">
        <is>
          <t>Electro AÃ§o Altona</t>
        </is>
      </c>
      <c r="D819" s="24" t="n">
        <v>14.56</v>
      </c>
      <c r="E819" s="24" t="inlineStr">
        <is>
          <t>82.643.537/0001-34</t>
        </is>
      </c>
      <c r="F819" s="24" t="n"/>
      <c r="G819" s="29" t="inlineStr">
        <is>
          <t>4,64</t>
        </is>
      </c>
      <c r="H819" s="29" t="n"/>
      <c r="I819" s="24" t="n"/>
    </row>
    <row r="820">
      <c r="A820" s="26" t="inlineStr">
        <is>
          <t>WHRL3</t>
        </is>
      </c>
      <c r="B820" s="27" t="inlineStr">
        <is>
          <t>Ação</t>
        </is>
      </c>
      <c r="C820" s="27" t="inlineStr">
        <is>
          <t>Whirlpool</t>
        </is>
      </c>
      <c r="D820" s="27" t="n">
        <v>4.33</v>
      </c>
      <c r="E820" s="27" t="inlineStr">
        <is>
          <t>59.105.999/0001-86</t>
        </is>
      </c>
      <c r="F820" s="27" t="n"/>
      <c r="G820" s="28" t="inlineStr">
        <is>
          <t>11,44</t>
        </is>
      </c>
      <c r="H820" s="28" t="n"/>
      <c r="I820" s="27" t="n"/>
    </row>
    <row r="821">
      <c r="A821" s="23" t="inlineStr">
        <is>
          <t>BPAC3</t>
        </is>
      </c>
      <c r="B821" s="24" t="inlineStr">
        <is>
          <t>Ação</t>
        </is>
      </c>
      <c r="C821" s="24" t="inlineStr">
        <is>
          <t>Banco BTG Pactual</t>
        </is>
      </c>
      <c r="D821" s="24" t="n">
        <v>40.63</v>
      </c>
      <c r="E821" s="24" t="inlineStr">
        <is>
          <t>30.306.294/0001-45</t>
        </is>
      </c>
      <c r="F821" s="24" t="n"/>
      <c r="G821" s="29" t="inlineStr">
        <is>
          <t>1,01</t>
        </is>
      </c>
      <c r="H821" s="29" t="n"/>
      <c r="I821" s="24" t="n"/>
    </row>
    <row r="822">
      <c r="A822" s="26" t="inlineStr">
        <is>
          <t>BSLI4</t>
        </is>
      </c>
      <c r="B822" s="27" t="inlineStr">
        <is>
          <t>Ação</t>
        </is>
      </c>
      <c r="C822" s="27" t="inlineStr">
        <is>
          <t>Banco de BrasÃ­lia</t>
        </is>
      </c>
      <c r="D822" s="27" t="n">
        <v>4.4</v>
      </c>
      <c r="E822" s="27" t="inlineStr">
        <is>
          <t>00.000.208/0001-00</t>
        </is>
      </c>
      <c r="F822" s="27" t="n"/>
      <c r="G822" s="28" t="inlineStr">
        <is>
          <t>10,28</t>
        </is>
      </c>
      <c r="H822" s="28" t="n"/>
      <c r="I822" s="27" t="n"/>
    </row>
    <row r="823">
      <c r="A823" s="23" t="inlineStr">
        <is>
          <t>MNDL3</t>
        </is>
      </c>
      <c r="B823" s="24" t="inlineStr">
        <is>
          <t>Ação</t>
        </is>
      </c>
      <c r="C823" s="24" t="inlineStr">
        <is>
          <t>Mundial</t>
        </is>
      </c>
      <c r="D823" s="24" t="n">
        <v>17.8</v>
      </c>
      <c r="E823" s="24" t="inlineStr">
        <is>
          <t>88.610.191/0001-54</t>
        </is>
      </c>
      <c r="F823" s="24" t="n"/>
      <c r="G823" s="29" t="inlineStr">
        <is>
          <t>0,00</t>
        </is>
      </c>
      <c r="H823" s="29" t="n"/>
      <c r="I823" s="24" t="n"/>
    </row>
    <row r="824">
      <c r="A824" s="26" t="inlineStr">
        <is>
          <t>OSXB3</t>
        </is>
      </c>
      <c r="B824" s="27" t="inlineStr">
        <is>
          <t>Ação</t>
        </is>
      </c>
      <c r="C824" s="27" t="inlineStr">
        <is>
          <t>OSX Brasil</t>
        </is>
      </c>
      <c r="D824" s="27" t="n">
        <v>1.68</v>
      </c>
      <c r="E824" s="27" t="inlineStr">
        <is>
          <t>09.112.685/0001-32</t>
        </is>
      </c>
      <c r="F824" s="27" t="n"/>
      <c r="G824" s="28" t="inlineStr">
        <is>
          <t>0,00</t>
        </is>
      </c>
      <c r="H824" s="28" t="n"/>
      <c r="I824" s="27" t="n"/>
    </row>
    <row r="825">
      <c r="A825" s="23" t="inlineStr">
        <is>
          <t>PPLA11</t>
        </is>
      </c>
      <c r="B825" s="24" t="inlineStr">
        <is>
          <t>Ação</t>
        </is>
      </c>
      <c r="C825" s="24" t="inlineStr">
        <is>
          <t>PPLA</t>
        </is>
      </c>
      <c r="D825" s="24" t="n">
        <v>0.48</v>
      </c>
      <c r="E825" s="24" t="inlineStr">
        <is>
          <t>15.073.274/0001-88</t>
        </is>
      </c>
      <c r="F825" s="24" t="n"/>
      <c r="G825" s="29" t="inlineStr">
        <is>
          <t>0,00</t>
        </is>
      </c>
      <c r="H825" s="29" t="n"/>
      <c r="I825" s="24" t="n"/>
    </row>
    <row r="826">
      <c r="A826" s="26" t="inlineStr">
        <is>
          <t>TKNO4</t>
        </is>
      </c>
      <c r="B826" s="27" t="inlineStr">
        <is>
          <t>Ação</t>
        </is>
      </c>
      <c r="C826" s="27" t="inlineStr">
        <is>
          <t>Tekno</t>
        </is>
      </c>
      <c r="D826" s="27" t="n">
        <v>220.03</v>
      </c>
      <c r="E826" s="27" t="inlineStr">
        <is>
          <t>33.467.572/0001-34</t>
        </is>
      </c>
      <c r="F826" s="27" t="n"/>
      <c r="G826" s="28" t="inlineStr">
        <is>
          <t>9,34</t>
        </is>
      </c>
      <c r="H826" s="28" t="n"/>
      <c r="I826" s="27" t="n"/>
    </row>
    <row r="827">
      <c r="A827" s="23" t="inlineStr">
        <is>
          <t>REDE3</t>
        </is>
      </c>
      <c r="B827" s="24" t="inlineStr">
        <is>
          <t>Ação</t>
        </is>
      </c>
      <c r="C827" s="24" t="inlineStr">
        <is>
          <t>Rede Energia</t>
        </is>
      </c>
      <c r="D827" s="24" t="n">
        <v>6.29</v>
      </c>
      <c r="E827" s="24" t="inlineStr">
        <is>
          <t>61.584.140/0001-49</t>
        </is>
      </c>
      <c r="F827" s="24" t="n"/>
      <c r="G827" s="29" t="inlineStr">
        <is>
          <t>5,82</t>
        </is>
      </c>
      <c r="H827" s="29" t="n"/>
      <c r="I827" s="24" t="n"/>
    </row>
    <row r="828">
      <c r="A828" s="26" t="inlineStr">
        <is>
          <t>OFSA3</t>
        </is>
      </c>
      <c r="B828" s="27" t="inlineStr">
        <is>
          <t>Ação</t>
        </is>
      </c>
      <c r="C828" s="27" t="inlineStr">
        <is>
          <t>Ourofino SaÃºde Animal</t>
        </is>
      </c>
      <c r="D828" s="27" t="n">
        <v>25.39</v>
      </c>
      <c r="E828" s="27" t="inlineStr">
        <is>
          <t>20.258.278/0001-70</t>
        </is>
      </c>
      <c r="F828" s="27" t="n"/>
      <c r="G828" s="28" t="inlineStr">
        <is>
          <t>4,50</t>
        </is>
      </c>
      <c r="H828" s="28" t="n"/>
      <c r="I828" s="27" t="n"/>
    </row>
    <row r="829">
      <c r="A829" s="23" t="inlineStr">
        <is>
          <t>BPAC5</t>
        </is>
      </c>
      <c r="B829" s="24" t="inlineStr">
        <is>
          <t>Ação</t>
        </is>
      </c>
      <c r="C829" s="24" t="inlineStr">
        <is>
          <t>Banco BTG Pactual</t>
        </is>
      </c>
      <c r="D829" s="24" t="n">
        <v>10.76</v>
      </c>
      <c r="E829" s="24" t="inlineStr">
        <is>
          <t>30.306.294/0001-45</t>
        </is>
      </c>
      <c r="F829" s="24" t="n"/>
      <c r="G829" s="29" t="inlineStr">
        <is>
          <t>3,85</t>
        </is>
      </c>
      <c r="H829" s="29" t="n"/>
      <c r="I829" s="24" t="n"/>
    </row>
    <row r="830">
      <c r="A830" s="26" t="inlineStr">
        <is>
          <t>EPAR3</t>
        </is>
      </c>
      <c r="B830" s="27" t="inlineStr">
        <is>
          <t>Ação</t>
        </is>
      </c>
      <c r="C830" s="27" t="inlineStr">
        <is>
          <t>Embpar ParticipaÃ§Ãµes</t>
        </is>
      </c>
      <c r="D830" s="27" t="n">
        <v>3.59</v>
      </c>
      <c r="E830" s="27" t="inlineStr">
        <is>
          <t>42.331.462/0001-31</t>
        </is>
      </c>
      <c r="F830" s="27" t="n"/>
      <c r="G830" s="28" t="inlineStr">
        <is>
          <t>24,37</t>
        </is>
      </c>
      <c r="H830" s="28" t="n"/>
      <c r="I830" s="27" t="n"/>
    </row>
    <row r="831">
      <c r="A831" s="23" t="inlineStr">
        <is>
          <t>GEPA3</t>
        </is>
      </c>
      <c r="B831" s="24" t="inlineStr">
        <is>
          <t>Ação</t>
        </is>
      </c>
      <c r="C831" s="24" t="inlineStr">
        <is>
          <t>Rio Paranapanema Energia</t>
        </is>
      </c>
      <c r="D831" s="24" t="n">
        <v>33.8</v>
      </c>
      <c r="E831" s="24" t="inlineStr">
        <is>
          <t>02.998.301/0001-81</t>
        </is>
      </c>
      <c r="F831" s="24" t="n"/>
      <c r="G831" s="29" t="inlineStr">
        <is>
          <t>30,20</t>
        </is>
      </c>
      <c r="H831" s="29" t="n"/>
      <c r="I831" s="24" t="n"/>
    </row>
    <row r="832">
      <c r="A832" s="26" t="inlineStr">
        <is>
          <t>FESA3</t>
        </is>
      </c>
      <c r="B832" s="27" t="inlineStr">
        <is>
          <t>Ação</t>
        </is>
      </c>
      <c r="C832" s="27" t="inlineStr">
        <is>
          <t>Ferbasa</t>
        </is>
      </c>
      <c r="D832" s="27" t="n">
        <v>11.77</v>
      </c>
      <c r="E832" s="27" t="inlineStr">
        <is>
          <t>15.141.799/0001-03</t>
        </is>
      </c>
      <c r="F832" s="27" t="n"/>
      <c r="G832" s="28" t="inlineStr">
        <is>
          <t>5,64</t>
        </is>
      </c>
      <c r="H832" s="28" t="n"/>
      <c r="I832" s="27" t="n"/>
    </row>
    <row r="833">
      <c r="A833" s="23" t="inlineStr">
        <is>
          <t>PINE11</t>
        </is>
      </c>
      <c r="B833" s="24" t="inlineStr">
        <is>
          <t>Ação</t>
        </is>
      </c>
      <c r="C833" s="24" t="inlineStr">
        <is>
          <t>Banco Pine</t>
        </is>
      </c>
      <c r="D833" s="24" t="n"/>
      <c r="E833" s="24" t="n"/>
      <c r="F833" s="24" t="n"/>
      <c r="G833" s="29" t="inlineStr">
        <is>
          <t>0,00</t>
        </is>
      </c>
      <c r="H833" s="29" t="n"/>
      <c r="I833" s="24" t="n"/>
    </row>
    <row r="834">
      <c r="A834" s="26" t="inlineStr">
        <is>
          <t>CGAS5</t>
        </is>
      </c>
      <c r="B834" s="27" t="inlineStr">
        <is>
          <t>Ação</t>
        </is>
      </c>
      <c r="C834" s="27" t="inlineStr">
        <is>
          <t>ComgÃ¡s</t>
        </is>
      </c>
      <c r="D834" s="27" t="n">
        <v>132.1</v>
      </c>
      <c r="E834" s="27" t="inlineStr">
        <is>
          <t>61.856.571/0001-17</t>
        </is>
      </c>
      <c r="F834" s="27" t="n"/>
      <c r="G834" s="28" t="inlineStr">
        <is>
          <t>7,35</t>
        </is>
      </c>
      <c r="H834" s="28" t="n"/>
      <c r="I834" s="27" t="n"/>
    </row>
    <row r="835">
      <c r="A835" s="23" t="inlineStr">
        <is>
          <t>RVEE3</t>
        </is>
      </c>
      <c r="B835" s="24" t="inlineStr">
        <is>
          <t>Ação</t>
        </is>
      </c>
      <c r="C835" s="24" t="inlineStr">
        <is>
          <t>REVEE S.A.</t>
        </is>
      </c>
      <c r="D835" s="24" t="n">
        <v>1.47</v>
      </c>
      <c r="E835" s="24" t="n"/>
      <c r="F835" s="24" t="n"/>
      <c r="G835" s="29" t="inlineStr">
        <is>
          <t>0,00</t>
        </is>
      </c>
      <c r="H835" s="29" t="n"/>
      <c r="I835" s="24" t="n"/>
    </row>
    <row r="836">
      <c r="A836" s="26" t="inlineStr">
        <is>
          <t>BMIN4</t>
        </is>
      </c>
      <c r="B836" s="27" t="inlineStr">
        <is>
          <t>Ação</t>
        </is>
      </c>
      <c r="C836" s="27" t="inlineStr">
        <is>
          <t>Banco Mercantil de Investimentos</t>
        </is>
      </c>
      <c r="D836" s="27" t="n">
        <v>25.55</v>
      </c>
      <c r="E836" s="27" t="inlineStr">
        <is>
          <t>34.169.557/0001-72</t>
        </is>
      </c>
      <c r="F836" s="27" t="n"/>
      <c r="G836" s="28" t="inlineStr">
        <is>
          <t>5,49</t>
        </is>
      </c>
      <c r="H836" s="28" t="n"/>
      <c r="I836" s="27" t="n"/>
    </row>
    <row r="837">
      <c r="A837" s="23" t="inlineStr">
        <is>
          <t>VSTE3</t>
        </is>
      </c>
      <c r="B837" s="24" t="inlineStr">
        <is>
          <t>Ação</t>
        </is>
      </c>
      <c r="C837" s="24" t="inlineStr">
        <is>
          <t>LE LIS BLANC</t>
        </is>
      </c>
      <c r="D837" s="24" t="n">
        <v>3.81</v>
      </c>
      <c r="E837" s="24" t="inlineStr">
        <is>
          <t>49.669.856/0001-43</t>
        </is>
      </c>
      <c r="F837" s="24" t="n"/>
      <c r="G837" s="29" t="inlineStr">
        <is>
          <t>0,00</t>
        </is>
      </c>
      <c r="H837" s="29" t="n"/>
      <c r="I837" s="24" t="n"/>
    </row>
    <row r="838">
      <c r="A838" s="26" t="inlineStr">
        <is>
          <t>EQPA3</t>
        </is>
      </c>
      <c r="B838" s="27" t="inlineStr">
        <is>
          <t>Ação</t>
        </is>
      </c>
      <c r="C838" s="27" t="inlineStr">
        <is>
          <t>Equatorial Energia ParÃ¡</t>
        </is>
      </c>
      <c r="D838" s="27" t="n">
        <v>6.4</v>
      </c>
      <c r="E838" s="27" t="inlineStr">
        <is>
          <t>04.895.728/0001-80</t>
        </is>
      </c>
      <c r="F838" s="27" t="n"/>
      <c r="G838" s="28" t="inlineStr">
        <is>
          <t>20,55</t>
        </is>
      </c>
      <c r="H838" s="28" t="n"/>
      <c r="I838" s="27" t="n"/>
    </row>
    <row r="839">
      <c r="A839" s="23" t="inlineStr">
        <is>
          <t>BIED3</t>
        </is>
      </c>
      <c r="B839" s="24" t="inlineStr">
        <is>
          <t>Ação</t>
        </is>
      </c>
      <c r="C839" s="24" t="inlineStr">
        <is>
          <t>BIED3</t>
        </is>
      </c>
      <c r="D839" s="24" t="n">
        <v>7.51</v>
      </c>
      <c r="E839" s="24" t="n"/>
      <c r="F839" s="24" t="n"/>
      <c r="G839" s="29" t="inlineStr">
        <is>
          <t>0,00</t>
        </is>
      </c>
      <c r="H839" s="29" t="n"/>
      <c r="I839" s="24" t="n"/>
    </row>
    <row r="840">
      <c r="A840" s="26" t="inlineStr">
        <is>
          <t>GSHP3</t>
        </is>
      </c>
      <c r="B840" s="27" t="inlineStr">
        <is>
          <t>Ação</t>
        </is>
      </c>
      <c r="C840" s="27" t="inlineStr">
        <is>
          <t>General Shopping &amp; Outlets</t>
        </is>
      </c>
      <c r="D840" s="27" t="n">
        <v>2.94</v>
      </c>
      <c r="E840" s="27" t="inlineStr">
        <is>
          <t>08.764.621/0001-53</t>
        </is>
      </c>
      <c r="F840" s="27" t="n"/>
      <c r="G840" s="28" t="inlineStr">
        <is>
          <t>0,00</t>
        </is>
      </c>
      <c r="H840" s="28" t="n"/>
      <c r="I840" s="27" t="n"/>
    </row>
    <row r="841">
      <c r="A841" s="23" t="inlineStr">
        <is>
          <t>RDNI3</t>
        </is>
      </c>
      <c r="B841" s="24" t="inlineStr">
        <is>
          <t>Ação</t>
        </is>
      </c>
      <c r="C841" s="24" t="inlineStr">
        <is>
          <t>RNI</t>
        </is>
      </c>
      <c r="D841" s="24" t="n"/>
      <c r="E841" s="24" t="inlineStr">
        <is>
          <t>67.010.660/0001-24</t>
        </is>
      </c>
      <c r="F841" s="24" t="n"/>
      <c r="G841" s="29" t="inlineStr">
        <is>
          <t>0,00</t>
        </is>
      </c>
      <c r="H841" s="29" t="n"/>
      <c r="I841" s="24" t="n"/>
    </row>
    <row r="842">
      <c r="A842" s="26" t="inlineStr">
        <is>
          <t>BAUH4</t>
        </is>
      </c>
      <c r="B842" s="27" t="inlineStr">
        <is>
          <t>Ação</t>
        </is>
      </c>
      <c r="C842" s="27" t="inlineStr">
        <is>
          <t>Excelsior</t>
        </is>
      </c>
      <c r="D842" s="27" t="n">
        <v>92.98999999999999</v>
      </c>
      <c r="E842" s="27" t="inlineStr">
        <is>
          <t>95.426.862/0001-97</t>
        </is>
      </c>
      <c r="F842" s="27" t="n"/>
      <c r="G842" s="28" t="inlineStr">
        <is>
          <t>1,33</t>
        </is>
      </c>
      <c r="H842" s="28" t="n"/>
      <c r="I842" s="27" t="n"/>
    </row>
    <row r="843">
      <c r="A843" s="23" t="inlineStr">
        <is>
          <t>EKTR4</t>
        </is>
      </c>
      <c r="B843" s="24" t="inlineStr">
        <is>
          <t>Ação</t>
        </is>
      </c>
      <c r="C843" s="24" t="inlineStr">
        <is>
          <t>Elektro</t>
        </is>
      </c>
      <c r="D843" s="24" t="n">
        <v>39.99</v>
      </c>
      <c r="E843" s="24" t="inlineStr">
        <is>
          <t>02.328.280/0001-97</t>
        </is>
      </c>
      <c r="F843" s="24" t="n"/>
      <c r="G843" s="29" t="inlineStr">
        <is>
          <t>12,65</t>
        </is>
      </c>
      <c r="H843" s="29" t="n"/>
      <c r="I843" s="24" t="n"/>
    </row>
    <row r="844">
      <c r="A844" s="26" t="inlineStr">
        <is>
          <t>ENMT4</t>
        </is>
      </c>
      <c r="B844" s="27" t="inlineStr">
        <is>
          <t>Ação</t>
        </is>
      </c>
      <c r="C844" s="27" t="inlineStr">
        <is>
          <t>Energisa MT</t>
        </is>
      </c>
      <c r="D844" s="27" t="n">
        <v>52</v>
      </c>
      <c r="E844" s="27" t="inlineStr">
        <is>
          <t>03.467.321/0001-99</t>
        </is>
      </c>
      <c r="F844" s="27" t="n"/>
      <c r="G844" s="28" t="inlineStr">
        <is>
          <t>4,31</t>
        </is>
      </c>
      <c r="H844" s="28" t="n"/>
      <c r="I844" s="27" t="n"/>
    </row>
    <row r="845">
      <c r="A845" s="23" t="inlineStr">
        <is>
          <t>CEEB3</t>
        </is>
      </c>
      <c r="B845" s="24" t="inlineStr">
        <is>
          <t>Ação</t>
        </is>
      </c>
      <c r="C845" s="24" t="inlineStr">
        <is>
          <t>COELBA</t>
        </is>
      </c>
      <c r="D845" s="24" t="n">
        <v>47</v>
      </c>
      <c r="E845" s="24" t="inlineStr">
        <is>
          <t>15.139.629/0001-94</t>
        </is>
      </c>
      <c r="F845" s="24" t="n"/>
      <c r="G845" s="29" t="inlineStr">
        <is>
          <t>11,26</t>
        </is>
      </c>
      <c r="H845" s="29" t="n"/>
      <c r="I845" s="24" t="n"/>
    </row>
    <row r="846">
      <c r="A846" s="26" t="inlineStr">
        <is>
          <t>GEPA4</t>
        </is>
      </c>
      <c r="B846" s="27" t="inlineStr">
        <is>
          <t>Ação</t>
        </is>
      </c>
      <c r="C846" s="27" t="inlineStr">
        <is>
          <t>Rio Paranapanema Energia</t>
        </is>
      </c>
      <c r="D846" s="27" t="n">
        <v>35.99</v>
      </c>
      <c r="E846" s="27" t="inlineStr">
        <is>
          <t>02.998.301/0001-81</t>
        </is>
      </c>
      <c r="F846" s="27" t="n"/>
      <c r="G846" s="28" t="inlineStr">
        <is>
          <t>28,36</t>
        </is>
      </c>
      <c r="H846" s="28" t="n"/>
      <c r="I846" s="27" t="n"/>
    </row>
    <row r="847">
      <c r="A847" s="23" t="inlineStr">
        <is>
          <t>LUXM4</t>
        </is>
      </c>
      <c r="B847" s="24" t="inlineStr">
        <is>
          <t>Ação</t>
        </is>
      </c>
      <c r="C847" s="24" t="inlineStr">
        <is>
          <t>Trevisa</t>
        </is>
      </c>
      <c r="D847" s="24" t="n">
        <v>4.07</v>
      </c>
      <c r="E847" s="24" t="inlineStr">
        <is>
          <t>92.660.570/0001-26</t>
        </is>
      </c>
      <c r="F847" s="24" t="n"/>
      <c r="G847" s="29" t="inlineStr">
        <is>
          <t>5,71</t>
        </is>
      </c>
      <c r="H847" s="29" t="n"/>
      <c r="I847" s="24" t="n"/>
    </row>
    <row r="848">
      <c r="A848" s="26" t="inlineStr">
        <is>
          <t>MAPT4</t>
        </is>
      </c>
      <c r="B848" s="27" t="inlineStr">
        <is>
          <t>Ação</t>
        </is>
      </c>
      <c r="C848" s="27" t="inlineStr">
        <is>
          <t>Cemepe</t>
        </is>
      </c>
      <c r="D848" s="27" t="n">
        <v>3.87</v>
      </c>
      <c r="E848" s="27" t="inlineStr">
        <is>
          <t>93.828.986/0001-73</t>
        </is>
      </c>
      <c r="F848" s="27" t="n"/>
      <c r="G848" s="28" t="inlineStr">
        <is>
          <t>0,00</t>
        </is>
      </c>
      <c r="H848" s="28" t="n"/>
      <c r="I848" s="27" t="n"/>
    </row>
    <row r="849">
      <c r="A849" s="23" t="inlineStr">
        <is>
          <t>RNEW11</t>
        </is>
      </c>
      <c r="B849" s="24" t="inlineStr">
        <is>
          <t>Ação</t>
        </is>
      </c>
      <c r="C849" s="24" t="inlineStr">
        <is>
          <t>Renova Energia</t>
        </is>
      </c>
      <c r="D849" s="24" t="n"/>
      <c r="E849" s="24" t="inlineStr">
        <is>
          <t>08.534.605/0001-74</t>
        </is>
      </c>
      <c r="F849" s="24" t="n"/>
      <c r="G849" s="29" t="inlineStr">
        <is>
          <t>0,00</t>
        </is>
      </c>
      <c r="H849" s="29" t="n"/>
      <c r="I849" s="24" t="n"/>
    </row>
    <row r="850">
      <c r="A850" s="26" t="inlineStr">
        <is>
          <t>BNBR3</t>
        </is>
      </c>
      <c r="B850" s="27" t="inlineStr">
        <is>
          <t>Ação</t>
        </is>
      </c>
      <c r="C850" s="27" t="inlineStr">
        <is>
          <t>Banco do Nordeste</t>
        </is>
      </c>
      <c r="D850" s="27" t="n">
        <v>119.75</v>
      </c>
      <c r="E850" s="27" t="inlineStr">
        <is>
          <t>07.237.373/0001-20</t>
        </is>
      </c>
      <c r="F850" s="27" t="n"/>
      <c r="G850" s="28" t="inlineStr">
        <is>
          <t>2,32</t>
        </is>
      </c>
      <c r="H850" s="28" t="n"/>
      <c r="I850" s="27" t="n"/>
    </row>
    <row r="851">
      <c r="A851" s="23" t="inlineStr">
        <is>
          <t>UNIP5</t>
        </is>
      </c>
      <c r="B851" s="24" t="inlineStr">
        <is>
          <t>Ação</t>
        </is>
      </c>
      <c r="C851" s="24" t="inlineStr">
        <is>
          <t>Unipar</t>
        </is>
      </c>
      <c r="D851" s="24" t="n">
        <v>69.3</v>
      </c>
      <c r="E851" s="24" t="inlineStr">
        <is>
          <t>33.958.695/0001-78</t>
        </is>
      </c>
      <c r="F851" s="24" t="n"/>
      <c r="G851" s="29" t="inlineStr">
        <is>
          <t>14,69</t>
        </is>
      </c>
      <c r="H851" s="29" t="n"/>
      <c r="I851" s="24" t="n"/>
    </row>
    <row r="852">
      <c r="A852" s="26" t="inlineStr">
        <is>
          <t>BMEB3</t>
        </is>
      </c>
      <c r="B852" s="27" t="inlineStr">
        <is>
          <t>Ação</t>
        </is>
      </c>
      <c r="C852" s="27" t="inlineStr">
        <is>
          <t>Banco Mercantil do Brasil</t>
        </is>
      </c>
      <c r="D852" s="27" t="n">
        <v>72.40000000000001</v>
      </c>
      <c r="E852" s="27" t="inlineStr">
        <is>
          <t>17.184.037/0001-10</t>
        </is>
      </c>
      <c r="F852" s="27" t="n"/>
      <c r="G852" s="28" t="inlineStr">
        <is>
          <t>2,36</t>
        </is>
      </c>
      <c r="H852" s="28" t="n"/>
      <c r="I852" s="27" t="n"/>
    </row>
    <row r="853">
      <c r="A853" s="23" t="inlineStr">
        <is>
          <t>CGRA3</t>
        </is>
      </c>
      <c r="B853" s="24" t="inlineStr">
        <is>
          <t>Ação</t>
        </is>
      </c>
      <c r="C853" s="24" t="inlineStr">
        <is>
          <t>Grazziotin</t>
        </is>
      </c>
      <c r="D853" s="24" t="n">
        <v>27.31</v>
      </c>
      <c r="E853" s="24" t="inlineStr">
        <is>
          <t>92.012.467/0001-70</t>
        </is>
      </c>
      <c r="F853" s="24" t="n"/>
      <c r="G853" s="29" t="inlineStr">
        <is>
          <t>25,20</t>
        </is>
      </c>
      <c r="H853" s="29" t="n"/>
      <c r="I853" s="24" t="n"/>
    </row>
    <row r="854">
      <c r="A854" s="26" t="inlineStr">
        <is>
          <t>CRPG3</t>
        </is>
      </c>
      <c r="B854" s="27" t="inlineStr">
        <is>
          <t>Ação</t>
        </is>
      </c>
      <c r="C854" s="27" t="inlineStr">
        <is>
          <t>Tronox Pigmentos</t>
        </is>
      </c>
      <c r="D854" s="27" t="n">
        <v>19.61</v>
      </c>
      <c r="E854" s="27" t="inlineStr">
        <is>
          <t>15.115.504/0001-24</t>
        </is>
      </c>
      <c r="F854" s="27" t="n"/>
      <c r="G854" s="28" t="inlineStr">
        <is>
          <t>0,00</t>
        </is>
      </c>
      <c r="H854" s="28" t="n"/>
      <c r="I854" s="27" t="n"/>
    </row>
    <row r="855">
      <c r="A855" s="23" t="inlineStr">
        <is>
          <t>BALM4</t>
        </is>
      </c>
      <c r="B855" s="24" t="inlineStr">
        <is>
          <t>Ação</t>
        </is>
      </c>
      <c r="C855" s="24" t="inlineStr">
        <is>
          <t>Baumer</t>
        </is>
      </c>
      <c r="D855" s="24" t="n">
        <v>19.55</v>
      </c>
      <c r="E855" s="24" t="inlineStr">
        <is>
          <t>61.374.161/0001-30</t>
        </is>
      </c>
      <c r="F855" s="24" t="n"/>
      <c r="G855" s="29" t="inlineStr">
        <is>
          <t>24,94</t>
        </is>
      </c>
      <c r="H855" s="29" t="n"/>
      <c r="I855" s="24" t="n"/>
    </row>
    <row r="856">
      <c r="A856" s="26" t="inlineStr">
        <is>
          <t>TELB3</t>
        </is>
      </c>
      <c r="B856" s="27" t="inlineStr">
        <is>
          <t>Ação</t>
        </is>
      </c>
      <c r="C856" s="27" t="inlineStr">
        <is>
          <t>Telebras</t>
        </is>
      </c>
      <c r="D856" s="27" t="n">
        <v>13.51</v>
      </c>
      <c r="E856" s="27" t="inlineStr">
        <is>
          <t>00.336.701/0001-04</t>
        </is>
      </c>
      <c r="F856" s="27" t="n"/>
      <c r="G856" s="28" t="inlineStr">
        <is>
          <t>0,00</t>
        </is>
      </c>
      <c r="H856" s="28" t="n"/>
      <c r="I856" s="27" t="n"/>
    </row>
    <row r="857">
      <c r="A857" s="23" t="inlineStr">
        <is>
          <t>CEED3</t>
        </is>
      </c>
      <c r="B857" s="24" t="inlineStr">
        <is>
          <t>Ação</t>
        </is>
      </c>
      <c r="C857" s="24" t="inlineStr">
        <is>
          <t>CEEE D</t>
        </is>
      </c>
      <c r="D857" s="24" t="n">
        <v>9.789999999999999</v>
      </c>
      <c r="E857" s="24" t="inlineStr">
        <is>
          <t>08.467.115/0001-00</t>
        </is>
      </c>
      <c r="F857" s="24" t="n"/>
      <c r="G857" s="29" t="inlineStr">
        <is>
          <t>0,00</t>
        </is>
      </c>
      <c r="H857" s="29" t="n"/>
      <c r="I857" s="24" t="n"/>
    </row>
    <row r="858">
      <c r="A858" s="26" t="inlineStr">
        <is>
          <t>PINE3</t>
        </is>
      </c>
      <c r="B858" s="27" t="inlineStr">
        <is>
          <t>Ação</t>
        </is>
      </c>
      <c r="C858" s="27" t="inlineStr">
        <is>
          <t>Banco Pine</t>
        </is>
      </c>
      <c r="D858" s="27" t="n">
        <v>11.13</v>
      </c>
      <c r="E858" s="27" t="inlineStr">
        <is>
          <t>62.144.175/0001-20</t>
        </is>
      </c>
      <c r="F858" s="27" t="n"/>
      <c r="G858" s="28" t="inlineStr">
        <is>
          <t>6,17</t>
        </is>
      </c>
      <c r="H858" s="28" t="n"/>
      <c r="I858" s="27" t="n"/>
    </row>
    <row r="859">
      <c r="A859" s="23" t="inlineStr">
        <is>
          <t>AMAR11</t>
        </is>
      </c>
      <c r="B859" s="24" t="inlineStr">
        <is>
          <t>Ação</t>
        </is>
      </c>
      <c r="C859" s="24" t="inlineStr">
        <is>
          <t>Lojas Marisa</t>
        </is>
      </c>
      <c r="D859" s="24" t="n"/>
      <c r="E859" s="24" t="n"/>
      <c r="F859" s="24" t="n"/>
      <c r="G859" s="29" t="inlineStr">
        <is>
          <t>0,00</t>
        </is>
      </c>
      <c r="H859" s="29" t="n"/>
      <c r="I859" s="24" t="n"/>
    </row>
    <row r="860">
      <c r="A860" s="26" t="inlineStr">
        <is>
          <t>MOAR3</t>
        </is>
      </c>
      <c r="B860" s="27" t="inlineStr">
        <is>
          <t>Ação</t>
        </is>
      </c>
      <c r="C860" s="27" t="inlineStr">
        <is>
          <t>Monteiro Aranha</t>
        </is>
      </c>
      <c r="D860" s="27" t="n">
        <v>61.21</v>
      </c>
      <c r="E860" s="27" t="inlineStr">
        <is>
          <t>33.102.476/0001-92</t>
        </is>
      </c>
      <c r="F860" s="27" t="n"/>
      <c r="G860" s="28" t="inlineStr">
        <is>
          <t>67,98</t>
        </is>
      </c>
      <c r="H860" s="28" t="n"/>
      <c r="I860" s="27" t="n"/>
    </row>
    <row r="861">
      <c r="A861" s="23" t="inlineStr">
        <is>
          <t>PATI4</t>
        </is>
      </c>
      <c r="B861" s="24" t="inlineStr">
        <is>
          <t>Ação</t>
        </is>
      </c>
      <c r="C861" s="24" t="inlineStr">
        <is>
          <t>PanatlÃ¢ntica</t>
        </is>
      </c>
      <c r="D861" s="24" t="n">
        <v>34</v>
      </c>
      <c r="E861" s="24" t="inlineStr">
        <is>
          <t>92.693.019/0001-89</t>
        </is>
      </c>
      <c r="F861" s="24" t="n"/>
      <c r="G861" s="29" t="inlineStr">
        <is>
          <t>5,67</t>
        </is>
      </c>
      <c r="H861" s="29" t="n"/>
      <c r="I861" s="24" t="n"/>
    </row>
    <row r="862">
      <c r="A862" s="26" t="inlineStr">
        <is>
          <t>HBTS5</t>
        </is>
      </c>
      <c r="B862" s="27" t="inlineStr">
        <is>
          <t>Ação</t>
        </is>
      </c>
      <c r="C862" s="27" t="inlineStr">
        <is>
          <t>Habitasul</t>
        </is>
      </c>
      <c r="D862" s="27" t="n">
        <v>36.7</v>
      </c>
      <c r="E862" s="27" t="inlineStr">
        <is>
          <t>87.762.563/0001-03</t>
        </is>
      </c>
      <c r="F862" s="27" t="n"/>
      <c r="G862" s="28" t="inlineStr">
        <is>
          <t>0,00</t>
        </is>
      </c>
      <c r="H862" s="28" t="n"/>
      <c r="I862" s="27" t="n"/>
    </row>
    <row r="863">
      <c r="A863" s="23" t="inlineStr">
        <is>
          <t>AHEB3</t>
        </is>
      </c>
      <c r="B863" s="24" t="inlineStr">
        <is>
          <t>Ação</t>
        </is>
      </c>
      <c r="C863" s="24" t="inlineStr">
        <is>
          <t>SÃ£o Paulo Turismo</t>
        </is>
      </c>
      <c r="D863" s="24" t="n">
        <v>25</v>
      </c>
      <c r="E863" s="24" t="inlineStr">
        <is>
          <t>62.002.886/0001-60</t>
        </is>
      </c>
      <c r="F863" s="24" t="n"/>
      <c r="G863" s="29" t="inlineStr">
        <is>
          <t>0,00</t>
        </is>
      </c>
      <c r="H863" s="29" t="n"/>
      <c r="I863" s="24" t="n"/>
    </row>
    <row r="864">
      <c r="A864" s="26" t="inlineStr">
        <is>
          <t>WLMM3</t>
        </is>
      </c>
      <c r="B864" s="27" t="inlineStr">
        <is>
          <t>Ação</t>
        </is>
      </c>
      <c r="C864" s="27" t="inlineStr">
        <is>
          <t>WLM</t>
        </is>
      </c>
      <c r="D864" s="27" t="n">
        <v>23.98</v>
      </c>
      <c r="E864" s="27" t="inlineStr">
        <is>
          <t>33.228.024/0001-51</t>
        </is>
      </c>
      <c r="F864" s="27" t="n"/>
      <c r="G864" s="28" t="inlineStr">
        <is>
          <t>6,62</t>
        </is>
      </c>
      <c r="H864" s="28" t="n"/>
      <c r="I864" s="27" t="n"/>
    </row>
    <row r="865">
      <c r="A865" s="23" t="inlineStr">
        <is>
          <t>CEDO4</t>
        </is>
      </c>
      <c r="B865" s="24" t="inlineStr">
        <is>
          <t>Ação</t>
        </is>
      </c>
      <c r="C865" s="24" t="inlineStr">
        <is>
          <t>Cedro TÃªxtil</t>
        </is>
      </c>
      <c r="D865" s="24" t="n">
        <v>9.31</v>
      </c>
      <c r="E865" s="24" t="inlineStr">
        <is>
          <t>17.245.234/0001-00</t>
        </is>
      </c>
      <c r="F865" s="24" t="n"/>
      <c r="G865" s="29" t="inlineStr">
        <is>
          <t>0,00</t>
        </is>
      </c>
      <c r="H865" s="29" t="n"/>
      <c r="I865" s="24" t="n"/>
    </row>
    <row r="866">
      <c r="A866" s="26" t="inlineStr">
        <is>
          <t>MWET4</t>
        </is>
      </c>
      <c r="B866" s="27" t="inlineStr">
        <is>
          <t>Ação</t>
        </is>
      </c>
      <c r="C866" s="27" t="inlineStr">
        <is>
          <t>Wetzel</t>
        </is>
      </c>
      <c r="D866" s="27" t="n">
        <v>14</v>
      </c>
      <c r="E866" s="27" t="inlineStr">
        <is>
          <t>84.683.671/0001-94</t>
        </is>
      </c>
      <c r="F866" s="27" t="n"/>
      <c r="G866" s="28" t="inlineStr">
        <is>
          <t>0,00</t>
        </is>
      </c>
      <c r="H866" s="28" t="n"/>
      <c r="I866" s="27" t="n"/>
    </row>
    <row r="867">
      <c r="A867" s="23" t="inlineStr">
        <is>
          <t>PTNT3</t>
        </is>
      </c>
      <c r="B867" s="24" t="inlineStr">
        <is>
          <t>Ação</t>
        </is>
      </c>
      <c r="C867" s="24" t="inlineStr">
        <is>
          <t>Pettenati</t>
        </is>
      </c>
      <c r="D867" s="24" t="n">
        <v>8.69</v>
      </c>
      <c r="E867" s="24" t="inlineStr">
        <is>
          <t>88.613.658/0001-10</t>
        </is>
      </c>
      <c r="F867" s="24" t="n"/>
      <c r="G867" s="29" t="inlineStr">
        <is>
          <t>3,05</t>
        </is>
      </c>
      <c r="H867" s="29" t="n"/>
      <c r="I867" s="24" t="n"/>
    </row>
    <row r="868">
      <c r="A868" s="26" t="inlineStr">
        <is>
          <t>AFLT3</t>
        </is>
      </c>
      <c r="B868" s="27" t="inlineStr">
        <is>
          <t>Ação</t>
        </is>
      </c>
      <c r="C868" s="27" t="inlineStr">
        <is>
          <t>Afluente T</t>
        </is>
      </c>
      <c r="D868" s="27" t="n">
        <v>7.32</v>
      </c>
      <c r="E868" s="27" t="inlineStr">
        <is>
          <t>10.338.320/0001-00</t>
        </is>
      </c>
      <c r="F868" s="27" t="n"/>
      <c r="G868" s="28" t="inlineStr">
        <is>
          <t>6,39</t>
        </is>
      </c>
      <c r="H868" s="28" t="n"/>
      <c r="I868" s="27" t="n"/>
    </row>
    <row r="869">
      <c r="A869" s="23" t="inlineStr">
        <is>
          <t>HETA4</t>
        </is>
      </c>
      <c r="B869" s="24" t="inlineStr">
        <is>
          <t>Ação</t>
        </is>
      </c>
      <c r="C869" s="24" t="inlineStr">
        <is>
          <t>Hercules</t>
        </is>
      </c>
      <c r="D869" s="24" t="n">
        <v>5</v>
      </c>
      <c r="E869" s="24" t="inlineStr">
        <is>
          <t>92.749.225/0001-63</t>
        </is>
      </c>
      <c r="F869" s="24" t="n"/>
      <c r="G869" s="29" t="inlineStr">
        <is>
          <t>0,00</t>
        </is>
      </c>
      <c r="H869" s="29" t="n"/>
      <c r="I869" s="24" t="n"/>
    </row>
    <row r="870">
      <c r="A870" s="26" t="inlineStr">
        <is>
          <t>SNSY5</t>
        </is>
      </c>
      <c r="B870" s="27" t="inlineStr">
        <is>
          <t>Ação</t>
        </is>
      </c>
      <c r="C870" s="27" t="inlineStr">
        <is>
          <t>Sansuy</t>
        </is>
      </c>
      <c r="D870" s="27" t="n">
        <v>2.52</v>
      </c>
      <c r="E870" s="27" t="inlineStr">
        <is>
          <t>14.807.945/0001-24</t>
        </is>
      </c>
      <c r="F870" s="27" t="n"/>
      <c r="G870" s="28" t="inlineStr">
        <is>
          <t>0,00</t>
        </is>
      </c>
      <c r="H870" s="28" t="n"/>
      <c r="I870" s="27" t="n"/>
    </row>
    <row r="871">
      <c r="A871" s="23" t="inlineStr">
        <is>
          <t>HAGA3</t>
        </is>
      </c>
      <c r="B871" s="24" t="inlineStr">
        <is>
          <t>Ação</t>
        </is>
      </c>
      <c r="C871" s="24" t="inlineStr">
        <is>
          <t>Haga</t>
        </is>
      </c>
      <c r="D871" s="24" t="n">
        <v>2.43</v>
      </c>
      <c r="E871" s="24" t="inlineStr">
        <is>
          <t>30.540.991/0001-66</t>
        </is>
      </c>
      <c r="F871" s="24" t="n"/>
      <c r="G871" s="29" t="inlineStr">
        <is>
          <t>0,00</t>
        </is>
      </c>
      <c r="H871" s="29" t="n"/>
      <c r="I871" s="24" t="n"/>
    </row>
    <row r="872">
      <c r="A872" s="26" t="inlineStr">
        <is>
          <t>BMKS3</t>
        </is>
      </c>
      <c r="B872" s="27" t="inlineStr">
        <is>
          <t>Ação</t>
        </is>
      </c>
      <c r="C872" s="27" t="inlineStr">
        <is>
          <t>Monark</t>
        </is>
      </c>
      <c r="D872" s="27" t="n">
        <v>377</v>
      </c>
      <c r="E872" s="27" t="inlineStr">
        <is>
          <t>56.992.423/0001-90</t>
        </is>
      </c>
      <c r="F872" s="27" t="n"/>
      <c r="G872" s="28" t="inlineStr">
        <is>
          <t>40,62</t>
        </is>
      </c>
      <c r="H872" s="28" t="n"/>
      <c r="I872" s="27" t="n"/>
    </row>
    <row r="873">
      <c r="A873" s="23" t="inlineStr">
        <is>
          <t>RPAD3</t>
        </is>
      </c>
      <c r="B873" s="24" t="inlineStr">
        <is>
          <t>Ação</t>
        </is>
      </c>
      <c r="C873" s="24" t="inlineStr">
        <is>
          <t>Alfa Holdings</t>
        </is>
      </c>
      <c r="D873" s="24" t="n">
        <v>5.32</v>
      </c>
      <c r="E873" s="24" t="inlineStr">
        <is>
          <t>17.167.396/0001-69</t>
        </is>
      </c>
      <c r="F873" s="24" t="n"/>
      <c r="G873" s="29" t="inlineStr">
        <is>
          <t>0,18</t>
        </is>
      </c>
      <c r="H873" s="29" t="n"/>
      <c r="I873" s="24" t="n"/>
    </row>
    <row r="874">
      <c r="A874" s="26" t="inlineStr">
        <is>
          <t>PLAS3</t>
        </is>
      </c>
      <c r="B874" s="27" t="inlineStr">
        <is>
          <t>Ação</t>
        </is>
      </c>
      <c r="C874" s="27" t="inlineStr">
        <is>
          <t>Plascar</t>
        </is>
      </c>
      <c r="D874" s="27" t="n">
        <v>4.35</v>
      </c>
      <c r="E874" s="27" t="inlineStr">
        <is>
          <t>51.928.174/0001-50</t>
        </is>
      </c>
      <c r="F874" s="27" t="n"/>
      <c r="G874" s="28" t="inlineStr">
        <is>
          <t>0,00</t>
        </is>
      </c>
      <c r="H874" s="28" t="n"/>
      <c r="I874" s="27" t="n"/>
    </row>
    <row r="875">
      <c r="A875" s="23" t="inlineStr">
        <is>
          <t>BGIP4</t>
        </is>
      </c>
      <c r="B875" s="24" t="inlineStr">
        <is>
          <t>Ação</t>
        </is>
      </c>
      <c r="C875" s="24" t="inlineStr">
        <is>
          <t>Banese</t>
        </is>
      </c>
      <c r="D875" s="24" t="n">
        <v>38.79</v>
      </c>
      <c r="E875" s="24" t="inlineStr">
        <is>
          <t>13.009.717/0001-46</t>
        </is>
      </c>
      <c r="F875" s="24" t="n"/>
      <c r="G875" s="29" t="inlineStr">
        <is>
          <t>11,42</t>
        </is>
      </c>
      <c r="H875" s="29" t="n"/>
      <c r="I875" s="24" t="n"/>
    </row>
    <row r="876">
      <c r="A876" s="26" t="inlineStr">
        <is>
          <t>CPLE5</t>
        </is>
      </c>
      <c r="B876" s="27" t="inlineStr">
        <is>
          <t>Ação</t>
        </is>
      </c>
      <c r="C876" s="27" t="inlineStr">
        <is>
          <t>Copel</t>
        </is>
      </c>
      <c r="D876" s="27" t="n"/>
      <c r="E876" s="27" t="inlineStr">
        <is>
          <t>76.483.817/0001-20</t>
        </is>
      </c>
      <c r="F876" s="27" t="n"/>
      <c r="G876" s="28" t="inlineStr">
        <is>
          <t>3,99</t>
        </is>
      </c>
      <c r="H876" s="28" t="n"/>
      <c r="I876" s="27" t="n"/>
    </row>
    <row r="877">
      <c r="A877" s="23" t="inlineStr">
        <is>
          <t>CTSA4</t>
        </is>
      </c>
      <c r="B877" s="24" t="inlineStr">
        <is>
          <t>Ação</t>
        </is>
      </c>
      <c r="C877" s="24" t="inlineStr">
        <is>
          <t>Santanense</t>
        </is>
      </c>
      <c r="D877" s="24" t="n">
        <v>1.74</v>
      </c>
      <c r="E877" s="24" t="inlineStr">
        <is>
          <t>21.255.567/0001-89</t>
        </is>
      </c>
      <c r="F877" s="24" t="n"/>
      <c r="G877" s="29" t="inlineStr">
        <is>
          <t>0,00</t>
        </is>
      </c>
      <c r="H877" s="29" t="n"/>
      <c r="I877" s="24" t="n"/>
    </row>
    <row r="878">
      <c r="A878" s="26" t="inlineStr">
        <is>
          <t>CTSA3</t>
        </is>
      </c>
      <c r="B878" s="27" t="inlineStr">
        <is>
          <t>Ação</t>
        </is>
      </c>
      <c r="C878" s="27" t="inlineStr">
        <is>
          <t>Santanense</t>
        </is>
      </c>
      <c r="D878" s="27" t="n">
        <v>2.4</v>
      </c>
      <c r="E878" s="27" t="inlineStr">
        <is>
          <t>21.255.567/0001-89</t>
        </is>
      </c>
      <c r="F878" s="27" t="n"/>
      <c r="G878" s="28" t="inlineStr">
        <is>
          <t>0,00</t>
        </is>
      </c>
      <c r="H878" s="28" t="n"/>
      <c r="I878" s="27" t="n"/>
    </row>
    <row r="879">
      <c r="A879" s="23" t="inlineStr">
        <is>
          <t>EUCA3</t>
        </is>
      </c>
      <c r="B879" s="24" t="inlineStr">
        <is>
          <t>Ação</t>
        </is>
      </c>
      <c r="C879" s="24" t="inlineStr">
        <is>
          <t>Eucatex</t>
        </is>
      </c>
      <c r="D879" s="24" t="n">
        <v>22</v>
      </c>
      <c r="E879" s="24" t="inlineStr">
        <is>
          <t>56.643.018/0001-66</t>
        </is>
      </c>
      <c r="F879" s="24" t="n"/>
      <c r="G879" s="29" t="inlineStr">
        <is>
          <t>4,65</t>
        </is>
      </c>
      <c r="H879" s="29" t="n"/>
      <c r="I879" s="24" t="n"/>
    </row>
    <row r="880">
      <c r="A880" s="26" t="inlineStr">
        <is>
          <t>CBEE3</t>
        </is>
      </c>
      <c r="B880" s="27" t="inlineStr">
        <is>
          <t>Ação</t>
        </is>
      </c>
      <c r="C880" s="27" t="inlineStr">
        <is>
          <t>Ampla Energia</t>
        </is>
      </c>
      <c r="D880" s="27" t="n">
        <v>10.64</v>
      </c>
      <c r="E880" s="27" t="inlineStr">
        <is>
          <t>33.050.071/0001-58</t>
        </is>
      </c>
      <c r="F880" s="27" t="n"/>
      <c r="G880" s="28" t="inlineStr">
        <is>
          <t>0,00</t>
        </is>
      </c>
      <c r="H880" s="28" t="n"/>
      <c r="I880" s="27" t="n"/>
    </row>
    <row r="881">
      <c r="A881" s="23" t="inlineStr">
        <is>
          <t>BALM3</t>
        </is>
      </c>
      <c r="B881" s="24" t="inlineStr">
        <is>
          <t>Ação</t>
        </is>
      </c>
      <c r="C881" s="24" t="inlineStr">
        <is>
          <t>Baumer</t>
        </is>
      </c>
      <c r="D881" s="24" t="n">
        <v>26</v>
      </c>
      <c r="E881" s="24" t="inlineStr">
        <is>
          <t>61.374.161/0001-30</t>
        </is>
      </c>
      <c r="F881" s="24" t="n"/>
      <c r="G881" s="29" t="inlineStr">
        <is>
          <t>17,84</t>
        </is>
      </c>
      <c r="H881" s="29" t="n"/>
      <c r="I881" s="24" t="n"/>
    </row>
    <row r="882">
      <c r="A882" s="26" t="inlineStr">
        <is>
          <t>COCE3</t>
        </is>
      </c>
      <c r="B882" s="27" t="inlineStr">
        <is>
          <t>Ação</t>
        </is>
      </c>
      <c r="C882" s="27" t="inlineStr">
        <is>
          <t>Coelce</t>
        </is>
      </c>
      <c r="D882" s="27" t="n">
        <v>38</v>
      </c>
      <c r="E882" s="27" t="inlineStr">
        <is>
          <t>07.047.251/0001-70</t>
        </is>
      </c>
      <c r="F882" s="27" t="n"/>
      <c r="G882" s="28" t="inlineStr">
        <is>
          <t>3,56</t>
        </is>
      </c>
      <c r="H882" s="28" t="n"/>
      <c r="I882" s="27" t="n"/>
    </row>
    <row r="883">
      <c r="A883" s="23" t="inlineStr">
        <is>
          <t>LUPA11</t>
        </is>
      </c>
      <c r="B883" s="24" t="inlineStr">
        <is>
          <t>Ação</t>
        </is>
      </c>
      <c r="C883" s="24" t="inlineStr">
        <is>
          <t>LUPA11</t>
        </is>
      </c>
      <c r="D883" s="24" t="n"/>
      <c r="E883" s="24" t="n"/>
      <c r="F883" s="24" t="n"/>
      <c r="G883" s="29" t="inlineStr">
        <is>
          <t>0,00</t>
        </is>
      </c>
      <c r="H883" s="29" t="n"/>
      <c r="I883" s="24" t="n"/>
    </row>
    <row r="884">
      <c r="A884" s="26" t="inlineStr">
        <is>
          <t>EQMA3B</t>
        </is>
      </c>
      <c r="B884" s="27" t="inlineStr">
        <is>
          <t>Ação</t>
        </is>
      </c>
      <c r="C884" s="27" t="inlineStr">
        <is>
          <t>Equatorial MaranhÃ£o</t>
        </is>
      </c>
      <c r="D884" s="27" t="n">
        <v>33.98</v>
      </c>
      <c r="E884" s="27" t="n"/>
      <c r="F884" s="27" t="n"/>
      <c r="G884" s="28" t="inlineStr">
        <is>
          <t>0,00</t>
        </is>
      </c>
      <c r="H884" s="28" t="n"/>
      <c r="I884" s="27" t="n"/>
    </row>
    <row r="885">
      <c r="A885" s="23" t="inlineStr">
        <is>
          <t>PEAB3</t>
        </is>
      </c>
      <c r="B885" s="24" t="inlineStr">
        <is>
          <t>Ação</t>
        </is>
      </c>
      <c r="C885" s="24" t="inlineStr">
        <is>
          <t>ParticipaÃ§Ãµes AlianÃ§a da Bahia</t>
        </is>
      </c>
      <c r="D885" s="24" t="n">
        <v>39.3</v>
      </c>
      <c r="E885" s="24" t="inlineStr">
        <is>
          <t>01.938.783/0001-11</t>
        </is>
      </c>
      <c r="F885" s="24" t="n"/>
      <c r="G885" s="29" t="inlineStr">
        <is>
          <t>3,01</t>
        </is>
      </c>
      <c r="H885" s="29" t="n"/>
      <c r="I885" s="24" t="n"/>
    </row>
    <row r="886">
      <c r="A886" s="26" t="inlineStr">
        <is>
          <t>SOND5</t>
        </is>
      </c>
      <c r="B886" s="27" t="inlineStr">
        <is>
          <t>Ação</t>
        </is>
      </c>
      <c r="C886" s="27" t="inlineStr">
        <is>
          <t>SondotÃ©cnica</t>
        </is>
      </c>
      <c r="D886" s="27" t="n">
        <v>59.01</v>
      </c>
      <c r="E886" s="27" t="inlineStr">
        <is>
          <t>33.386.210/0001-19</t>
        </is>
      </c>
      <c r="F886" s="27" t="n"/>
      <c r="G886" s="28" t="inlineStr">
        <is>
          <t>26,58</t>
        </is>
      </c>
      <c r="H886" s="28" t="n"/>
      <c r="I886" s="27" t="n"/>
    </row>
    <row r="887">
      <c r="A887" s="23" t="inlineStr">
        <is>
          <t>SOND6</t>
        </is>
      </c>
      <c r="B887" s="24" t="inlineStr">
        <is>
          <t>Ação</t>
        </is>
      </c>
      <c r="C887" s="24" t="inlineStr">
        <is>
          <t>SondotÃ©cnica</t>
        </is>
      </c>
      <c r="D887" s="24" t="n">
        <v>55.46</v>
      </c>
      <c r="E887" s="24" t="inlineStr">
        <is>
          <t>33.386.210/0001-19</t>
        </is>
      </c>
      <c r="F887" s="24" t="n"/>
      <c r="G887" s="29" t="inlineStr">
        <is>
          <t>28,28</t>
        </is>
      </c>
      <c r="H887" s="29" t="n"/>
      <c r="I887" s="24" t="n"/>
    </row>
    <row r="888">
      <c r="A888" s="26" t="inlineStr">
        <is>
          <t>CCTY3</t>
        </is>
      </c>
      <c r="B888" s="27" t="inlineStr">
        <is>
          <t>Ação</t>
        </is>
      </c>
      <c r="C888" s="27" t="inlineStr">
        <is>
          <t>RDVC CITY</t>
        </is>
      </c>
      <c r="D888" s="27" t="n">
        <v>12</v>
      </c>
      <c r="E888" s="27" t="n"/>
      <c r="F888" s="27" t="n"/>
      <c r="G888" s="28" t="inlineStr">
        <is>
          <t>0,00</t>
        </is>
      </c>
      <c r="H888" s="28" t="n"/>
      <c r="I888" s="27" t="n"/>
    </row>
    <row r="889">
      <c r="A889" s="23" t="inlineStr">
        <is>
          <t>EMAE3</t>
        </is>
      </c>
      <c r="B889" s="24" t="inlineStr">
        <is>
          <t>Ação</t>
        </is>
      </c>
      <c r="C889" s="24" t="inlineStr">
        <is>
          <t>EMAE</t>
        </is>
      </c>
      <c r="D889" s="24" t="n">
        <v>150</v>
      </c>
      <c r="E889" s="24" t="inlineStr">
        <is>
          <t>02.302.101/0001-42</t>
        </is>
      </c>
      <c r="F889" s="24" t="n"/>
      <c r="G889" s="29" t="inlineStr">
        <is>
          <t>0,00</t>
        </is>
      </c>
      <c r="H889" s="29" t="n"/>
      <c r="I889" s="24" t="n"/>
    </row>
    <row r="890">
      <c r="A890" s="26" t="inlineStr">
        <is>
          <t>BDLL3</t>
        </is>
      </c>
      <c r="B890" s="27" t="inlineStr">
        <is>
          <t>Ação</t>
        </is>
      </c>
      <c r="C890" s="27" t="inlineStr">
        <is>
          <t>Bardella</t>
        </is>
      </c>
      <c r="D890" s="27" t="n">
        <v>7.01</v>
      </c>
      <c r="E890" s="27" t="inlineStr">
        <is>
          <t>60.851.615/0001-53</t>
        </is>
      </c>
      <c r="F890" s="27" t="n"/>
      <c r="G890" s="28" t="inlineStr">
        <is>
          <t>0,00</t>
        </is>
      </c>
      <c r="H890" s="28" t="n"/>
      <c r="I890" s="27" t="n"/>
    </row>
    <row r="891">
      <c r="A891" s="23" t="inlineStr">
        <is>
          <t>CTKA4</t>
        </is>
      </c>
      <c r="B891" s="24" t="inlineStr">
        <is>
          <t>Ação</t>
        </is>
      </c>
      <c r="C891" s="24" t="inlineStr">
        <is>
          <t>Karsten</t>
        </is>
      </c>
      <c r="D891" s="24" t="n">
        <v>41.01</v>
      </c>
      <c r="E891" s="24" t="inlineStr">
        <is>
          <t>82.640.558/0001-04</t>
        </is>
      </c>
      <c r="F891" s="24" t="n"/>
      <c r="G891" s="29" t="inlineStr">
        <is>
          <t>0,00</t>
        </is>
      </c>
      <c r="H891" s="29" t="n"/>
      <c r="I891" s="24" t="n"/>
    </row>
    <row r="892">
      <c r="A892" s="26" t="inlineStr">
        <is>
          <t>SNSY3</t>
        </is>
      </c>
      <c r="B892" s="27" t="inlineStr">
        <is>
          <t>Ação</t>
        </is>
      </c>
      <c r="C892" s="27" t="inlineStr">
        <is>
          <t>Sansuy</t>
        </is>
      </c>
      <c r="D892" s="27" t="n">
        <v>10.9</v>
      </c>
      <c r="E892" s="27" t="inlineStr">
        <is>
          <t>14.807.945/0001-24</t>
        </is>
      </c>
      <c r="F892" s="27" t="n"/>
      <c r="G892" s="28" t="inlineStr">
        <is>
          <t>0,00</t>
        </is>
      </c>
      <c r="H892" s="28" t="n"/>
      <c r="I892" s="27" t="n"/>
    </row>
    <row r="893">
      <c r="A893" s="23" t="inlineStr">
        <is>
          <t>ENMT3</t>
        </is>
      </c>
      <c r="B893" s="24" t="inlineStr">
        <is>
          <t>Ação</t>
        </is>
      </c>
      <c r="C893" s="24" t="inlineStr">
        <is>
          <t>Energisa MT</t>
        </is>
      </c>
      <c r="D893" s="24" t="n">
        <v>50</v>
      </c>
      <c r="E893" s="24" t="inlineStr">
        <is>
          <t>03.467.321/0001-99</t>
        </is>
      </c>
      <c r="F893" s="24" t="n"/>
      <c r="G893" s="29" t="inlineStr">
        <is>
          <t>4,48</t>
        </is>
      </c>
      <c r="H893" s="29" t="n"/>
      <c r="I893" s="24" t="n"/>
    </row>
    <row r="894">
      <c r="A894" s="26" t="inlineStr">
        <is>
          <t>CTKA3</t>
        </is>
      </c>
      <c r="B894" s="27" t="inlineStr">
        <is>
          <t>Ação</t>
        </is>
      </c>
      <c r="C894" s="27" t="inlineStr">
        <is>
          <t>Karsten</t>
        </is>
      </c>
      <c r="D894" s="27" t="n">
        <v>47.8</v>
      </c>
      <c r="E894" s="27" t="inlineStr">
        <is>
          <t>82.640.558/0001-04</t>
        </is>
      </c>
      <c r="F894" s="27" t="n"/>
      <c r="G894" s="28" t="inlineStr">
        <is>
          <t>0,00</t>
        </is>
      </c>
      <c r="H894" s="28" t="n"/>
      <c r="I894" s="27" t="n"/>
    </row>
    <row r="895">
      <c r="A895" s="23" t="inlineStr">
        <is>
          <t>MRSA3B</t>
        </is>
      </c>
      <c r="B895" s="24" t="inlineStr">
        <is>
          <t>Ação</t>
        </is>
      </c>
      <c r="C895" s="24" t="inlineStr">
        <is>
          <t>MRS LogÃ­stica</t>
        </is>
      </c>
      <c r="D895" s="24" t="n">
        <v>48.9</v>
      </c>
      <c r="E895" s="24" t="inlineStr">
        <is>
          <t>01.417.222/0001-77</t>
        </is>
      </c>
      <c r="F895" s="24" t="n"/>
      <c r="G895" s="29" t="inlineStr">
        <is>
          <t>1,93</t>
        </is>
      </c>
      <c r="H895" s="29" t="n"/>
      <c r="I895" s="24" t="n"/>
    </row>
    <row r="896">
      <c r="A896" s="26" t="inlineStr">
        <is>
          <t>CLSC3</t>
        </is>
      </c>
      <c r="B896" s="27" t="inlineStr">
        <is>
          <t>Ação</t>
        </is>
      </c>
      <c r="C896" s="27" t="inlineStr">
        <is>
          <t>Celesc</t>
        </is>
      </c>
      <c r="D896" s="27" t="n">
        <v>124.01</v>
      </c>
      <c r="E896" s="27" t="inlineStr">
        <is>
          <t>83.878.892/0001-55</t>
        </is>
      </c>
      <c r="F896" s="27" t="n"/>
      <c r="G896" s="28" t="inlineStr">
        <is>
          <t>2,34</t>
        </is>
      </c>
      <c r="H896" s="28" t="n"/>
      <c r="I896" s="27" t="n"/>
    </row>
    <row r="897">
      <c r="A897" s="23" t="inlineStr">
        <is>
          <t>BRKM6</t>
        </is>
      </c>
      <c r="B897" s="24" t="inlineStr">
        <is>
          <t>Ação</t>
        </is>
      </c>
      <c r="C897" s="24" t="inlineStr">
        <is>
          <t>Braskem</t>
        </is>
      </c>
      <c r="D897" s="24" t="n">
        <v>9.890000000000001</v>
      </c>
      <c r="E897" s="24" t="inlineStr">
        <is>
          <t>42.150.391/0001-70</t>
        </is>
      </c>
      <c r="F897" s="24" t="n"/>
      <c r="G897" s="29" t="inlineStr">
        <is>
          <t>0,00</t>
        </is>
      </c>
      <c r="H897" s="29" t="n"/>
      <c r="I897" s="24" t="n"/>
    </row>
    <row r="898">
      <c r="A898" s="26" t="inlineStr">
        <is>
          <t>CRPG6</t>
        </is>
      </c>
      <c r="B898" s="27" t="inlineStr">
        <is>
          <t>Ação</t>
        </is>
      </c>
      <c r="C898" s="27" t="inlineStr">
        <is>
          <t>Tronox Pigmentos</t>
        </is>
      </c>
      <c r="D898" s="27" t="n">
        <v>18.49</v>
      </c>
      <c r="E898" s="27" t="inlineStr">
        <is>
          <t>15.115.504/0001-24</t>
        </is>
      </c>
      <c r="F898" s="27" t="n"/>
      <c r="G898" s="28" t="inlineStr">
        <is>
          <t>0,00</t>
        </is>
      </c>
      <c r="H898" s="28" t="n"/>
      <c r="I898" s="27" t="n"/>
    </row>
    <row r="899">
      <c r="A899" s="23" t="inlineStr">
        <is>
          <t>FRIO3</t>
        </is>
      </c>
      <c r="B899" s="24" t="inlineStr">
        <is>
          <t>Ação</t>
        </is>
      </c>
      <c r="C899" s="24" t="inlineStr">
        <is>
          <t>Metalfrio</t>
        </is>
      </c>
      <c r="D899" s="24" t="n">
        <v>170.18</v>
      </c>
      <c r="E899" s="24" t="inlineStr">
        <is>
          <t>04.821.041/0001-08</t>
        </is>
      </c>
      <c r="F899" s="24" t="n"/>
      <c r="G899" s="29" t="inlineStr">
        <is>
          <t>0,00</t>
        </is>
      </c>
      <c r="H899" s="29" t="n"/>
      <c r="I899" s="24" t="n"/>
    </row>
    <row r="900">
      <c r="A900" s="26" t="inlineStr">
        <is>
          <t>PSVM11</t>
        </is>
      </c>
      <c r="B900" s="27" t="inlineStr">
        <is>
          <t>Ação</t>
        </is>
      </c>
      <c r="C900" s="27" t="inlineStr">
        <is>
          <t>PORTO VM</t>
        </is>
      </c>
      <c r="D900" s="27" t="n">
        <v>4.75</v>
      </c>
      <c r="E900" s="27" t="n"/>
      <c r="F900" s="27" t="n"/>
      <c r="G900" s="28" t="inlineStr">
        <is>
          <t>0,00</t>
        </is>
      </c>
      <c r="H900" s="28" t="n"/>
      <c r="I900" s="27" t="n"/>
    </row>
    <row r="901">
      <c r="A901" s="23" t="inlineStr">
        <is>
          <t>MRSA5B</t>
        </is>
      </c>
      <c r="B901" s="24" t="inlineStr">
        <is>
          <t>Ação</t>
        </is>
      </c>
      <c r="C901" s="24" t="inlineStr">
        <is>
          <t>MRS LogÃ­stica</t>
        </is>
      </c>
      <c r="D901" s="24" t="n">
        <v>39.98</v>
      </c>
      <c r="E901" s="24" t="inlineStr">
        <is>
          <t>01.417.222/0001-77</t>
        </is>
      </c>
      <c r="F901" s="24" t="n"/>
      <c r="G901" s="29" t="inlineStr">
        <is>
          <t>2,62</t>
        </is>
      </c>
      <c r="H901" s="29" t="n"/>
      <c r="I901" s="24" t="n"/>
    </row>
    <row r="902">
      <c r="A902" s="26" t="inlineStr">
        <is>
          <t>DTCY3</t>
        </is>
      </c>
      <c r="B902" s="27" t="inlineStr">
        <is>
          <t>Ação</t>
        </is>
      </c>
      <c r="C902" s="27" t="inlineStr">
        <is>
          <t>Dtcom</t>
        </is>
      </c>
      <c r="D902" s="27" t="n">
        <v>2.5</v>
      </c>
      <c r="E902" s="27" t="inlineStr">
        <is>
          <t>03.303.999/0001-36</t>
        </is>
      </c>
      <c r="F902" s="27" t="n"/>
      <c r="G902" s="28" t="inlineStr">
        <is>
          <t>0,00</t>
        </is>
      </c>
      <c r="H902" s="28" t="n"/>
      <c r="I902" s="27" t="n"/>
    </row>
    <row r="903">
      <c r="A903" s="23" t="inlineStr">
        <is>
          <t>CGAS3</t>
        </is>
      </c>
      <c r="B903" s="24" t="inlineStr">
        <is>
          <t>Ação</t>
        </is>
      </c>
      <c r="C903" s="24" t="inlineStr">
        <is>
          <t>ComgÃ¡s</t>
        </is>
      </c>
      <c r="D903" s="24" t="n">
        <v>128.06</v>
      </c>
      <c r="E903" s="24" t="inlineStr">
        <is>
          <t>61.856.571/0001-17</t>
        </is>
      </c>
      <c r="F903" s="24" t="n"/>
      <c r="G903" s="29" t="inlineStr">
        <is>
          <t>7,49</t>
        </is>
      </c>
      <c r="H903" s="29" t="n"/>
      <c r="I903" s="24" t="n"/>
    </row>
    <row r="904">
      <c r="A904" s="26" t="inlineStr">
        <is>
          <t>CEEB5</t>
        </is>
      </c>
      <c r="B904" s="27" t="inlineStr">
        <is>
          <t>Ação</t>
        </is>
      </c>
      <c r="C904" s="27" t="inlineStr">
        <is>
          <t>COELBA</t>
        </is>
      </c>
      <c r="D904" s="27" t="n">
        <v>38</v>
      </c>
      <c r="E904" s="27" t="inlineStr">
        <is>
          <t>15.139.629/0001-94</t>
        </is>
      </c>
      <c r="F904" s="27" t="n"/>
      <c r="G904" s="28" t="inlineStr">
        <is>
          <t>13,93</t>
        </is>
      </c>
      <c r="H904" s="28" t="n"/>
      <c r="I904" s="27" t="n"/>
    </row>
    <row r="905">
      <c r="A905" s="23" t="inlineStr">
        <is>
          <t>CTNM3</t>
        </is>
      </c>
      <c r="B905" s="24" t="inlineStr">
        <is>
          <t>Ação</t>
        </is>
      </c>
      <c r="C905" s="24" t="n"/>
      <c r="D905" s="24" t="n">
        <v>7.13</v>
      </c>
      <c r="E905" s="24" t="inlineStr">
        <is>
          <t>22.677.520/0001-76</t>
        </is>
      </c>
      <c r="F905" s="24" t="n"/>
      <c r="G905" s="29" t="inlineStr">
        <is>
          <t>0,00</t>
        </is>
      </c>
      <c r="H905" s="29" t="n"/>
      <c r="I905" s="24" t="n"/>
    </row>
    <row r="906">
      <c r="A906" s="26" t="inlineStr">
        <is>
          <t>E1CO34</t>
        </is>
      </c>
      <c r="B906" s="27" t="inlineStr">
        <is>
          <t>BDR</t>
        </is>
      </c>
      <c r="C906" s="27" t="n"/>
      <c r="D906" s="27" t="n">
        <v>33.78</v>
      </c>
      <c r="E906" s="27" t="n"/>
      <c r="F906" s="27" t="n"/>
      <c r="G906" s="28" t="inlineStr">
        <is>
          <t>0,00</t>
        </is>
      </c>
      <c r="H906" s="28" t="n"/>
      <c r="I906" s="27" t="n"/>
    </row>
    <row r="907">
      <c r="A907" s="23" t="inlineStr">
        <is>
          <t>DIVD11</t>
        </is>
      </c>
      <c r="B907" s="24" t="inlineStr">
        <is>
          <t>ETF</t>
        </is>
      </c>
      <c r="C907" s="24" t="n"/>
      <c r="D907" s="24" t="n">
        <v>64.25</v>
      </c>
      <c r="E907" s="24" t="n"/>
      <c r="F907" s="24" t="n"/>
      <c r="G907" s="29" t="inlineStr">
        <is>
          <t>0,00</t>
        </is>
      </c>
      <c r="H907" s="29" t="n"/>
      <c r="I907" s="24" t="n"/>
    </row>
    <row r="908">
      <c r="A908" s="26" t="inlineStr">
        <is>
          <t>BDVD39</t>
        </is>
      </c>
      <c r="B908" s="27" t="inlineStr">
        <is>
          <t>ETF</t>
        </is>
      </c>
      <c r="C908" s="27" t="n"/>
      <c r="D908" s="27" t="n">
        <v>50.65</v>
      </c>
      <c r="E908" s="27" t="n"/>
      <c r="F908" s="27" t="inlineStr">
        <is>
          <t>Commodities (prata física)</t>
        </is>
      </c>
      <c r="G908" s="28" t="inlineStr">
        <is>
          <t>0,00</t>
        </is>
      </c>
      <c r="H908" s="28" t="n"/>
      <c r="I908" s="27" t="n"/>
    </row>
    <row r="909">
      <c r="A909" s="23" t="inlineStr">
        <is>
          <t>A1VB34</t>
        </is>
      </c>
      <c r="B909" s="24" t="inlineStr">
        <is>
          <t>BDR</t>
        </is>
      </c>
      <c r="C909" s="24" t="n"/>
      <c r="D909" s="24" t="n">
        <v>233.23</v>
      </c>
      <c r="E909" s="24" t="n"/>
      <c r="F909" s="24" t="inlineStr">
        <is>
          <t>REIT</t>
        </is>
      </c>
      <c r="G909" s="29" t="inlineStr">
        <is>
          <t>0,00</t>
        </is>
      </c>
      <c r="H909" s="29" t="n"/>
      <c r="I909" s="24" t="n"/>
    </row>
    <row r="910">
      <c r="A910" s="26" t="inlineStr">
        <is>
          <t>TRXF13</t>
        </is>
      </c>
      <c r="B910" s="27" t="n"/>
      <c r="C910" s="27" t="n"/>
      <c r="D910" s="27" t="n">
        <v>98.34</v>
      </c>
      <c r="E910" s="27" t="n"/>
      <c r="F910" s="27" t="n"/>
      <c r="G910" s="28" t="inlineStr">
        <is>
          <t>0,00</t>
        </is>
      </c>
      <c r="H910" s="28" t="n"/>
      <c r="I910" s="27" t="n"/>
    </row>
    <row r="911">
      <c r="A911" s="23" t="inlineStr">
        <is>
          <t>CPTS13</t>
        </is>
      </c>
      <c r="B911" s="24" t="n"/>
      <c r="C911" s="24" t="n"/>
      <c r="D911" s="24" t="n">
        <v>8.9</v>
      </c>
      <c r="E911" s="24" t="n"/>
      <c r="F911" s="24" t="n"/>
      <c r="G911" s="29" t="inlineStr">
        <is>
          <t>0,00</t>
        </is>
      </c>
      <c r="H911" s="29" t="n"/>
      <c r="I911" s="24" t="n"/>
    </row>
    <row r="912">
      <c r="A912" s="26" t="inlineStr">
        <is>
          <t>AREA11</t>
        </is>
      </c>
      <c r="B912" s="27" t="inlineStr">
        <is>
          <t>ETF</t>
        </is>
      </c>
      <c r="C912" s="27" t="n"/>
      <c r="D912" s="27" t="n">
        <v>102.98</v>
      </c>
      <c r="E912" s="27" t="n"/>
      <c r="F912" s="27" t="n"/>
      <c r="G912" s="28" t="inlineStr">
        <is>
          <t>0,00</t>
        </is>
      </c>
      <c r="H912" s="28" t="n"/>
      <c r="I912" s="27" t="n"/>
    </row>
    <row r="913">
      <c r="A913" s="23" t="inlineStr">
        <is>
          <t>CLAN3</t>
        </is>
      </c>
      <c r="B913" s="24" t="inlineStr">
        <is>
          <t>Ação</t>
        </is>
      </c>
      <c r="C913" s="24" t="n"/>
      <c r="D913" s="24" t="n"/>
      <c r="E913" s="24" t="n"/>
      <c r="F913" s="24" t="n"/>
      <c r="G913" s="29" t="inlineStr">
        <is>
          <t>0,00</t>
        </is>
      </c>
      <c r="H913" s="29" t="n"/>
      <c r="I913" s="24" t="n"/>
    </row>
    <row r="914">
      <c r="A914" s="26" t="inlineStr">
        <is>
          <t>CFLU4</t>
        </is>
      </c>
      <c r="B914" s="27" t="inlineStr">
        <is>
          <t>Ação</t>
        </is>
      </c>
      <c r="C914" s="27" t="n"/>
      <c r="D914" s="27" t="n"/>
      <c r="E914" s="27" t="n"/>
      <c r="F914" s="27" t="n"/>
      <c r="G914" s="28" t="inlineStr">
        <is>
          <t>0,00</t>
        </is>
      </c>
      <c r="H914" s="28" t="n"/>
      <c r="I914" s="27" t="n"/>
    </row>
    <row r="915">
      <c r="A915" s="23" t="inlineStr">
        <is>
          <t>PMET3</t>
        </is>
      </c>
      <c r="B915" s="24" t="inlineStr">
        <is>
          <t>Ação</t>
        </is>
      </c>
      <c r="C915" s="24" t="n"/>
      <c r="D915" s="24" t="n"/>
      <c r="E915" s="24" t="n"/>
      <c r="F915" s="24" t="n"/>
      <c r="G915" s="29" t="inlineStr">
        <is>
          <t>0,00</t>
        </is>
      </c>
      <c r="H915" s="29" t="n"/>
      <c r="I915" s="24" t="n"/>
    </row>
    <row r="916">
      <c r="A916" s="26" t="inlineStr">
        <is>
          <t>CSTB3</t>
        </is>
      </c>
      <c r="B916" s="27" t="inlineStr">
        <is>
          <t>Ação</t>
        </is>
      </c>
      <c r="C916" s="27" t="n"/>
      <c r="D916" s="27" t="n"/>
      <c r="E916" s="27" t="n"/>
      <c r="F916" s="27" t="n"/>
      <c r="G916" s="28" t="inlineStr">
        <is>
          <t>0,00</t>
        </is>
      </c>
      <c r="H916" s="28" t="n"/>
      <c r="I916" s="27" t="n"/>
    </row>
    <row r="917">
      <c r="A917" s="23" t="inlineStr">
        <is>
          <t>POPR4</t>
        </is>
      </c>
      <c r="B917" s="24" t="inlineStr">
        <is>
          <t>Ação</t>
        </is>
      </c>
      <c r="C917" s="24" t="n"/>
      <c r="D917" s="24" t="n"/>
      <c r="E917" s="24" t="n"/>
      <c r="F917" s="24" t="n"/>
      <c r="G917" s="29" t="inlineStr">
        <is>
          <t>0,00</t>
        </is>
      </c>
      <c r="H917" s="29" t="n"/>
      <c r="I917" s="24" t="n"/>
    </row>
    <row r="918">
      <c r="A918" s="26" t="inlineStr">
        <is>
          <t>PORP4</t>
        </is>
      </c>
      <c r="B918" s="27" t="inlineStr">
        <is>
          <t>Ação</t>
        </is>
      </c>
      <c r="C918" s="27" t="n"/>
      <c r="D918" s="27" t="n"/>
      <c r="E918" s="27" t="n"/>
      <c r="F918" s="27" t="n"/>
      <c r="G918" s="28" t="inlineStr">
        <is>
          <t>0,00</t>
        </is>
      </c>
      <c r="H918" s="28" t="n"/>
      <c r="I918" s="27" t="n"/>
    </row>
    <row r="919">
      <c r="A919" s="23" t="inlineStr">
        <is>
          <t>CSTB4</t>
        </is>
      </c>
      <c r="B919" s="24" t="inlineStr">
        <is>
          <t>Ação</t>
        </is>
      </c>
      <c r="C919" s="24" t="n"/>
      <c r="D919" s="24" t="n"/>
      <c r="E919" s="24" t="n"/>
      <c r="F919" s="24" t="n"/>
      <c r="G919" s="29" t="inlineStr">
        <is>
          <t>0,00</t>
        </is>
      </c>
      <c r="H919" s="29" t="n"/>
      <c r="I919" s="24" t="n"/>
    </row>
    <row r="920">
      <c r="A920" s="26" t="inlineStr">
        <is>
          <t>MNSA4</t>
        </is>
      </c>
      <c r="B920" s="27" t="inlineStr">
        <is>
          <t>Ação</t>
        </is>
      </c>
      <c r="C920" s="27" t="n"/>
      <c r="D920" s="27" t="n"/>
      <c r="E920" s="27" t="n"/>
      <c r="F920" s="27" t="n"/>
      <c r="G920" s="28" t="inlineStr">
        <is>
          <t>0,00</t>
        </is>
      </c>
      <c r="H920" s="28" t="n"/>
      <c r="I920" s="27" t="n"/>
    </row>
    <row r="921">
      <c r="A921" s="23" t="inlineStr">
        <is>
          <t>MNSA3</t>
        </is>
      </c>
      <c r="B921" s="24" t="inlineStr">
        <is>
          <t>Ação</t>
        </is>
      </c>
      <c r="C921" s="24" t="n"/>
      <c r="D921" s="24" t="n"/>
      <c r="E921" s="24" t="n"/>
      <c r="F921" s="24" t="n"/>
      <c r="G921" s="29" t="inlineStr">
        <is>
          <t>0,00</t>
        </is>
      </c>
      <c r="H921" s="29" t="n"/>
      <c r="I921" s="24" t="n"/>
    </row>
    <row r="922">
      <c r="A922" s="26" t="inlineStr">
        <is>
          <t>IVTT3</t>
        </is>
      </c>
      <c r="B922" s="27" t="inlineStr">
        <is>
          <t>Ação</t>
        </is>
      </c>
      <c r="C922" s="27" t="n"/>
      <c r="D922" s="27" t="n"/>
      <c r="E922" s="27" t="n"/>
      <c r="F922" s="27" t="n"/>
      <c r="G922" s="28" t="inlineStr">
        <is>
          <t>0,00</t>
        </is>
      </c>
      <c r="H922" s="28" t="n"/>
      <c r="I922" s="27" t="n"/>
    </row>
    <row r="923">
      <c r="A923" s="23" t="inlineStr">
        <is>
          <t>GNDI3</t>
        </is>
      </c>
      <c r="B923" s="24" t="inlineStr">
        <is>
          <t>Ação</t>
        </is>
      </c>
      <c r="C923" s="24" t="n"/>
      <c r="D923" s="24" t="n"/>
      <c r="E923" s="24" t="inlineStr">
        <is>
          <t>19.853.511/0001-84</t>
        </is>
      </c>
      <c r="F923" s="24" t="n"/>
      <c r="G923" s="29" t="inlineStr">
        <is>
          <t>0,00</t>
        </is>
      </c>
      <c r="H923" s="29" t="n"/>
      <c r="I923" s="24" t="n"/>
    </row>
    <row r="924">
      <c r="A924" s="26" t="inlineStr">
        <is>
          <t>PLDN4</t>
        </is>
      </c>
      <c r="B924" s="27" t="inlineStr">
        <is>
          <t>Ação</t>
        </is>
      </c>
      <c r="C924" s="27" t="n"/>
      <c r="D924" s="27" t="n"/>
      <c r="E924" s="27" t="n"/>
      <c r="F924" s="27" t="n"/>
      <c r="G924" s="28" t="inlineStr">
        <is>
          <t>0,00</t>
        </is>
      </c>
      <c r="H924" s="28" t="n"/>
      <c r="I924" s="27" t="n"/>
    </row>
    <row r="925">
      <c r="A925" s="23" t="inlineStr">
        <is>
          <t>LCSA4</t>
        </is>
      </c>
      <c r="B925" s="24" t="inlineStr">
        <is>
          <t>Ação</t>
        </is>
      </c>
      <c r="C925" s="24" t="n"/>
      <c r="D925" s="24" t="n"/>
      <c r="E925" s="24" t="n"/>
      <c r="F925" s="24" t="n"/>
      <c r="G925" s="29" t="inlineStr">
        <is>
          <t>0,00</t>
        </is>
      </c>
      <c r="H925" s="29" t="n"/>
      <c r="I925" s="24" t="n"/>
    </row>
    <row r="926">
      <c r="A926" s="26" t="inlineStr">
        <is>
          <t>BHGR3</t>
        </is>
      </c>
      <c r="B926" s="27" t="inlineStr">
        <is>
          <t>Ação</t>
        </is>
      </c>
      <c r="C926" s="27" t="n"/>
      <c r="D926" s="27" t="n"/>
      <c r="E926" s="27" t="n"/>
      <c r="F926" s="27" t="n"/>
      <c r="G926" s="28" t="inlineStr">
        <is>
          <t>0,00</t>
        </is>
      </c>
      <c r="H926" s="28" t="n"/>
      <c r="I926" s="27" t="n"/>
    </row>
    <row r="927">
      <c r="A927" s="23" t="inlineStr">
        <is>
          <t>DMMO3</t>
        </is>
      </c>
      <c r="B927" s="24" t="inlineStr">
        <is>
          <t>Ação</t>
        </is>
      </c>
      <c r="C927" s="24" t="n"/>
      <c r="D927" s="24" t="n"/>
      <c r="E927" s="24" t="inlineStr">
        <is>
          <t>08.926.302/0001-05</t>
        </is>
      </c>
      <c r="F927" s="24" t="n"/>
      <c r="G927" s="29" t="inlineStr">
        <is>
          <t>0,00</t>
        </is>
      </c>
      <c r="H927" s="29" t="n"/>
      <c r="I927" s="24" t="n"/>
    </row>
    <row r="928">
      <c r="A928" s="26" t="inlineStr">
        <is>
          <t>WDCN3</t>
        </is>
      </c>
      <c r="B928" s="27" t="inlineStr">
        <is>
          <t>Ação</t>
        </is>
      </c>
      <c r="C928" s="27" t="n"/>
      <c r="D928" s="27" t="n">
        <v>2.59</v>
      </c>
      <c r="E928" s="27" t="inlineStr">
        <is>
          <t>05.917.486/0001-40</t>
        </is>
      </c>
      <c r="F928" s="27" t="n"/>
      <c r="G928" s="28" t="inlineStr">
        <is>
          <t>7,37</t>
        </is>
      </c>
      <c r="H928" s="28" t="n"/>
      <c r="I928" s="27" t="n"/>
    </row>
    <row r="929">
      <c r="A929" s="23" t="inlineStr">
        <is>
          <t>RJCP3</t>
        </is>
      </c>
      <c r="B929" s="24" t="inlineStr">
        <is>
          <t>Ação</t>
        </is>
      </c>
      <c r="C929" s="24" t="n"/>
      <c r="D929" s="24" t="n"/>
      <c r="E929" s="24" t="n"/>
      <c r="F929" s="24" t="n"/>
      <c r="G929" s="29" t="inlineStr">
        <is>
          <t>0,00</t>
        </is>
      </c>
      <c r="H929" s="29" t="n"/>
      <c r="I929" s="24" t="n"/>
    </row>
    <row r="930">
      <c r="A930" s="26" t="inlineStr">
        <is>
          <t>ABYA3</t>
        </is>
      </c>
      <c r="B930" s="27" t="inlineStr">
        <is>
          <t>Ação</t>
        </is>
      </c>
      <c r="C930" s="27" t="n"/>
      <c r="D930" s="27" t="n"/>
      <c r="E930" s="27" t="n"/>
      <c r="F930" s="27" t="n"/>
      <c r="G930" s="28" t="inlineStr">
        <is>
          <t>0,00</t>
        </is>
      </c>
      <c r="H930" s="28" t="n"/>
      <c r="I930" s="27" t="n"/>
    </row>
    <row r="931">
      <c r="A931" s="23" t="inlineStr">
        <is>
          <t>PITI4</t>
        </is>
      </c>
      <c r="B931" s="24" t="inlineStr">
        <is>
          <t>Ação</t>
        </is>
      </c>
      <c r="C931" s="24" t="n"/>
      <c r="D931" s="24" t="n"/>
      <c r="E931" s="24" t="n"/>
      <c r="F931" s="24" t="n"/>
      <c r="G931" s="29" t="inlineStr">
        <is>
          <t>0,00</t>
        </is>
      </c>
      <c r="H931" s="29" t="n"/>
      <c r="I931" s="24" t="n"/>
    </row>
    <row r="932">
      <c r="A932" s="26" t="inlineStr">
        <is>
          <t>GOLL4</t>
        </is>
      </c>
      <c r="B932" s="27" t="inlineStr">
        <is>
          <t>Ação</t>
        </is>
      </c>
      <c r="C932" s="27" t="n"/>
      <c r="D932" s="27" t="n"/>
      <c r="E932" s="27" t="n"/>
      <c r="F932" s="27" t="n"/>
      <c r="G932" s="28" t="inlineStr">
        <is>
          <t>0,00</t>
        </is>
      </c>
      <c r="H932" s="28" t="n"/>
      <c r="I932" s="27" t="n"/>
    </row>
    <row r="933">
      <c r="A933" s="23" t="inlineStr">
        <is>
          <t>LCSA3</t>
        </is>
      </c>
      <c r="B933" s="24" t="inlineStr">
        <is>
          <t>Ação</t>
        </is>
      </c>
      <c r="C933" s="24" t="n"/>
      <c r="D933" s="24" t="n"/>
      <c r="E933" s="24" t="n"/>
      <c r="F933" s="24" t="n"/>
      <c r="G933" s="29" t="inlineStr">
        <is>
          <t>0,00</t>
        </is>
      </c>
      <c r="H933" s="29" t="n"/>
      <c r="I933" s="24" t="n"/>
    </row>
    <row r="934">
      <c r="A934" s="26" t="inlineStr">
        <is>
          <t>MAGG3</t>
        </is>
      </c>
      <c r="B934" s="27" t="inlineStr">
        <is>
          <t>Ação</t>
        </is>
      </c>
      <c r="C934" s="27" t="n"/>
      <c r="D934" s="27" t="n"/>
      <c r="E934" s="27" t="n"/>
      <c r="F934" s="27" t="n"/>
      <c r="G934" s="28" t="inlineStr">
        <is>
          <t>0,00</t>
        </is>
      </c>
      <c r="H934" s="28" t="n"/>
      <c r="I934" s="27" t="n"/>
    </row>
    <row r="935">
      <c r="A935" s="23" t="inlineStr">
        <is>
          <t>SQIA3</t>
        </is>
      </c>
      <c r="B935" s="24" t="inlineStr">
        <is>
          <t>Ação</t>
        </is>
      </c>
      <c r="C935" s="24" t="n"/>
      <c r="D935" s="24" t="n"/>
      <c r="E935" s="24" t="inlineStr">
        <is>
          <t>04.065.791/0001-99</t>
        </is>
      </c>
      <c r="F935" s="24" t="n"/>
      <c r="G935" s="29" t="inlineStr">
        <is>
          <t>0,00</t>
        </is>
      </c>
      <c r="H935" s="29" t="n"/>
      <c r="I935" s="24" t="n"/>
    </row>
    <row r="936">
      <c r="A936" s="26" t="inlineStr">
        <is>
          <t>LINX3</t>
        </is>
      </c>
      <c r="B936" s="27" t="inlineStr">
        <is>
          <t>Ação</t>
        </is>
      </c>
      <c r="C936" s="27" t="n"/>
      <c r="D936" s="27" t="n"/>
      <c r="E936" s="27" t="inlineStr">
        <is>
          <t>06.948.969/0001-75</t>
        </is>
      </c>
      <c r="F936" s="27" t="n"/>
      <c r="G936" s="28" t="inlineStr">
        <is>
          <t>0,00</t>
        </is>
      </c>
      <c r="H936" s="28" t="n"/>
      <c r="I936" s="27" t="n"/>
    </row>
    <row r="937">
      <c r="A937" s="23" t="inlineStr">
        <is>
          <t>BNCA3</t>
        </is>
      </c>
      <c r="B937" s="24" t="inlineStr">
        <is>
          <t>Ação</t>
        </is>
      </c>
      <c r="C937" s="24" t="n"/>
      <c r="D937" s="24" t="n"/>
      <c r="E937" s="24" t="n"/>
      <c r="F937" s="24" t="n"/>
      <c r="G937" s="29" t="inlineStr">
        <is>
          <t>0,00</t>
        </is>
      </c>
      <c r="H937" s="29" t="n"/>
      <c r="I937" s="24" t="n"/>
    </row>
    <row r="938">
      <c r="A938" s="26" t="inlineStr">
        <is>
          <t>AMIL3</t>
        </is>
      </c>
      <c r="B938" s="27" t="inlineStr">
        <is>
          <t>Ação</t>
        </is>
      </c>
      <c r="C938" s="27" t="n"/>
      <c r="D938" s="27" t="n"/>
      <c r="E938" s="27" t="n"/>
      <c r="F938" s="27" t="n"/>
      <c r="G938" s="28" t="inlineStr">
        <is>
          <t>0,00</t>
        </is>
      </c>
      <c r="H938" s="28" t="n"/>
      <c r="I938" s="27" t="n"/>
    </row>
    <row r="939">
      <c r="A939" s="23" t="inlineStr">
        <is>
          <t>BRTP3</t>
        </is>
      </c>
      <c r="B939" s="24" t="inlineStr">
        <is>
          <t>Ação</t>
        </is>
      </c>
      <c r="C939" s="24" t="n"/>
      <c r="D939" s="24" t="n"/>
      <c r="E939" s="24" t="n"/>
      <c r="F939" s="24" t="n"/>
      <c r="G939" s="29" t="inlineStr">
        <is>
          <t>0,00</t>
        </is>
      </c>
      <c r="H939" s="29" t="n"/>
      <c r="I939" s="24" t="n"/>
    </row>
    <row r="940">
      <c r="A940" s="26" t="inlineStr">
        <is>
          <t>AURA33</t>
        </is>
      </c>
      <c r="B940" s="27" t="inlineStr">
        <is>
          <t>Ação</t>
        </is>
      </c>
      <c r="C940" s="27" t="n"/>
      <c r="D940" s="27" t="n">
        <v>138.63</v>
      </c>
      <c r="E940" s="27" t="inlineStr">
        <is>
          <t>07.857.093/0001-14</t>
        </is>
      </c>
      <c r="F940" s="27" t="n"/>
      <c r="G940" s="28" t="inlineStr">
        <is>
          <t>1,92</t>
        </is>
      </c>
      <c r="H940" s="28" t="n"/>
      <c r="I940" s="27" t="n"/>
    </row>
    <row r="941">
      <c r="A941" s="23" t="inlineStr">
        <is>
          <t>IDVL11</t>
        </is>
      </c>
      <c r="B941" s="24" t="inlineStr">
        <is>
          <t>Ação</t>
        </is>
      </c>
      <c r="C941" s="24" t="n"/>
      <c r="D941" s="24" t="n"/>
      <c r="E941" s="24" t="n"/>
      <c r="F941" s="24" t="n"/>
      <c r="G941" s="29" t="inlineStr">
        <is>
          <t>0,00</t>
        </is>
      </c>
      <c r="H941" s="29" t="n"/>
      <c r="I941" s="24" t="n"/>
    </row>
    <row r="942">
      <c r="A942" s="26" t="inlineStr">
        <is>
          <t>PEFX3</t>
        </is>
      </c>
      <c r="B942" s="27" t="inlineStr">
        <is>
          <t>Ação</t>
        </is>
      </c>
      <c r="C942" s="27" t="n"/>
      <c r="D942" s="27" t="n"/>
      <c r="E942" s="27" t="n"/>
      <c r="F942" s="27" t="n"/>
      <c r="G942" s="28" t="inlineStr">
        <is>
          <t>0,00</t>
        </is>
      </c>
      <c r="H942" s="28" t="n"/>
      <c r="I942" s="27" t="n"/>
    </row>
    <row r="943">
      <c r="A943" s="23" t="inlineStr">
        <is>
          <t>PEFX5</t>
        </is>
      </c>
      <c r="B943" s="24" t="inlineStr">
        <is>
          <t>Ação</t>
        </is>
      </c>
      <c r="C943" s="24" t="n"/>
      <c r="D943" s="24" t="n"/>
      <c r="E943" s="24" t="n"/>
      <c r="F943" s="24" t="n"/>
      <c r="G943" s="29" t="inlineStr">
        <is>
          <t>0,00</t>
        </is>
      </c>
      <c r="H943" s="29" t="n"/>
      <c r="I943" s="24" t="n"/>
    </row>
    <row r="944">
      <c r="A944" s="26" t="inlineStr">
        <is>
          <t>TUPY4</t>
        </is>
      </c>
      <c r="B944" s="27" t="inlineStr">
        <is>
          <t>Ação</t>
        </is>
      </c>
      <c r="C944" s="27" t="n"/>
      <c r="D944" s="27" t="n"/>
      <c r="E944" s="27" t="n"/>
      <c r="F944" s="27" t="n"/>
      <c r="G944" s="28" t="inlineStr">
        <is>
          <t>0,00</t>
        </is>
      </c>
      <c r="H944" s="28" t="n"/>
      <c r="I944" s="27" t="n"/>
    </row>
    <row r="945">
      <c r="A945" s="23" t="inlineStr">
        <is>
          <t>MTIG4</t>
        </is>
      </c>
      <c r="B945" s="24" t="inlineStr">
        <is>
          <t>Ação</t>
        </is>
      </c>
      <c r="C945" s="24" t="n"/>
      <c r="D945" s="24" t="n"/>
      <c r="E945" s="24" t="inlineStr">
        <is>
          <t>80.227.184/0001-66</t>
        </is>
      </c>
      <c r="F945" s="24" t="n"/>
      <c r="G945" s="29" t="inlineStr">
        <is>
          <t>0,00</t>
        </is>
      </c>
      <c r="H945" s="29" t="n"/>
      <c r="I945" s="24" t="n"/>
    </row>
    <row r="946">
      <c r="A946" s="26" t="inlineStr">
        <is>
          <t>SCLO3</t>
        </is>
      </c>
      <c r="B946" s="27" t="inlineStr">
        <is>
          <t>Ação</t>
        </is>
      </c>
      <c r="C946" s="27" t="n"/>
      <c r="D946" s="27" t="n"/>
      <c r="E946" s="27" t="n"/>
      <c r="F946" s="27" t="n"/>
      <c r="G946" s="28" t="inlineStr">
        <is>
          <t>0,00</t>
        </is>
      </c>
      <c r="H946" s="28" t="n"/>
      <c r="I946" s="27" t="n"/>
    </row>
    <row r="947">
      <c r="A947" s="23" t="inlineStr">
        <is>
          <t>TOYB4</t>
        </is>
      </c>
      <c r="B947" s="24" t="inlineStr">
        <is>
          <t>Ação</t>
        </is>
      </c>
      <c r="C947" s="24" t="n"/>
      <c r="D947" s="24" t="n"/>
      <c r="E947" s="24" t="inlineStr">
        <is>
          <t>22.770.366/0001-82</t>
        </is>
      </c>
      <c r="F947" s="24" t="n"/>
      <c r="G947" s="29" t="inlineStr">
        <is>
          <t>0,00</t>
        </is>
      </c>
      <c r="H947" s="29" t="n"/>
      <c r="I947" s="24" t="n"/>
    </row>
    <row r="948">
      <c r="A948" s="26" t="inlineStr">
        <is>
          <t>IMBI3</t>
        </is>
      </c>
      <c r="B948" s="27" t="inlineStr">
        <is>
          <t>Ação</t>
        </is>
      </c>
      <c r="C948" s="27" t="n"/>
      <c r="D948" s="27" t="n"/>
      <c r="E948" s="27" t="n"/>
      <c r="F948" s="27" t="n"/>
      <c r="G948" s="28" t="inlineStr">
        <is>
          <t>0,00</t>
        </is>
      </c>
      <c r="H948" s="28" t="n"/>
      <c r="I948" s="27" t="n"/>
    </row>
    <row r="949">
      <c r="A949" s="23" t="inlineStr">
        <is>
          <t>CLAN4</t>
        </is>
      </c>
      <c r="B949" s="24" t="inlineStr">
        <is>
          <t>Ação</t>
        </is>
      </c>
      <c r="C949" s="24" t="n"/>
      <c r="D949" s="24" t="n"/>
      <c r="E949" s="24" t="n"/>
      <c r="F949" s="24" t="n"/>
      <c r="G949" s="29" t="inlineStr">
        <is>
          <t>0,00</t>
        </is>
      </c>
      <c r="H949" s="29" t="n"/>
      <c r="I949" s="24" t="n"/>
    </row>
    <row r="950">
      <c r="A950" s="26" t="inlineStr">
        <is>
          <t>TOYB3</t>
        </is>
      </c>
      <c r="B950" s="27" t="inlineStr">
        <is>
          <t>Ação</t>
        </is>
      </c>
      <c r="C950" s="27" t="n"/>
      <c r="D950" s="27" t="n"/>
      <c r="E950" s="27" t="inlineStr">
        <is>
          <t>22.770.366/0001-82</t>
        </is>
      </c>
      <c r="F950" s="27" t="n"/>
      <c r="G950" s="28" t="inlineStr">
        <is>
          <t>0,00</t>
        </is>
      </c>
      <c r="H950" s="28" t="n"/>
      <c r="I950" s="27" t="n"/>
    </row>
    <row r="951">
      <c r="A951" s="23" t="inlineStr">
        <is>
          <t>EBTP3</t>
        </is>
      </c>
      <c r="B951" s="24" t="inlineStr">
        <is>
          <t>Ação</t>
        </is>
      </c>
      <c r="C951" s="24" t="n"/>
      <c r="D951" s="24" t="n"/>
      <c r="E951" s="24" t="n"/>
      <c r="F951" s="24" t="n"/>
      <c r="G951" s="29" t="inlineStr">
        <is>
          <t>0,00</t>
        </is>
      </c>
      <c r="H951" s="29" t="n"/>
      <c r="I951" s="24" t="n"/>
    </row>
    <row r="952">
      <c r="A952" s="26" t="inlineStr">
        <is>
          <t>PCAR4</t>
        </is>
      </c>
      <c r="B952" s="27" t="inlineStr">
        <is>
          <t>Ação</t>
        </is>
      </c>
      <c r="C952" s="27" t="n"/>
      <c r="D952" s="27" t="n"/>
      <c r="E952" s="27" t="inlineStr">
        <is>
          <t>47.508.411/0001-56</t>
        </is>
      </c>
      <c r="F952" s="27" t="n"/>
      <c r="G952" s="28" t="inlineStr">
        <is>
          <t>0,00</t>
        </is>
      </c>
      <c r="H952" s="28" t="n"/>
      <c r="I952" s="27" t="n"/>
    </row>
    <row r="953">
      <c r="A953" s="23" t="inlineStr">
        <is>
          <t>EBTP4</t>
        </is>
      </c>
      <c r="B953" s="24" t="inlineStr">
        <is>
          <t>Ação</t>
        </is>
      </c>
      <c r="C953" s="24" t="n"/>
      <c r="D953" s="24" t="n"/>
      <c r="E953" s="24" t="n"/>
      <c r="F953" s="24" t="n"/>
      <c r="G953" s="29" t="inlineStr">
        <is>
          <t>0,00</t>
        </is>
      </c>
      <c r="H953" s="29" t="n"/>
      <c r="I953" s="24" t="n"/>
    </row>
    <row r="954">
      <c r="A954" s="26" t="inlineStr">
        <is>
          <t>BAHI4</t>
        </is>
      </c>
      <c r="B954" s="27" t="inlineStr">
        <is>
          <t>Ação</t>
        </is>
      </c>
      <c r="C954" s="27" t="n"/>
      <c r="D954" s="27" t="n"/>
      <c r="E954" s="27" t="n"/>
      <c r="F954" s="27" t="n"/>
      <c r="G954" s="28" t="inlineStr">
        <is>
          <t>0,00</t>
        </is>
      </c>
      <c r="H954" s="28" t="n"/>
      <c r="I954" s="27" t="n"/>
    </row>
    <row r="955">
      <c r="A955" s="23" t="inlineStr">
        <is>
          <t>PCAR5</t>
        </is>
      </c>
      <c r="B955" s="24" t="inlineStr">
        <is>
          <t>Ação</t>
        </is>
      </c>
      <c r="C955" s="24" t="n"/>
      <c r="D955" s="24" t="n"/>
      <c r="E955" s="24" t="n"/>
      <c r="F955" s="24" t="n"/>
      <c r="G955" s="29" t="inlineStr">
        <is>
          <t>0,00</t>
        </is>
      </c>
      <c r="H955" s="29" t="n"/>
      <c r="I955" s="24" t="n"/>
    </row>
    <row r="956">
      <c r="A956" s="26" t="inlineStr">
        <is>
          <t>FBRA4</t>
        </is>
      </c>
      <c r="B956" s="27" t="inlineStr">
        <is>
          <t>Ação</t>
        </is>
      </c>
      <c r="C956" s="27" t="n"/>
      <c r="D956" s="27" t="n"/>
      <c r="E956" s="27" t="n"/>
      <c r="F956" s="27" t="n"/>
      <c r="G956" s="28" t="inlineStr">
        <is>
          <t>0,00</t>
        </is>
      </c>
      <c r="H956" s="28" t="n"/>
      <c r="I956" s="27" t="n"/>
    </row>
    <row r="957">
      <c r="A957" s="23" t="inlineStr">
        <is>
          <t>BRTP4</t>
        </is>
      </c>
      <c r="B957" s="24" t="inlineStr">
        <is>
          <t>Ação</t>
        </is>
      </c>
      <c r="C957" s="24" t="n"/>
      <c r="D957" s="24" t="n"/>
      <c r="E957" s="24" t="n"/>
      <c r="F957" s="24" t="n"/>
      <c r="G957" s="29" t="inlineStr">
        <is>
          <t>0,00</t>
        </is>
      </c>
      <c r="H957" s="29" t="n"/>
      <c r="I957" s="24" t="n"/>
    </row>
    <row r="958">
      <c r="A958" s="26" t="inlineStr">
        <is>
          <t>GPAR3</t>
        </is>
      </c>
      <c r="B958" s="27" t="inlineStr">
        <is>
          <t>Ação</t>
        </is>
      </c>
      <c r="C958" s="27" t="n"/>
      <c r="D958" s="27" t="n">
        <v>14.05</v>
      </c>
      <c r="E958" s="27" t="inlineStr">
        <is>
          <t>08.560.444/0001-93</t>
        </is>
      </c>
      <c r="F958" s="27" t="n"/>
      <c r="G958" s="28" t="inlineStr">
        <is>
          <t>0,00</t>
        </is>
      </c>
      <c r="H958" s="28" t="n"/>
      <c r="I958" s="27" t="n"/>
    </row>
    <row r="959">
      <c r="A959" s="23" t="inlineStr">
        <is>
          <t>ITEC3</t>
        </is>
      </c>
      <c r="B959" s="24" t="inlineStr">
        <is>
          <t>Ação</t>
        </is>
      </c>
      <c r="C959" s="24" t="n"/>
      <c r="D959" s="24" t="n"/>
      <c r="E959" s="24" t="inlineStr">
        <is>
          <t>54.526.082/0001-31</t>
        </is>
      </c>
      <c r="F959" s="24" t="n"/>
      <c r="G959" s="29" t="inlineStr">
        <is>
          <t>0,00</t>
        </is>
      </c>
      <c r="H959" s="29" t="n"/>
      <c r="I959" s="24" t="n"/>
    </row>
    <row r="960">
      <c r="A960" s="26" t="inlineStr">
        <is>
          <t>APER3</t>
        </is>
      </c>
      <c r="B960" s="27" t="inlineStr">
        <is>
          <t>Ação</t>
        </is>
      </c>
      <c r="C960" s="27" t="n"/>
      <c r="D960" s="27" t="n"/>
      <c r="E960" s="27" t="inlineStr">
        <is>
          <t>11.721.921/0001-60</t>
        </is>
      </c>
      <c r="F960" s="27" t="n"/>
      <c r="G960" s="28" t="inlineStr">
        <is>
          <t>0,00</t>
        </is>
      </c>
      <c r="H960" s="28" t="n"/>
      <c r="I960" s="27" t="n"/>
    </row>
    <row r="961">
      <c r="A961" s="23" t="inlineStr">
        <is>
          <t>IMBI4</t>
        </is>
      </c>
      <c r="B961" s="24" t="inlineStr">
        <is>
          <t>Ação</t>
        </is>
      </c>
      <c r="C961" s="24" t="n"/>
      <c r="D961" s="24" t="n"/>
      <c r="E961" s="24" t="n"/>
      <c r="F961" s="24" t="n"/>
      <c r="G961" s="29" t="inlineStr">
        <is>
          <t>0,00</t>
        </is>
      </c>
      <c r="H961" s="29" t="n"/>
      <c r="I961" s="24" t="n"/>
    </row>
    <row r="962">
      <c r="A962" s="26" t="inlineStr">
        <is>
          <t>PRTX3</t>
        </is>
      </c>
      <c r="B962" s="27" t="inlineStr">
        <is>
          <t>Ação</t>
        </is>
      </c>
      <c r="C962" s="27" t="n"/>
      <c r="D962" s="27" t="n"/>
      <c r="E962" s="27" t="n"/>
      <c r="F962" s="27" t="n"/>
      <c r="G962" s="28" t="inlineStr">
        <is>
          <t>0,00</t>
        </is>
      </c>
      <c r="H962" s="28" t="n"/>
      <c r="I962" s="27" t="n"/>
    </row>
    <row r="963">
      <c r="A963" s="23" t="inlineStr">
        <is>
          <t>BAHI5</t>
        </is>
      </c>
      <c r="B963" s="24" t="inlineStr">
        <is>
          <t>Ação</t>
        </is>
      </c>
      <c r="C963" s="24" t="n"/>
      <c r="D963" s="24" t="n"/>
      <c r="E963" s="24" t="n"/>
      <c r="F963" s="24" t="n"/>
      <c r="G963" s="29" t="inlineStr">
        <is>
          <t>0,00</t>
        </is>
      </c>
      <c r="H963" s="29" t="n"/>
      <c r="I963" s="24" t="n"/>
    </row>
    <row r="964">
      <c r="A964" s="26" t="inlineStr">
        <is>
          <t>DFVA3</t>
        </is>
      </c>
      <c r="B964" s="27" t="inlineStr">
        <is>
          <t>Ação</t>
        </is>
      </c>
      <c r="C964" s="27" t="n"/>
      <c r="D964" s="27" t="n"/>
      <c r="E964" s="27" t="n"/>
      <c r="F964" s="27" t="n"/>
      <c r="G964" s="28" t="inlineStr">
        <is>
          <t>0,00</t>
        </is>
      </c>
      <c r="H964" s="28" t="n"/>
      <c r="I964" s="27" t="n"/>
    </row>
    <row r="965">
      <c r="A965" s="23" t="inlineStr">
        <is>
          <t>ASTA4</t>
        </is>
      </c>
      <c r="B965" s="24" t="inlineStr">
        <is>
          <t>Ação</t>
        </is>
      </c>
      <c r="C965" s="24" t="n"/>
      <c r="D965" s="24" t="n"/>
      <c r="E965" s="24" t="n"/>
      <c r="F965" s="24" t="n"/>
      <c r="G965" s="29" t="inlineStr">
        <is>
          <t>0,00</t>
        </is>
      </c>
      <c r="H965" s="29" t="n"/>
      <c r="I965" s="24" t="n"/>
    </row>
    <row r="966">
      <c r="A966" s="26" t="inlineStr">
        <is>
          <t>VGOR4</t>
        </is>
      </c>
      <c r="B966" s="27" t="inlineStr">
        <is>
          <t>Ação</t>
        </is>
      </c>
      <c r="C966" s="27" t="n"/>
      <c r="D966" s="27" t="n"/>
      <c r="E966" s="27" t="n"/>
      <c r="F966" s="27" t="n"/>
      <c r="G966" s="28" t="inlineStr">
        <is>
          <t>0,00</t>
        </is>
      </c>
      <c r="H966" s="28" t="n"/>
      <c r="I966" s="27" t="n"/>
    </row>
    <row r="967">
      <c r="A967" s="23" t="inlineStr">
        <is>
          <t>CRBM3</t>
        </is>
      </c>
      <c r="B967" s="24" t="inlineStr">
        <is>
          <t>Ação</t>
        </is>
      </c>
      <c r="C967" s="24" t="n"/>
      <c r="D967" s="24" t="n"/>
      <c r="E967" s="24" t="n"/>
      <c r="F967" s="24" t="n"/>
      <c r="G967" s="29" t="inlineStr">
        <is>
          <t>0,00</t>
        </is>
      </c>
      <c r="H967" s="29" t="n"/>
      <c r="I967" s="24" t="n"/>
    </row>
    <row r="968">
      <c r="A968" s="26" t="inlineStr">
        <is>
          <t>MAPT3</t>
        </is>
      </c>
      <c r="B968" s="27" t="inlineStr">
        <is>
          <t>Ação</t>
        </is>
      </c>
      <c r="C968" s="27" t="n"/>
      <c r="D968" s="27" t="n">
        <v>3</v>
      </c>
      <c r="E968" s="27" t="inlineStr">
        <is>
          <t>93.828.986/0001-73</t>
        </is>
      </c>
      <c r="F968" s="27" t="n"/>
      <c r="G968" s="28" t="inlineStr">
        <is>
          <t>0,00</t>
        </is>
      </c>
      <c r="H968" s="28" t="n"/>
      <c r="I968" s="27" t="n"/>
    </row>
    <row r="969">
      <c r="A969" s="23" t="inlineStr">
        <is>
          <t>DFVA4</t>
        </is>
      </c>
      <c r="B969" s="24" t="inlineStr">
        <is>
          <t>Ação</t>
        </is>
      </c>
      <c r="C969" s="24" t="n"/>
      <c r="D969" s="24" t="n"/>
      <c r="E969" s="24" t="n"/>
      <c r="F969" s="24" t="n"/>
      <c r="G969" s="29" t="inlineStr">
        <is>
          <t>0,00</t>
        </is>
      </c>
      <c r="H969" s="29" t="n"/>
      <c r="I969" s="24" t="n"/>
    </row>
    <row r="970">
      <c r="A970" s="26" t="inlineStr">
        <is>
          <t>CLSA3</t>
        </is>
      </c>
      <c r="B970" s="27" t="inlineStr">
        <is>
          <t>Ação</t>
        </is>
      </c>
      <c r="C970" s="27" t="n"/>
      <c r="D970" s="27" t="n"/>
      <c r="E970" s="27" t="inlineStr">
        <is>
          <t>03.802.115/0001-98</t>
        </is>
      </c>
      <c r="F970" s="27" t="n"/>
      <c r="G970" s="28" t="inlineStr">
        <is>
          <t>0,00</t>
        </is>
      </c>
      <c r="H970" s="28" t="n"/>
      <c r="I970" s="27" t="n"/>
    </row>
    <row r="971">
      <c r="A971" s="23" t="inlineStr">
        <is>
          <t>MODL3</t>
        </is>
      </c>
      <c r="B971" s="24" t="inlineStr">
        <is>
          <t>Ação</t>
        </is>
      </c>
      <c r="C971" s="24" t="n"/>
      <c r="D971" s="24" t="n"/>
      <c r="E971" s="24" t="inlineStr">
        <is>
          <t>30.723.886/0001-62</t>
        </is>
      </c>
      <c r="F971" s="24" t="n"/>
      <c r="G971" s="29" t="inlineStr">
        <is>
          <t>0,00</t>
        </is>
      </c>
      <c r="H971" s="29" t="n"/>
      <c r="I971" s="24" t="n"/>
    </row>
    <row r="972">
      <c r="A972" s="26" t="inlineStr">
        <is>
          <t>TAMM4</t>
        </is>
      </c>
      <c r="B972" s="27" t="inlineStr">
        <is>
          <t>Ação</t>
        </is>
      </c>
      <c r="C972" s="27" t="n"/>
      <c r="D972" s="27" t="n"/>
      <c r="E972" s="27" t="n"/>
      <c r="F972" s="27" t="n"/>
      <c r="G972" s="28" t="inlineStr">
        <is>
          <t>0,00</t>
        </is>
      </c>
      <c r="H972" s="28" t="n"/>
      <c r="I972" s="27" t="n"/>
    </row>
    <row r="973">
      <c r="A973" s="23" t="inlineStr">
        <is>
          <t>TAMM3</t>
        </is>
      </c>
      <c r="B973" s="24" t="inlineStr">
        <is>
          <t>Ação</t>
        </is>
      </c>
      <c r="C973" s="24" t="n"/>
      <c r="D973" s="24" t="n"/>
      <c r="E973" s="24" t="n"/>
      <c r="F973" s="24" t="n"/>
      <c r="G973" s="29" t="inlineStr">
        <is>
          <t>0,00</t>
        </is>
      </c>
      <c r="H973" s="29" t="n"/>
      <c r="I973" s="24" t="n"/>
    </row>
    <row r="974">
      <c r="A974" s="26" t="inlineStr">
        <is>
          <t>MSPA3</t>
        </is>
      </c>
      <c r="B974" s="27" t="inlineStr">
        <is>
          <t>Ação</t>
        </is>
      </c>
      <c r="C974" s="27" t="n"/>
      <c r="D974" s="27" t="n">
        <v>47</v>
      </c>
      <c r="E974" s="27" t="inlineStr">
        <is>
          <t>60.730.348/0001-66</t>
        </is>
      </c>
      <c r="F974" s="27" t="n"/>
      <c r="G974" s="28" t="inlineStr">
        <is>
          <t>0,00</t>
        </is>
      </c>
      <c r="H974" s="28" t="n"/>
      <c r="I974" s="27" t="n"/>
    </row>
    <row r="975">
      <c r="A975" s="23" t="inlineStr">
        <is>
          <t>MODL11</t>
        </is>
      </c>
      <c r="B975" s="24" t="inlineStr">
        <is>
          <t>Ação</t>
        </is>
      </c>
      <c r="C975" s="24" t="n"/>
      <c r="D975" s="24" t="n"/>
      <c r="E975" s="24" t="inlineStr">
        <is>
          <t>30.723.886/0001-62</t>
        </is>
      </c>
      <c r="F975" s="24" t="n"/>
      <c r="G975" s="29" t="inlineStr">
        <is>
          <t>0,00</t>
        </is>
      </c>
      <c r="H975" s="29" t="n"/>
      <c r="I975" s="24" t="n"/>
    </row>
    <row r="976">
      <c r="A976" s="26" t="inlineStr">
        <is>
          <t>MODL4</t>
        </is>
      </c>
      <c r="B976" s="27" t="inlineStr">
        <is>
          <t>Ação</t>
        </is>
      </c>
      <c r="C976" s="27" t="n"/>
      <c r="D976" s="27" t="n"/>
      <c r="E976" s="27" t="inlineStr">
        <is>
          <t>30.723.886/0001-62</t>
        </is>
      </c>
      <c r="F976" s="27" t="n"/>
      <c r="G976" s="28" t="inlineStr">
        <is>
          <t>0,00</t>
        </is>
      </c>
      <c r="H976" s="28" t="n"/>
      <c r="I976" s="27" t="n"/>
    </row>
    <row r="977">
      <c r="A977" s="23" t="inlineStr">
        <is>
          <t>MSPA4</t>
        </is>
      </c>
      <c r="B977" s="24" t="inlineStr">
        <is>
          <t>Ação</t>
        </is>
      </c>
      <c r="C977" s="24" t="n"/>
      <c r="D977" s="24" t="n">
        <v>41</v>
      </c>
      <c r="E977" s="24" t="inlineStr">
        <is>
          <t>60.730.348/0001-66</t>
        </is>
      </c>
      <c r="F977" s="24" t="n"/>
      <c r="G977" s="29" t="inlineStr">
        <is>
          <t>0,00</t>
        </is>
      </c>
      <c r="H977" s="29" t="n"/>
      <c r="I977" s="24" t="n"/>
    </row>
    <row r="978">
      <c r="A978" s="26" t="inlineStr">
        <is>
          <t>CRBM7</t>
        </is>
      </c>
      <c r="B978" s="27" t="inlineStr">
        <is>
          <t>Ação</t>
        </is>
      </c>
      <c r="C978" s="27" t="n"/>
      <c r="D978" s="27" t="n"/>
      <c r="E978" s="27" t="n"/>
      <c r="F978" s="27" t="n"/>
      <c r="G978" s="28" t="inlineStr">
        <is>
          <t>0,00</t>
        </is>
      </c>
      <c r="H978" s="28" t="n"/>
      <c r="I978" s="27" t="n"/>
    </row>
    <row r="979">
      <c r="A979" s="23" t="inlineStr">
        <is>
          <t>WMBY3</t>
        </is>
      </c>
      <c r="B979" s="24" t="inlineStr">
        <is>
          <t>Ação</t>
        </is>
      </c>
      <c r="C979" s="24" t="n"/>
      <c r="D979" s="24" t="n"/>
      <c r="E979" s="24" t="n"/>
      <c r="F979" s="24" t="n"/>
      <c r="G979" s="29" t="inlineStr">
        <is>
          <t>0,00</t>
        </is>
      </c>
      <c r="H979" s="29" t="n"/>
      <c r="I979" s="24" t="n"/>
    </row>
    <row r="980">
      <c r="A980" s="26" t="inlineStr">
        <is>
          <t>BIOM4</t>
        </is>
      </c>
      <c r="B980" s="27" t="inlineStr">
        <is>
          <t>Ação</t>
        </is>
      </c>
      <c r="C980" s="27" t="n"/>
      <c r="D980" s="27" t="n"/>
      <c r="E980" s="27" t="n"/>
      <c r="F980" s="27" t="n"/>
      <c r="G980" s="28" t="inlineStr">
        <is>
          <t>0,00</t>
        </is>
      </c>
      <c r="H980" s="28" t="n"/>
      <c r="I980" s="27" t="n"/>
    </row>
    <row r="981">
      <c r="A981" s="23" t="inlineStr">
        <is>
          <t>TDBH4</t>
        </is>
      </c>
      <c r="B981" s="24" t="inlineStr">
        <is>
          <t>Ação</t>
        </is>
      </c>
      <c r="C981" s="24" t="n"/>
      <c r="D981" s="24" t="n"/>
      <c r="E981" s="24" t="n"/>
      <c r="F981" s="24" t="n"/>
      <c r="G981" s="29" t="inlineStr">
        <is>
          <t>0,00</t>
        </is>
      </c>
      <c r="H981" s="29" t="n"/>
      <c r="I981" s="24" t="n"/>
    </row>
    <row r="982">
      <c r="A982" s="26" t="inlineStr">
        <is>
          <t>TANC4</t>
        </is>
      </c>
      <c r="B982" s="27" t="inlineStr">
        <is>
          <t>Ação</t>
        </is>
      </c>
      <c r="C982" s="27" t="n"/>
      <c r="D982" s="27" t="n"/>
      <c r="E982" s="27" t="n"/>
      <c r="F982" s="27" t="n"/>
      <c r="G982" s="28" t="inlineStr">
        <is>
          <t>0,00</t>
        </is>
      </c>
      <c r="H982" s="28" t="n"/>
      <c r="I982" s="27" t="n"/>
    </row>
    <row r="983">
      <c r="A983" s="23" t="inlineStr">
        <is>
          <t>CCIM3</t>
        </is>
      </c>
      <c r="B983" s="24" t="inlineStr">
        <is>
          <t>Ação</t>
        </is>
      </c>
      <c r="C983" s="24" t="n"/>
      <c r="D983" s="24" t="n"/>
      <c r="E983" s="24" t="n"/>
      <c r="F983" s="24" t="n"/>
      <c r="G983" s="29" t="inlineStr">
        <is>
          <t>0,00</t>
        </is>
      </c>
      <c r="H983" s="29" t="n"/>
      <c r="I983" s="24" t="n"/>
    </row>
    <row r="984">
      <c r="A984" s="26" t="inlineStr">
        <is>
          <t>AESB3</t>
        </is>
      </c>
      <c r="B984" s="27" t="inlineStr">
        <is>
          <t>Ação</t>
        </is>
      </c>
      <c r="C984" s="27" t="n"/>
      <c r="D984" s="27" t="n"/>
      <c r="E984" s="27" t="inlineStr">
        <is>
          <t>37.663.076/0001-07</t>
        </is>
      </c>
      <c r="F984" s="27" t="n"/>
      <c r="G984" s="28" t="inlineStr">
        <is>
          <t>0,00</t>
        </is>
      </c>
      <c r="H984" s="28" t="n"/>
      <c r="I984" s="27" t="n"/>
    </row>
    <row r="985">
      <c r="A985" s="23" t="inlineStr">
        <is>
          <t>TDBH3</t>
        </is>
      </c>
      <c r="B985" s="24" t="inlineStr">
        <is>
          <t>Ação</t>
        </is>
      </c>
      <c r="C985" s="24" t="n"/>
      <c r="D985" s="24" t="n"/>
      <c r="E985" s="24" t="n"/>
      <c r="F985" s="24" t="n"/>
      <c r="G985" s="29" t="inlineStr">
        <is>
          <t>0,00</t>
        </is>
      </c>
      <c r="H985" s="29" t="n"/>
      <c r="I985" s="24" t="n"/>
    </row>
    <row r="986">
      <c r="A986" s="26" t="inlineStr">
        <is>
          <t>GBIO33</t>
        </is>
      </c>
      <c r="B986" s="27" t="inlineStr">
        <is>
          <t>Ação</t>
        </is>
      </c>
      <c r="C986" s="27" t="n"/>
      <c r="D986" s="27" t="n"/>
      <c r="E986" s="27" t="inlineStr">
        <is>
          <t>19.688.956/0001-56</t>
        </is>
      </c>
      <c r="F986" s="27" t="n"/>
      <c r="G986" s="28" t="inlineStr">
        <is>
          <t>0,00</t>
        </is>
      </c>
      <c r="H986" s="28" t="n"/>
      <c r="I986" s="27" t="n"/>
    </row>
    <row r="987">
      <c r="A987" s="23" t="inlineStr">
        <is>
          <t>GLOB4</t>
        </is>
      </c>
      <c r="B987" s="24" t="inlineStr">
        <is>
          <t>Ação</t>
        </is>
      </c>
      <c r="C987" s="24" t="n"/>
      <c r="D987" s="24" t="n"/>
      <c r="E987" s="24" t="n"/>
      <c r="F987" s="24" t="n"/>
      <c r="G987" s="29" t="inlineStr">
        <is>
          <t>0,00</t>
        </is>
      </c>
      <c r="H987" s="29" t="n"/>
      <c r="I987" s="24" t="n"/>
    </row>
    <row r="988">
      <c r="A988" s="26" t="inlineStr">
        <is>
          <t>LECO4</t>
        </is>
      </c>
      <c r="B988" s="27" t="inlineStr">
        <is>
          <t>Ação</t>
        </is>
      </c>
      <c r="C988" s="27" t="n"/>
      <c r="D988" s="27" t="n"/>
      <c r="E988" s="27" t="n"/>
      <c r="F988" s="27" t="n"/>
      <c r="G988" s="28" t="inlineStr">
        <is>
          <t>0,00</t>
        </is>
      </c>
      <c r="H988" s="28" t="n"/>
      <c r="I988" s="27" t="n"/>
    </row>
    <row r="989">
      <c r="A989" s="23" t="inlineStr">
        <is>
          <t>SEDU3</t>
        </is>
      </c>
      <c r="B989" s="24" t="inlineStr">
        <is>
          <t>Ação</t>
        </is>
      </c>
      <c r="C989" s="24" t="n"/>
      <c r="D989" s="24" t="n"/>
      <c r="E989" s="24" t="inlineStr">
        <is>
          <t>02.541.982/0001-54</t>
        </is>
      </c>
      <c r="F989" s="24" t="n"/>
      <c r="G989" s="29" t="inlineStr">
        <is>
          <t>0,00</t>
        </is>
      </c>
      <c r="H989" s="29" t="n"/>
      <c r="I989" s="24" t="n"/>
    </row>
    <row r="990">
      <c r="A990" s="26" t="inlineStr">
        <is>
          <t>TESA3</t>
        </is>
      </c>
      <c r="B990" s="27" t="inlineStr">
        <is>
          <t>Ação</t>
        </is>
      </c>
      <c r="C990" s="27" t="n"/>
      <c r="D990" s="27" t="n"/>
      <c r="E990" s="27" t="inlineStr">
        <is>
          <t>05.799.312/0001-20</t>
        </is>
      </c>
      <c r="F990" s="27" t="n"/>
      <c r="G990" s="28" t="inlineStr">
        <is>
          <t>0,00</t>
        </is>
      </c>
      <c r="H990" s="28" t="n"/>
      <c r="I990" s="27" t="n"/>
    </row>
    <row r="991">
      <c r="A991" s="23" t="inlineStr">
        <is>
          <t>IGUA3</t>
        </is>
      </c>
      <c r="B991" s="24" t="inlineStr">
        <is>
          <t>Ação</t>
        </is>
      </c>
      <c r="C991" s="24" t="n"/>
      <c r="D991" s="24" t="n"/>
      <c r="E991" s="24" t="n"/>
      <c r="F991" s="24" t="n"/>
      <c r="G991" s="29" t="inlineStr">
        <is>
          <t>0,00</t>
        </is>
      </c>
      <c r="H991" s="29" t="n"/>
      <c r="I991" s="24" t="n"/>
    </row>
    <row r="992">
      <c r="A992" s="26" t="inlineStr">
        <is>
          <t>FGUI3</t>
        </is>
      </c>
      <c r="B992" s="27" t="inlineStr">
        <is>
          <t>Ação</t>
        </is>
      </c>
      <c r="C992" s="27" t="n"/>
      <c r="D992" s="27" t="n"/>
      <c r="E992" s="27" t="n"/>
      <c r="F992" s="27" t="n"/>
      <c r="G992" s="28" t="inlineStr">
        <is>
          <t>0,00</t>
        </is>
      </c>
      <c r="H992" s="28" t="n"/>
      <c r="I992" s="27" t="n"/>
    </row>
    <row r="993">
      <c r="A993" s="23" t="inlineStr">
        <is>
          <t>IGUA6</t>
        </is>
      </c>
      <c r="B993" s="24" t="inlineStr">
        <is>
          <t>Ação</t>
        </is>
      </c>
      <c r="C993" s="24" t="n"/>
      <c r="D993" s="24" t="n"/>
      <c r="E993" s="24" t="n"/>
      <c r="F993" s="24" t="n"/>
      <c r="G993" s="29" t="inlineStr">
        <is>
          <t>0,00</t>
        </is>
      </c>
      <c r="H993" s="29" t="n"/>
      <c r="I993" s="24" t="n"/>
    </row>
    <row r="994">
      <c r="A994" s="26" t="inlineStr">
        <is>
          <t>IGUA5</t>
        </is>
      </c>
      <c r="B994" s="27" t="inlineStr">
        <is>
          <t>Ação</t>
        </is>
      </c>
      <c r="C994" s="27" t="n"/>
      <c r="D994" s="27" t="n"/>
      <c r="E994" s="27" t="n"/>
      <c r="F994" s="27" t="n"/>
      <c r="G994" s="28" t="inlineStr">
        <is>
          <t>0,00</t>
        </is>
      </c>
      <c r="H994" s="28" t="n"/>
      <c r="I994" s="27" t="n"/>
    </row>
    <row r="995">
      <c r="A995" s="23" t="inlineStr">
        <is>
          <t>PRVI3</t>
        </is>
      </c>
      <c r="B995" s="24" t="inlineStr">
        <is>
          <t>Ação</t>
        </is>
      </c>
      <c r="C995" s="24" t="n"/>
      <c r="D995" s="24" t="n"/>
      <c r="E995" s="24" t="n"/>
      <c r="F995" s="24" t="n"/>
      <c r="G995" s="29" t="inlineStr">
        <is>
          <t>0,00</t>
        </is>
      </c>
      <c r="H995" s="29" t="n"/>
      <c r="I995" s="24" t="n"/>
    </row>
    <row r="996">
      <c r="A996" s="26" t="inlineStr">
        <is>
          <t>MTIG3</t>
        </is>
      </c>
      <c r="B996" s="27" t="inlineStr">
        <is>
          <t>Ação</t>
        </is>
      </c>
      <c r="C996" s="27" t="n"/>
      <c r="D996" s="27" t="n"/>
      <c r="E996" s="27" t="inlineStr">
        <is>
          <t>80.227.184/0001-66</t>
        </is>
      </c>
      <c r="F996" s="27" t="n"/>
      <c r="G996" s="28" t="inlineStr">
        <is>
          <t>0,00</t>
        </is>
      </c>
      <c r="H996" s="28" t="n"/>
      <c r="I996" s="27" t="n"/>
    </row>
    <row r="997">
      <c r="A997" s="23" t="inlineStr">
        <is>
          <t>CPNY3</t>
        </is>
      </c>
      <c r="B997" s="24" t="inlineStr">
        <is>
          <t>Ação</t>
        </is>
      </c>
      <c r="C997" s="24" t="n"/>
      <c r="D997" s="24" t="n"/>
      <c r="E997" s="24" t="n"/>
      <c r="F997" s="24" t="n"/>
      <c r="G997" s="29" t="inlineStr">
        <is>
          <t>0,00</t>
        </is>
      </c>
      <c r="H997" s="29" t="n"/>
      <c r="I997" s="24" t="n"/>
    </row>
    <row r="998">
      <c r="A998" s="26" t="inlineStr">
        <is>
          <t>ECPR4</t>
        </is>
      </c>
      <c r="B998" s="27" t="inlineStr">
        <is>
          <t>Ação</t>
        </is>
      </c>
      <c r="C998" s="27" t="n"/>
      <c r="D998" s="27" t="n">
        <v>90.73999999999999</v>
      </c>
      <c r="E998" s="27" t="inlineStr">
        <is>
          <t>01.971.614/0001-83</t>
        </is>
      </c>
      <c r="F998" s="27" t="n"/>
      <c r="G998" s="28" t="inlineStr">
        <is>
          <t>0,00</t>
        </is>
      </c>
      <c r="H998" s="28" t="n"/>
      <c r="I998" s="27" t="n"/>
    </row>
    <row r="999">
      <c r="A999" s="23" t="inlineStr">
        <is>
          <t>ECPR3</t>
        </is>
      </c>
      <c r="B999" s="24" t="inlineStr">
        <is>
          <t>Ação</t>
        </is>
      </c>
      <c r="C999" s="24" t="n"/>
      <c r="D999" s="24" t="n">
        <v>90.25</v>
      </c>
      <c r="E999" s="24" t="inlineStr">
        <is>
          <t>01.971.614/0001-83</t>
        </is>
      </c>
      <c r="F999" s="24" t="n"/>
      <c r="G999" s="29" t="inlineStr">
        <is>
          <t>0,00</t>
        </is>
      </c>
      <c r="H999" s="29" t="n"/>
      <c r="I999" s="24" t="n"/>
    </row>
    <row r="1000">
      <c r="A1000" s="26" t="inlineStr">
        <is>
          <t>TERI3</t>
        </is>
      </c>
      <c r="B1000" s="27" t="inlineStr">
        <is>
          <t>Ação</t>
        </is>
      </c>
      <c r="C1000" s="27" t="n"/>
      <c r="D1000" s="27" t="n"/>
      <c r="E1000" s="27" t="n"/>
      <c r="F1000" s="27" t="n"/>
      <c r="G1000" s="28" t="inlineStr">
        <is>
          <t>0,00</t>
        </is>
      </c>
      <c r="H1000" s="28" t="n"/>
      <c r="I1000" s="27" t="n"/>
    </row>
    <row r="1001">
      <c r="A1001" s="23" t="inlineStr">
        <is>
          <t>NATU3</t>
        </is>
      </c>
      <c r="B1001" s="24" t="inlineStr">
        <is>
          <t>Ação</t>
        </is>
      </c>
      <c r="C1001" s="24" t="n"/>
      <c r="D1001" s="24" t="n">
        <v>8.73</v>
      </c>
      <c r="E1001" s="24" t="inlineStr">
        <is>
          <t>71.673.990/0001-77</t>
        </is>
      </c>
      <c r="F1001" s="24" t="n"/>
      <c r="G1001" s="29" t="inlineStr">
        <is>
          <t>0,00</t>
        </is>
      </c>
      <c r="H1001" s="29" t="n"/>
      <c r="I1001" s="24" t="n"/>
    </row>
    <row r="1002">
      <c r="A1002" s="26" t="inlineStr">
        <is>
          <t>SEMP3</t>
        </is>
      </c>
      <c r="B1002" s="27" t="inlineStr">
        <is>
          <t>Ação</t>
        </is>
      </c>
      <c r="C1002" s="27" t="n"/>
      <c r="D1002" s="27" t="n"/>
      <c r="E1002" s="27" t="n"/>
      <c r="F1002" s="27" t="n"/>
      <c r="G1002" s="28" t="inlineStr">
        <is>
          <t>0,00</t>
        </is>
      </c>
      <c r="H1002" s="28" t="n"/>
      <c r="I1002" s="27" t="n"/>
    </row>
    <row r="1003">
      <c r="A1003" s="23" t="inlineStr">
        <is>
          <t>SZPQ4</t>
        </is>
      </c>
      <c r="B1003" s="24" t="inlineStr">
        <is>
          <t>Ação</t>
        </is>
      </c>
      <c r="C1003" s="24" t="n"/>
      <c r="D1003" s="24" t="n"/>
      <c r="E1003" s="24" t="n"/>
      <c r="F1003" s="24" t="n"/>
      <c r="G1003" s="29" t="inlineStr">
        <is>
          <t>0,00</t>
        </is>
      </c>
      <c r="H1003" s="29" t="n"/>
      <c r="I1003" s="24" t="n"/>
    </row>
    <row r="1004">
      <c r="A1004" s="26" t="inlineStr">
        <is>
          <t>MEDI3</t>
        </is>
      </c>
      <c r="B1004" s="27" t="inlineStr">
        <is>
          <t>Ação</t>
        </is>
      </c>
      <c r="C1004" s="27" t="n"/>
      <c r="D1004" s="27" t="n"/>
      <c r="E1004" s="27" t="n"/>
      <c r="F1004" s="27" t="n"/>
      <c r="G1004" s="28" t="inlineStr">
        <is>
          <t>0,00</t>
        </is>
      </c>
      <c r="H1004" s="28" t="n"/>
      <c r="I1004" s="27" t="n"/>
    </row>
    <row r="1005">
      <c r="A1005" s="23" t="inlineStr">
        <is>
          <t>TCNO3</t>
        </is>
      </c>
      <c r="B1005" s="24" t="inlineStr">
        <is>
          <t>Ação</t>
        </is>
      </c>
      <c r="C1005" s="24" t="n"/>
      <c r="D1005" s="24" t="n"/>
      <c r="E1005" s="24" t="inlineStr">
        <is>
          <t>33.111.246/0001-90</t>
        </is>
      </c>
      <c r="F1005" s="24" t="n"/>
      <c r="G1005" s="29" t="inlineStr">
        <is>
          <t>0,00</t>
        </is>
      </c>
      <c r="H1005" s="29" t="n"/>
      <c r="I1005" s="24" t="n"/>
    </row>
    <row r="1006">
      <c r="A1006" s="26" t="inlineStr">
        <is>
          <t>BLUT3</t>
        </is>
      </c>
      <c r="B1006" s="27" t="inlineStr">
        <is>
          <t>Ação</t>
        </is>
      </c>
      <c r="C1006" s="27" t="n"/>
      <c r="D1006" s="27" t="n"/>
      <c r="E1006" s="27" t="inlineStr">
        <is>
          <t>60.637.238/0001-54</t>
        </is>
      </c>
      <c r="F1006" s="27" t="n"/>
      <c r="G1006" s="28" t="inlineStr">
        <is>
          <t>0,00</t>
        </is>
      </c>
      <c r="H1006" s="28" t="n"/>
      <c r="I1006" s="27" t="n"/>
    </row>
    <row r="1007">
      <c r="A1007" s="23" t="inlineStr">
        <is>
          <t>BUET3</t>
        </is>
      </c>
      <c r="B1007" s="24" t="inlineStr">
        <is>
          <t>Ação</t>
        </is>
      </c>
      <c r="C1007" s="24" t="n"/>
      <c r="D1007" s="24" t="n"/>
      <c r="E1007" s="24" t="n"/>
      <c r="F1007" s="24" t="n"/>
      <c r="G1007" s="29" t="inlineStr">
        <is>
          <t>0,00</t>
        </is>
      </c>
      <c r="H1007" s="29" t="n"/>
      <c r="I1007" s="24" t="n"/>
    </row>
    <row r="1008">
      <c r="A1008" s="26" t="inlineStr">
        <is>
          <t>TLCP3</t>
        </is>
      </c>
      <c r="B1008" s="27" t="inlineStr">
        <is>
          <t>Ação</t>
        </is>
      </c>
      <c r="C1008" s="27" t="n"/>
      <c r="D1008" s="27" t="n"/>
      <c r="E1008" s="27" t="n"/>
      <c r="F1008" s="27" t="n"/>
      <c r="G1008" s="28" t="inlineStr">
        <is>
          <t>0,00</t>
        </is>
      </c>
      <c r="H1008" s="28" t="n"/>
      <c r="I1008" s="27" t="n"/>
    </row>
    <row r="1009">
      <c r="A1009" s="23" t="inlineStr">
        <is>
          <t>LFFE4</t>
        </is>
      </c>
      <c r="B1009" s="24" t="inlineStr">
        <is>
          <t>Ação</t>
        </is>
      </c>
      <c r="C1009" s="24" t="n"/>
      <c r="D1009" s="24" t="n"/>
      <c r="E1009" s="24" t="n"/>
      <c r="F1009" s="24" t="n"/>
      <c r="G1009" s="29" t="inlineStr">
        <is>
          <t>0,00</t>
        </is>
      </c>
      <c r="H1009" s="29" t="n"/>
      <c r="I1009" s="24" t="n"/>
    </row>
    <row r="1010">
      <c r="A1010" s="26" t="inlineStr">
        <is>
          <t>CGOS3</t>
        </is>
      </c>
      <c r="B1010" s="27" t="inlineStr">
        <is>
          <t>Ação</t>
        </is>
      </c>
      <c r="C1010" s="27" t="n"/>
      <c r="D1010" s="27" t="n"/>
      <c r="E1010" s="27" t="n"/>
      <c r="F1010" s="27" t="n"/>
      <c r="G1010" s="28" t="inlineStr">
        <is>
          <t>0,00</t>
        </is>
      </c>
      <c r="H1010" s="28" t="n"/>
      <c r="I1010" s="27" t="n"/>
    </row>
    <row r="1011">
      <c r="A1011" s="23" t="inlineStr">
        <is>
          <t>TCNO4</t>
        </is>
      </c>
      <c r="B1011" s="24" t="inlineStr">
        <is>
          <t>Ação</t>
        </is>
      </c>
      <c r="C1011" s="24" t="n"/>
      <c r="D1011" s="24" t="n"/>
      <c r="E1011" s="24" t="inlineStr">
        <is>
          <t>33.111.246/0001-90</t>
        </is>
      </c>
      <c r="F1011" s="24" t="n"/>
      <c r="G1011" s="29" t="inlineStr">
        <is>
          <t>0,00</t>
        </is>
      </c>
      <c r="H1011" s="29" t="n"/>
      <c r="I1011" s="24" t="n"/>
    </row>
    <row r="1012">
      <c r="A1012" s="26" t="inlineStr">
        <is>
          <t>RIOS3</t>
        </is>
      </c>
      <c r="B1012" s="27" t="inlineStr">
        <is>
          <t>Ação</t>
        </is>
      </c>
      <c r="C1012" s="27" t="n"/>
      <c r="D1012" s="27" t="n">
        <v>30.5</v>
      </c>
      <c r="E1012" s="27" t="n"/>
      <c r="F1012" s="27" t="n"/>
      <c r="G1012" s="28" t="inlineStr">
        <is>
          <t>0,00</t>
        </is>
      </c>
      <c r="H1012" s="28" t="n"/>
      <c r="I1012" s="27" t="n"/>
    </row>
    <row r="1013">
      <c r="A1013" s="23" t="inlineStr">
        <is>
          <t>PRML3</t>
        </is>
      </c>
      <c r="B1013" s="24" t="inlineStr">
        <is>
          <t>Ação</t>
        </is>
      </c>
      <c r="C1013" s="24" t="n"/>
      <c r="D1013" s="24" t="n"/>
      <c r="E1013" s="24" t="n"/>
      <c r="F1013" s="24" t="n"/>
      <c r="G1013" s="29" t="inlineStr">
        <is>
          <t>0,00</t>
        </is>
      </c>
      <c r="H1013" s="29" t="n"/>
      <c r="I1013" s="24" t="n"/>
    </row>
    <row r="1014">
      <c r="A1014" s="26" t="inlineStr">
        <is>
          <t>ADHM3</t>
        </is>
      </c>
      <c r="B1014" s="27" t="inlineStr">
        <is>
          <t>Ação</t>
        </is>
      </c>
      <c r="C1014" s="27" t="n"/>
      <c r="D1014" s="27" t="n">
        <v>1.56</v>
      </c>
      <c r="E1014" s="27" t="inlineStr">
        <is>
          <t>10.345.009/0001-98</t>
        </is>
      </c>
      <c r="F1014" s="27" t="n"/>
      <c r="G1014" s="28" t="inlineStr">
        <is>
          <t>0,00</t>
        </is>
      </c>
      <c r="H1014" s="28" t="n"/>
      <c r="I1014" s="27" t="n"/>
    </row>
    <row r="1015">
      <c r="A1015" s="23" t="inlineStr">
        <is>
          <t>BUET4</t>
        </is>
      </c>
      <c r="B1015" s="24" t="inlineStr">
        <is>
          <t>Ação</t>
        </is>
      </c>
      <c r="C1015" s="24" t="n"/>
      <c r="D1015" s="24" t="n"/>
      <c r="E1015" s="24" t="n"/>
      <c r="F1015" s="24" t="n"/>
      <c r="G1015" s="29" t="inlineStr">
        <is>
          <t>0,00</t>
        </is>
      </c>
      <c r="H1015" s="29" t="n"/>
      <c r="I1015" s="24" t="n"/>
    </row>
    <row r="1016">
      <c r="A1016" s="26" t="inlineStr">
        <is>
          <t>PMET5</t>
        </is>
      </c>
      <c r="B1016" s="27" t="inlineStr">
        <is>
          <t>Ação</t>
        </is>
      </c>
      <c r="C1016" s="27" t="n"/>
      <c r="D1016" s="27" t="n"/>
      <c r="E1016" s="27" t="n"/>
      <c r="F1016" s="27" t="n"/>
      <c r="G1016" s="28" t="inlineStr">
        <is>
          <t>0,00</t>
        </is>
      </c>
      <c r="H1016" s="28" t="n"/>
      <c r="I1016" s="27" t="n"/>
    </row>
    <row r="1017">
      <c r="A1017" s="23" t="inlineStr">
        <is>
          <t>LFFE3</t>
        </is>
      </c>
      <c r="B1017" s="24" t="inlineStr">
        <is>
          <t>Ação</t>
        </is>
      </c>
      <c r="C1017" s="24" t="n"/>
      <c r="D1017" s="24" t="n"/>
      <c r="E1017" s="24" t="n"/>
      <c r="F1017" s="24" t="n"/>
      <c r="G1017" s="29" t="inlineStr">
        <is>
          <t>0,00</t>
        </is>
      </c>
      <c r="H1017" s="29" t="n"/>
      <c r="I1017" s="24" t="n"/>
    </row>
    <row r="1018">
      <c r="A1018" s="26" t="inlineStr">
        <is>
          <t>FBMC3</t>
        </is>
      </c>
      <c r="B1018" s="27" t="inlineStr">
        <is>
          <t>Ação</t>
        </is>
      </c>
      <c r="C1018" s="27" t="n"/>
      <c r="D1018" s="27" t="n"/>
      <c r="E1018" s="27" t="inlineStr">
        <is>
          <t>61.410.395/0001-95</t>
        </is>
      </c>
      <c r="F1018" s="27" t="n"/>
      <c r="G1018" s="28" t="inlineStr">
        <is>
          <t>0,00</t>
        </is>
      </c>
      <c r="H1018" s="28" t="n"/>
      <c r="I1018" s="27" t="n"/>
    </row>
    <row r="1019">
      <c r="A1019" s="23" t="inlineStr">
        <is>
          <t>TLCP4</t>
        </is>
      </c>
      <c r="B1019" s="24" t="inlineStr">
        <is>
          <t>Ação</t>
        </is>
      </c>
      <c r="C1019" s="24" t="n"/>
      <c r="D1019" s="24" t="n"/>
      <c r="E1019" s="24" t="n"/>
      <c r="F1019" s="24" t="n"/>
      <c r="G1019" s="29" t="inlineStr">
        <is>
          <t>0,00</t>
        </is>
      </c>
      <c r="H1019" s="29" t="n"/>
      <c r="I1019" s="24" t="n"/>
    </row>
    <row r="1020">
      <c r="A1020" s="26" t="inlineStr">
        <is>
          <t>BECE3</t>
        </is>
      </c>
      <c r="B1020" s="27" t="inlineStr">
        <is>
          <t>Ação</t>
        </is>
      </c>
      <c r="C1020" s="27" t="n"/>
      <c r="D1020" s="27" t="n"/>
      <c r="E1020" s="27" t="n"/>
      <c r="F1020" s="27" t="n"/>
      <c r="G1020" s="28" t="inlineStr">
        <is>
          <t>0,00</t>
        </is>
      </c>
      <c r="H1020" s="28" t="n"/>
      <c r="I1020" s="27" t="n"/>
    </row>
    <row r="1021">
      <c r="A1021" s="23" t="inlineStr">
        <is>
          <t>BECE4</t>
        </is>
      </c>
      <c r="B1021" s="24" t="inlineStr">
        <is>
          <t>Ação</t>
        </is>
      </c>
      <c r="C1021" s="24" t="n"/>
      <c r="D1021" s="24" t="n"/>
      <c r="E1021" s="24" t="n"/>
      <c r="F1021" s="24" t="n"/>
      <c r="G1021" s="29" t="inlineStr">
        <is>
          <t>0,00</t>
        </is>
      </c>
      <c r="H1021" s="29" t="n"/>
      <c r="I1021" s="24" t="n"/>
    </row>
    <row r="1022">
      <c r="A1022" s="26" t="inlineStr">
        <is>
          <t>USIM6</t>
        </is>
      </c>
      <c r="B1022" s="27" t="inlineStr">
        <is>
          <t>Ação</t>
        </is>
      </c>
      <c r="C1022" s="27" t="n"/>
      <c r="D1022" s="27" t="n">
        <v>8</v>
      </c>
      <c r="E1022" s="27" t="inlineStr">
        <is>
          <t>60.894.730/0001-05</t>
        </is>
      </c>
      <c r="F1022" s="27" t="n"/>
      <c r="G1022" s="28" t="inlineStr">
        <is>
          <t>0,00</t>
        </is>
      </c>
      <c r="H1022" s="28" t="n"/>
      <c r="I1022" s="27" t="n"/>
    </row>
    <row r="1023">
      <c r="A1023" s="23" t="inlineStr">
        <is>
          <t>PNOR6</t>
        </is>
      </c>
      <c r="B1023" s="24" t="inlineStr">
        <is>
          <t>Ação</t>
        </is>
      </c>
      <c r="C1023" s="24" t="n"/>
      <c r="D1023" s="24" t="n"/>
      <c r="E1023" s="24" t="n"/>
      <c r="F1023" s="24" t="n"/>
      <c r="G1023" s="29" t="inlineStr">
        <is>
          <t>0,00</t>
        </is>
      </c>
      <c r="H1023" s="29" t="n"/>
      <c r="I1023" s="24" t="n"/>
    </row>
    <row r="1024">
      <c r="A1024" s="26" t="inlineStr">
        <is>
          <t>PNOR5</t>
        </is>
      </c>
      <c r="B1024" s="27" t="inlineStr">
        <is>
          <t>Ação</t>
        </is>
      </c>
      <c r="C1024" s="27" t="n"/>
      <c r="D1024" s="27" t="n"/>
      <c r="E1024" s="27" t="n"/>
      <c r="F1024" s="27" t="n"/>
      <c r="G1024" s="28" t="inlineStr">
        <is>
          <t>0,00</t>
        </is>
      </c>
      <c r="H1024" s="28" t="n"/>
      <c r="I1024" s="27" t="n"/>
    </row>
    <row r="1025">
      <c r="A1025" s="23" t="inlineStr">
        <is>
          <t>STRP4</t>
        </is>
      </c>
      <c r="B1025" s="24" t="inlineStr">
        <is>
          <t>Ação</t>
        </is>
      </c>
      <c r="C1025" s="24" t="n"/>
      <c r="D1025" s="24" t="n"/>
      <c r="E1025" s="24" t="n"/>
      <c r="F1025" s="24" t="n"/>
      <c r="G1025" s="29" t="inlineStr">
        <is>
          <t>0,00</t>
        </is>
      </c>
      <c r="H1025" s="29" t="n"/>
      <c r="I1025" s="24" t="n"/>
    </row>
    <row r="1026">
      <c r="A1026" s="26" t="inlineStr">
        <is>
          <t>SOMA3</t>
        </is>
      </c>
      <c r="B1026" s="27" t="inlineStr">
        <is>
          <t>Ação</t>
        </is>
      </c>
      <c r="C1026" s="27" t="n"/>
      <c r="D1026" s="27" t="n"/>
      <c r="E1026" s="27" t="inlineStr">
        <is>
          <t>10.285.590/0001-08</t>
        </is>
      </c>
      <c r="F1026" s="27" t="n"/>
      <c r="G1026" s="28" t="inlineStr">
        <is>
          <t>0,00</t>
        </is>
      </c>
      <c r="H1026" s="28" t="n"/>
      <c r="I1026" s="27" t="n"/>
    </row>
    <row r="1027">
      <c r="A1027" s="23" t="inlineStr">
        <is>
          <t>LIXC3</t>
        </is>
      </c>
      <c r="B1027" s="24" t="inlineStr">
        <is>
          <t>Ação</t>
        </is>
      </c>
      <c r="C1027" s="24" t="n"/>
      <c r="D1027" s="24" t="n"/>
      <c r="E1027" s="24" t="n"/>
      <c r="F1027" s="24" t="n"/>
      <c r="G1027" s="29" t="inlineStr">
        <is>
          <t>0,00</t>
        </is>
      </c>
      <c r="H1027" s="29" t="n"/>
      <c r="I1027" s="24" t="n"/>
    </row>
    <row r="1028">
      <c r="A1028" s="26" t="inlineStr">
        <is>
          <t>BICB4</t>
        </is>
      </c>
      <c r="B1028" s="27" t="inlineStr">
        <is>
          <t>Ação</t>
        </is>
      </c>
      <c r="C1028" s="27" t="n"/>
      <c r="D1028" s="27" t="n"/>
      <c r="E1028" s="27" t="n"/>
      <c r="F1028" s="27" t="n"/>
      <c r="G1028" s="28" t="inlineStr">
        <is>
          <t>0,00</t>
        </is>
      </c>
      <c r="H1028" s="28" t="n"/>
      <c r="I1028" s="27" t="n"/>
    </row>
    <row r="1029">
      <c r="A1029" s="23" t="inlineStr">
        <is>
          <t>VVAR11</t>
        </is>
      </c>
      <c r="B1029" s="24" t="inlineStr">
        <is>
          <t>Ação</t>
        </is>
      </c>
      <c r="C1029" s="24" t="n"/>
      <c r="D1029" s="24" t="n"/>
      <c r="E1029" s="24" t="n"/>
      <c r="F1029" s="24" t="n"/>
      <c r="G1029" s="29" t="inlineStr">
        <is>
          <t>0,00</t>
        </is>
      </c>
      <c r="H1029" s="29" t="n"/>
      <c r="I1029" s="24" t="n"/>
    </row>
    <row r="1030">
      <c r="A1030" s="26" t="inlineStr">
        <is>
          <t>VVAR4</t>
        </is>
      </c>
      <c r="B1030" s="27" t="inlineStr">
        <is>
          <t>Ação</t>
        </is>
      </c>
      <c r="C1030" s="27" t="n"/>
      <c r="D1030" s="27" t="n"/>
      <c r="E1030" s="27" t="inlineStr">
        <is>
          <t>33.041.260/0652-90</t>
        </is>
      </c>
      <c r="F1030" s="27" t="n"/>
      <c r="G1030" s="28" t="inlineStr">
        <is>
          <t>0,00</t>
        </is>
      </c>
      <c r="H1030" s="28" t="n"/>
      <c r="I1030" s="27" t="n"/>
    </row>
    <row r="1031">
      <c r="A1031" s="23" t="inlineStr">
        <is>
          <t>BICB3</t>
        </is>
      </c>
      <c r="B1031" s="24" t="inlineStr">
        <is>
          <t>Ação</t>
        </is>
      </c>
      <c r="C1031" s="24" t="n"/>
      <c r="D1031" s="24" t="n"/>
      <c r="E1031" s="24" t="n"/>
      <c r="F1031" s="24" t="n"/>
      <c r="G1031" s="29" t="inlineStr">
        <is>
          <t>0,00</t>
        </is>
      </c>
      <c r="H1031" s="29" t="n"/>
      <c r="I1031" s="24" t="n"/>
    </row>
    <row r="1032">
      <c r="A1032" s="26" t="inlineStr">
        <is>
          <t>DMFN3</t>
        </is>
      </c>
      <c r="B1032" s="27" t="inlineStr">
        <is>
          <t>Ação</t>
        </is>
      </c>
      <c r="C1032" s="27" t="n"/>
      <c r="D1032" s="27" t="n"/>
      <c r="E1032" s="27" t="n"/>
      <c r="F1032" s="27" t="n"/>
      <c r="G1032" s="28" t="inlineStr">
        <is>
          <t>0,00</t>
        </is>
      </c>
      <c r="H1032" s="28" t="n"/>
      <c r="I1032" s="27" t="n"/>
    </row>
    <row r="1033">
      <c r="A1033" s="23" t="inlineStr">
        <is>
          <t>ARLA4</t>
        </is>
      </c>
      <c r="B1033" s="24" t="inlineStr">
        <is>
          <t>Ação</t>
        </is>
      </c>
      <c r="C1033" s="24" t="n"/>
      <c r="D1033" s="24" t="n"/>
      <c r="E1033" s="24" t="n"/>
      <c r="F1033" s="24" t="n"/>
      <c r="G1033" s="29" t="inlineStr">
        <is>
          <t>0,00</t>
        </is>
      </c>
      <c r="H1033" s="29" t="n"/>
      <c r="I1033" s="24" t="n"/>
    </row>
    <row r="1034">
      <c r="A1034" s="26" t="inlineStr">
        <is>
          <t>CEED4</t>
        </is>
      </c>
      <c r="B1034" s="27" t="inlineStr">
        <is>
          <t>Ação</t>
        </is>
      </c>
      <c r="C1034" s="27" t="n"/>
      <c r="D1034" s="27" t="n">
        <v>20</v>
      </c>
      <c r="E1034" s="27" t="inlineStr">
        <is>
          <t>08.467.115/0001-00</t>
        </is>
      </c>
      <c r="F1034" s="27" t="n"/>
      <c r="G1034" s="28" t="inlineStr">
        <is>
          <t>0,00</t>
        </is>
      </c>
      <c r="H1034" s="28" t="n"/>
      <c r="I1034" s="27" t="n"/>
    </row>
    <row r="1035">
      <c r="A1035" s="23" t="inlineStr">
        <is>
          <t>LIXC4</t>
        </is>
      </c>
      <c r="B1035" s="24" t="inlineStr">
        <is>
          <t>Ação</t>
        </is>
      </c>
      <c r="C1035" s="24" t="n"/>
      <c r="D1035" s="24" t="n"/>
      <c r="E1035" s="24" t="n"/>
      <c r="F1035" s="24" t="n"/>
      <c r="G1035" s="29" t="inlineStr">
        <is>
          <t>0,00</t>
        </is>
      </c>
      <c r="H1035" s="29" t="n"/>
      <c r="I1035" s="24" t="n"/>
    </row>
    <row r="1036">
      <c r="A1036" s="26" t="inlineStr">
        <is>
          <t>MMXM3</t>
        </is>
      </c>
      <c r="B1036" s="27" t="inlineStr">
        <is>
          <t>Ação</t>
        </is>
      </c>
      <c r="C1036" s="27" t="n"/>
      <c r="D1036" s="27" t="n"/>
      <c r="E1036" s="27" t="inlineStr">
        <is>
          <t>02.762.115/0001-49</t>
        </is>
      </c>
      <c r="F1036" s="27" t="n"/>
      <c r="G1036" s="28" t="inlineStr">
        <is>
          <t>0,00</t>
        </is>
      </c>
      <c r="H1036" s="28" t="n"/>
      <c r="I1036" s="27" t="n"/>
    </row>
    <row r="1037">
      <c r="A1037" s="23" t="inlineStr">
        <is>
          <t>OGXP3</t>
        </is>
      </c>
      <c r="B1037" s="24" t="inlineStr">
        <is>
          <t>Ação</t>
        </is>
      </c>
      <c r="C1037" s="24" t="n"/>
      <c r="D1037" s="24" t="n"/>
      <c r="E1037" s="24" t="inlineStr">
        <is>
          <t>07.957.093/0001-96</t>
        </is>
      </c>
      <c r="F1037" s="24" t="n"/>
      <c r="G1037" s="29" t="inlineStr">
        <is>
          <t>0,00</t>
        </is>
      </c>
      <c r="H1037" s="29" t="n"/>
      <c r="I1037" s="24" t="n"/>
    </row>
    <row r="1038">
      <c r="A1038" s="26" t="inlineStr">
        <is>
          <t>NTCO3</t>
        </is>
      </c>
      <c r="B1038" s="27" t="inlineStr">
        <is>
          <t>Ação</t>
        </is>
      </c>
      <c r="C1038" s="27" t="n"/>
      <c r="D1038" s="27" t="n"/>
      <c r="E1038" s="27" t="inlineStr">
        <is>
          <t>32.785.497/0001-97</t>
        </is>
      </c>
      <c r="F1038" s="27" t="n"/>
      <c r="G1038" s="28" t="inlineStr">
        <is>
          <t>0,00</t>
        </is>
      </c>
      <c r="H1038" s="28" t="n"/>
      <c r="I1038" s="27" t="n"/>
    </row>
    <row r="1039">
      <c r="A1039" s="23" t="inlineStr">
        <is>
          <t>VTLM3</t>
        </is>
      </c>
      <c r="B1039" s="24" t="inlineStr">
        <is>
          <t>Ação</t>
        </is>
      </c>
      <c r="C1039" s="24" t="n"/>
      <c r="D1039" s="24" t="n"/>
      <c r="E1039" s="24" t="n"/>
      <c r="F1039" s="24" t="n"/>
      <c r="G1039" s="29" t="inlineStr">
        <is>
          <t>0,00</t>
        </is>
      </c>
      <c r="H1039" s="29" t="n"/>
      <c r="I1039" s="24" t="n"/>
    </row>
    <row r="1040">
      <c r="A1040" s="26" t="inlineStr">
        <is>
          <t>KRSA3</t>
        </is>
      </c>
      <c r="B1040" s="27" t="inlineStr">
        <is>
          <t>Ação</t>
        </is>
      </c>
      <c r="C1040" s="27" t="n"/>
      <c r="D1040" s="27" t="n"/>
      <c r="E1040" s="27" t="inlineStr">
        <is>
          <t>13.270.520/0001-66</t>
        </is>
      </c>
      <c r="F1040" s="27" t="n"/>
      <c r="G1040" s="28" t="inlineStr">
        <is>
          <t>0,00</t>
        </is>
      </c>
      <c r="H1040" s="28" t="n"/>
      <c r="I1040" s="27" t="n"/>
    </row>
    <row r="1041">
      <c r="A1041" s="23" t="inlineStr">
        <is>
          <t>SJOS3</t>
        </is>
      </c>
      <c r="B1041" s="24" t="inlineStr">
        <is>
          <t>Ação</t>
        </is>
      </c>
      <c r="C1041" s="24" t="n"/>
      <c r="D1041" s="24" t="n"/>
      <c r="E1041" s="24" t="n"/>
      <c r="F1041" s="24" t="n"/>
      <c r="G1041" s="29" t="inlineStr">
        <is>
          <t>0,00</t>
        </is>
      </c>
      <c r="H1041" s="29" t="n"/>
      <c r="I1041" s="24" t="n"/>
    </row>
    <row r="1042">
      <c r="A1042" s="26" t="inlineStr">
        <is>
          <t>PTBL4</t>
        </is>
      </c>
      <c r="B1042" s="27" t="inlineStr">
        <is>
          <t>Ação</t>
        </is>
      </c>
      <c r="C1042" s="27" t="n"/>
      <c r="D1042" s="27" t="n"/>
      <c r="E1042" s="27" t="n"/>
      <c r="F1042" s="27" t="n"/>
      <c r="G1042" s="28" t="inlineStr">
        <is>
          <t>0,00</t>
        </is>
      </c>
      <c r="H1042" s="28" t="n"/>
      <c r="I1042" s="27" t="n"/>
    </row>
    <row r="1043">
      <c r="A1043" s="23" t="inlineStr">
        <is>
          <t>ARCZ3</t>
        </is>
      </c>
      <c r="B1043" s="24" t="inlineStr">
        <is>
          <t>Ação</t>
        </is>
      </c>
      <c r="C1043" s="24" t="n"/>
      <c r="D1043" s="24" t="n"/>
      <c r="E1043" s="24" t="n"/>
      <c r="F1043" s="24" t="n"/>
      <c r="G1043" s="29" t="inlineStr">
        <is>
          <t>0,00</t>
        </is>
      </c>
      <c r="H1043" s="29" t="n"/>
      <c r="I1043" s="24" t="n"/>
    </row>
    <row r="1044">
      <c r="A1044" s="26" t="inlineStr">
        <is>
          <t>ARCZ6</t>
        </is>
      </c>
      <c r="B1044" s="27" t="inlineStr">
        <is>
          <t>Ação</t>
        </is>
      </c>
      <c r="C1044" s="27" t="n"/>
      <c r="D1044" s="27" t="n"/>
      <c r="E1044" s="27" t="n"/>
      <c r="F1044" s="27" t="n"/>
      <c r="G1044" s="28" t="inlineStr">
        <is>
          <t>0,00</t>
        </is>
      </c>
      <c r="H1044" s="28" t="n"/>
      <c r="I1044" s="27" t="n"/>
    </row>
    <row r="1045">
      <c r="A1045" s="23" t="inlineStr">
        <is>
          <t>BISA3</t>
        </is>
      </c>
      <c r="B1045" s="24" t="inlineStr">
        <is>
          <t>Ação</t>
        </is>
      </c>
      <c r="C1045" s="24" t="n"/>
      <c r="D1045" s="24" t="n"/>
      <c r="E1045" s="24" t="n"/>
      <c r="F1045" s="24" t="n"/>
      <c r="G1045" s="29" t="inlineStr">
        <is>
          <t>0,00</t>
        </is>
      </c>
      <c r="H1045" s="29" t="n"/>
      <c r="I1045" s="24" t="n"/>
    </row>
    <row r="1046">
      <c r="A1046" s="26" t="inlineStr">
        <is>
          <t>BCAL6</t>
        </is>
      </c>
      <c r="B1046" s="27" t="inlineStr">
        <is>
          <t>Ação</t>
        </is>
      </c>
      <c r="C1046" s="27" t="n"/>
      <c r="D1046" s="27" t="n"/>
      <c r="E1046" s="27" t="n"/>
      <c r="F1046" s="27" t="n"/>
      <c r="G1046" s="28" t="inlineStr">
        <is>
          <t>0,00</t>
        </is>
      </c>
      <c r="H1046" s="28" t="n"/>
      <c r="I1046" s="27" t="n"/>
    </row>
    <row r="1047">
      <c r="A1047" s="23" t="inlineStr">
        <is>
          <t>DJON4</t>
        </is>
      </c>
      <c r="B1047" s="24" t="inlineStr">
        <is>
          <t>Ação</t>
        </is>
      </c>
      <c r="C1047" s="24" t="n"/>
      <c r="D1047" s="24" t="n"/>
      <c r="E1047" s="24" t="n"/>
      <c r="F1047" s="24" t="n"/>
      <c r="G1047" s="29" t="inlineStr">
        <is>
          <t>0,00</t>
        </is>
      </c>
      <c r="H1047" s="29" t="n"/>
      <c r="I1047" s="24" t="n"/>
    </row>
    <row r="1048">
      <c r="A1048" s="26" t="inlineStr">
        <is>
          <t>SPRI6</t>
        </is>
      </c>
      <c r="B1048" s="27" t="inlineStr">
        <is>
          <t>Ação</t>
        </is>
      </c>
      <c r="C1048" s="27" t="n"/>
      <c r="D1048" s="27" t="n"/>
      <c r="E1048" s="27" t="n"/>
      <c r="F1048" s="27" t="n"/>
      <c r="G1048" s="28" t="inlineStr">
        <is>
          <t>0,00</t>
        </is>
      </c>
      <c r="H1048" s="28" t="n"/>
      <c r="I1048" s="27" t="n"/>
    </row>
    <row r="1049">
      <c r="A1049" s="23" t="inlineStr">
        <is>
          <t>BLUT4</t>
        </is>
      </c>
      <c r="B1049" s="24" t="inlineStr">
        <is>
          <t>Ação</t>
        </is>
      </c>
      <c r="C1049" s="24" t="n"/>
      <c r="D1049" s="24" t="n"/>
      <c r="E1049" s="24" t="inlineStr">
        <is>
          <t>60.637.238/0001-54</t>
        </is>
      </c>
      <c r="F1049" s="24" t="n"/>
      <c r="G1049" s="29" t="inlineStr">
        <is>
          <t>0,00</t>
        </is>
      </c>
      <c r="H1049" s="29" t="n"/>
      <c r="I1049" s="24" t="n"/>
    </row>
    <row r="1050">
      <c r="A1050" s="26" t="inlineStr">
        <is>
          <t>ARLA3</t>
        </is>
      </c>
      <c r="B1050" s="27" t="inlineStr">
        <is>
          <t>Ação</t>
        </is>
      </c>
      <c r="C1050" s="27" t="n"/>
      <c r="D1050" s="27" t="n"/>
      <c r="E1050" s="27" t="n"/>
      <c r="F1050" s="27" t="n"/>
      <c r="G1050" s="28" t="inlineStr">
        <is>
          <t>0,00</t>
        </is>
      </c>
      <c r="H1050" s="28" t="n"/>
      <c r="I1050" s="27" t="n"/>
    </row>
    <row r="1051">
      <c r="A1051" s="23" t="inlineStr">
        <is>
          <t>SPRI3</t>
        </is>
      </c>
      <c r="B1051" s="24" t="inlineStr">
        <is>
          <t>Ação</t>
        </is>
      </c>
      <c r="C1051" s="24" t="n"/>
      <c r="D1051" s="24" t="n"/>
      <c r="E1051" s="24" t="n"/>
      <c r="F1051" s="24" t="n"/>
      <c r="G1051" s="29" t="inlineStr">
        <is>
          <t>0,00</t>
        </is>
      </c>
      <c r="H1051" s="29" t="n"/>
      <c r="I1051" s="24" t="n"/>
    </row>
    <row r="1052">
      <c r="A1052" s="26" t="inlineStr">
        <is>
          <t>SDIA3</t>
        </is>
      </c>
      <c r="B1052" s="27" t="inlineStr">
        <is>
          <t>Ação</t>
        </is>
      </c>
      <c r="C1052" s="27" t="n"/>
      <c r="D1052" s="27" t="n"/>
      <c r="E1052" s="27" t="n"/>
      <c r="F1052" s="27" t="n"/>
      <c r="G1052" s="28" t="inlineStr">
        <is>
          <t>0,00</t>
        </is>
      </c>
      <c r="H1052" s="28" t="n"/>
      <c r="I1052" s="27" t="n"/>
    </row>
    <row r="1053">
      <c r="A1053" s="23" t="inlineStr">
        <is>
          <t>SDIA4</t>
        </is>
      </c>
      <c r="B1053" s="24" t="inlineStr">
        <is>
          <t>Ação</t>
        </is>
      </c>
      <c r="C1053" s="24" t="n"/>
      <c r="D1053" s="24" t="n"/>
      <c r="E1053" s="24" t="n"/>
      <c r="F1053" s="24" t="n"/>
      <c r="G1053" s="29" t="inlineStr">
        <is>
          <t>0,00</t>
        </is>
      </c>
      <c r="H1053" s="29" t="n"/>
      <c r="I1053" s="24" t="n"/>
    </row>
    <row r="1054">
      <c r="A1054" s="26" t="inlineStr">
        <is>
          <t>DUQE3</t>
        </is>
      </c>
      <c r="B1054" s="27" t="inlineStr">
        <is>
          <t>Ação</t>
        </is>
      </c>
      <c r="C1054" s="27" t="n"/>
      <c r="D1054" s="27" t="n"/>
      <c r="E1054" s="27" t="n"/>
      <c r="F1054" s="27" t="n"/>
      <c r="G1054" s="28" t="inlineStr">
        <is>
          <t>0,00</t>
        </is>
      </c>
      <c r="H1054" s="28" t="n"/>
      <c r="I1054" s="27" t="n"/>
    </row>
    <row r="1055">
      <c r="A1055" s="23" t="inlineStr">
        <is>
          <t>SCLO4</t>
        </is>
      </c>
      <c r="B1055" s="24" t="inlineStr">
        <is>
          <t>Ação</t>
        </is>
      </c>
      <c r="C1055" s="24" t="n"/>
      <c r="D1055" s="24" t="n"/>
      <c r="E1055" s="24" t="n"/>
      <c r="F1055" s="24" t="n"/>
      <c r="G1055" s="29" t="inlineStr">
        <is>
          <t>0,00</t>
        </is>
      </c>
      <c r="H1055" s="29" t="n"/>
      <c r="I1055" s="24" t="n"/>
    </row>
    <row r="1056">
      <c r="A1056" s="26" t="inlineStr">
        <is>
          <t>SPRI5</t>
        </is>
      </c>
      <c r="B1056" s="27" t="inlineStr">
        <is>
          <t>Ação</t>
        </is>
      </c>
      <c r="C1056" s="27" t="n"/>
      <c r="D1056" s="27" t="n"/>
      <c r="E1056" s="27" t="n"/>
      <c r="F1056" s="27" t="n"/>
      <c r="G1056" s="28" t="inlineStr">
        <is>
          <t>0,00</t>
        </is>
      </c>
      <c r="H1056" s="28" t="n"/>
      <c r="I1056" s="27" t="n"/>
    </row>
    <row r="1057">
      <c r="A1057" s="23" t="inlineStr">
        <is>
          <t>IDVL4</t>
        </is>
      </c>
      <c r="B1057" s="24" t="inlineStr">
        <is>
          <t>Ação</t>
        </is>
      </c>
      <c r="C1057" s="24" t="n"/>
      <c r="D1057" s="24" t="n"/>
      <c r="E1057" s="24" t="inlineStr">
        <is>
          <t>61.024.352/0001-71</t>
        </is>
      </c>
      <c r="F1057" s="24" t="n"/>
      <c r="G1057" s="29" t="inlineStr">
        <is>
          <t>0,00</t>
        </is>
      </c>
      <c r="H1057" s="29" t="n"/>
      <c r="I1057" s="24" t="n"/>
    </row>
    <row r="1058">
      <c r="A1058" s="26" t="inlineStr">
        <is>
          <t>PMET6</t>
        </is>
      </c>
      <c r="B1058" s="27" t="inlineStr">
        <is>
          <t>Ação</t>
        </is>
      </c>
      <c r="C1058" s="27" t="n"/>
      <c r="D1058" s="27" t="n"/>
      <c r="E1058" s="27" t="n"/>
      <c r="F1058" s="27" t="n"/>
      <c r="G1058" s="28" t="inlineStr">
        <is>
          <t>0,00</t>
        </is>
      </c>
      <c r="H1058" s="28" t="n"/>
      <c r="I1058" s="27" t="n"/>
    </row>
    <row r="1059">
      <c r="A1059" s="23" t="inlineStr">
        <is>
          <t>LGLO4</t>
        </is>
      </c>
      <c r="B1059" s="24" t="inlineStr">
        <is>
          <t>Ação</t>
        </is>
      </c>
      <c r="C1059" s="24" t="n"/>
      <c r="D1059" s="24" t="n"/>
      <c r="E1059" s="24" t="n"/>
      <c r="F1059" s="24" t="n"/>
      <c r="G1059" s="29" t="inlineStr">
        <is>
          <t>0,00</t>
        </is>
      </c>
      <c r="H1059" s="29" t="n"/>
      <c r="I1059" s="24" t="n"/>
    </row>
    <row r="1060">
      <c r="A1060" s="26" t="inlineStr">
        <is>
          <t>IDVL3</t>
        </is>
      </c>
      <c r="B1060" s="27" t="inlineStr">
        <is>
          <t>Ação</t>
        </is>
      </c>
      <c r="C1060" s="27" t="n"/>
      <c r="D1060" s="27" t="n"/>
      <c r="E1060" s="27" t="inlineStr">
        <is>
          <t>61.024.352/0001-71</t>
        </is>
      </c>
      <c r="F1060" s="27" t="n"/>
      <c r="G1060" s="28" t="inlineStr">
        <is>
          <t>0,00</t>
        </is>
      </c>
      <c r="H1060" s="28" t="n"/>
      <c r="I1060" s="27" t="n"/>
    </row>
    <row r="1061">
      <c r="A1061" s="23" t="inlineStr">
        <is>
          <t>BAHI11</t>
        </is>
      </c>
      <c r="B1061" s="24" t="inlineStr">
        <is>
          <t>Ação</t>
        </is>
      </c>
      <c r="C1061" s="24" t="n"/>
      <c r="D1061" s="24" t="n"/>
      <c r="E1061" s="24" t="n"/>
      <c r="F1061" s="24" t="n"/>
      <c r="G1061" s="29" t="inlineStr">
        <is>
          <t>0,00</t>
        </is>
      </c>
      <c r="H1061" s="29" t="n"/>
      <c r="I1061" s="24" t="n"/>
    </row>
    <row r="1062">
      <c r="A1062" s="26" t="inlineStr">
        <is>
          <t>DHBI3</t>
        </is>
      </c>
      <c r="B1062" s="27" t="inlineStr">
        <is>
          <t>Ação</t>
        </is>
      </c>
      <c r="C1062" s="27" t="n"/>
      <c r="D1062" s="27" t="n"/>
      <c r="E1062" s="27" t="n"/>
      <c r="F1062" s="27" t="n"/>
      <c r="G1062" s="28" t="inlineStr">
        <is>
          <t>0,00</t>
        </is>
      </c>
      <c r="H1062" s="28" t="n"/>
      <c r="I1062" s="27" t="n"/>
    </row>
    <row r="1063">
      <c r="A1063" s="23" t="inlineStr">
        <is>
          <t>LETO5</t>
        </is>
      </c>
      <c r="B1063" s="24" t="inlineStr">
        <is>
          <t>Ação</t>
        </is>
      </c>
      <c r="C1063" s="24" t="n"/>
      <c r="D1063" s="24" t="n"/>
      <c r="E1063" s="24" t="n"/>
      <c r="F1063" s="24" t="n"/>
      <c r="G1063" s="29" t="inlineStr">
        <is>
          <t>0,00</t>
        </is>
      </c>
      <c r="H1063" s="29" t="n"/>
      <c r="I1063" s="24" t="n"/>
    </row>
    <row r="1064">
      <c r="A1064" s="26" t="inlineStr">
        <is>
          <t>IENG3</t>
        </is>
      </c>
      <c r="B1064" s="27" t="inlineStr">
        <is>
          <t>Ação</t>
        </is>
      </c>
      <c r="C1064" s="27" t="n"/>
      <c r="D1064" s="27" t="n"/>
      <c r="E1064" s="27" t="n"/>
      <c r="F1064" s="27" t="n"/>
      <c r="G1064" s="28" t="inlineStr">
        <is>
          <t>0,00</t>
        </is>
      </c>
      <c r="H1064" s="28" t="n"/>
      <c r="I1064" s="27" t="n"/>
    </row>
    <row r="1065">
      <c r="A1065" s="23" t="inlineStr">
        <is>
          <t>TXRX3</t>
        </is>
      </c>
      <c r="B1065" s="24" t="inlineStr">
        <is>
          <t>Ação</t>
        </is>
      </c>
      <c r="C1065" s="24" t="n"/>
      <c r="D1065" s="24" t="n">
        <v>9.970000000000001</v>
      </c>
      <c r="E1065" s="24" t="inlineStr">
        <is>
          <t>82.982.075/0001-80</t>
        </is>
      </c>
      <c r="F1065" s="24" t="n"/>
      <c r="G1065" s="29" t="inlineStr">
        <is>
          <t>0,00</t>
        </is>
      </c>
      <c r="H1065" s="29" t="n"/>
      <c r="I1065" s="24" t="n"/>
    </row>
    <row r="1066">
      <c r="A1066" s="26" t="inlineStr">
        <is>
          <t>LATM11</t>
        </is>
      </c>
      <c r="B1066" s="27" t="inlineStr">
        <is>
          <t>Ação</t>
        </is>
      </c>
      <c r="C1066" s="27" t="n"/>
      <c r="D1066" s="27" t="n"/>
      <c r="E1066" s="27" t="n"/>
      <c r="F1066" s="27" t="n"/>
      <c r="G1066" s="28" t="inlineStr">
        <is>
          <t>0,00</t>
        </is>
      </c>
      <c r="H1066" s="28" t="n"/>
      <c r="I1066" s="27" t="n"/>
    </row>
    <row r="1067">
      <c r="A1067" s="23" t="inlineStr">
        <is>
          <t>CELM3</t>
        </is>
      </c>
      <c r="B1067" s="24" t="inlineStr">
        <is>
          <t>Ação</t>
        </is>
      </c>
      <c r="C1067" s="24" t="n"/>
      <c r="D1067" s="24" t="n"/>
      <c r="E1067" s="24" t="n"/>
      <c r="F1067" s="24" t="n"/>
      <c r="G1067" s="29" t="inlineStr">
        <is>
          <t>0,00</t>
        </is>
      </c>
      <c r="H1067" s="29" t="n"/>
      <c r="I1067" s="24" t="n"/>
    </row>
    <row r="1068">
      <c r="A1068" s="26" t="inlineStr">
        <is>
          <t>IENG5</t>
        </is>
      </c>
      <c r="B1068" s="27" t="inlineStr">
        <is>
          <t>Ação</t>
        </is>
      </c>
      <c r="C1068" s="27" t="n"/>
      <c r="D1068" s="27" t="n"/>
      <c r="E1068" s="27" t="n"/>
      <c r="F1068" s="27" t="n"/>
      <c r="G1068" s="28" t="inlineStr">
        <is>
          <t>0,00</t>
        </is>
      </c>
      <c r="H1068" s="28" t="n"/>
      <c r="I1068" s="27" t="n"/>
    </row>
    <row r="1069">
      <c r="A1069" s="23" t="inlineStr">
        <is>
          <t>BRPR3</t>
        </is>
      </c>
      <c r="B1069" s="24" t="inlineStr">
        <is>
          <t>Ação</t>
        </is>
      </c>
      <c r="C1069" s="24" t="n"/>
      <c r="D1069" s="24" t="n">
        <v>131.17</v>
      </c>
      <c r="E1069" s="24" t="inlineStr">
        <is>
          <t>06.977.751/0001-49</t>
        </is>
      </c>
      <c r="F1069" s="24" t="n"/>
      <c r="G1069" s="29" t="inlineStr">
        <is>
          <t>0,00</t>
        </is>
      </c>
      <c r="H1069" s="29" t="n"/>
      <c r="I1069" s="24" t="n"/>
    </row>
    <row r="1070">
      <c r="A1070" s="26" t="inlineStr">
        <is>
          <t>PMAM4</t>
        </is>
      </c>
      <c r="B1070" s="27" t="inlineStr">
        <is>
          <t>Ação</t>
        </is>
      </c>
      <c r="C1070" s="27" t="n"/>
      <c r="D1070" s="27" t="n"/>
      <c r="E1070" s="27" t="n"/>
      <c r="F1070" s="27" t="n"/>
      <c r="G1070" s="28" t="inlineStr">
        <is>
          <t>0,00</t>
        </is>
      </c>
      <c r="H1070" s="28" t="n"/>
      <c r="I1070" s="27" t="n"/>
    </row>
    <row r="1071">
      <c r="A1071" s="23" t="inlineStr">
        <is>
          <t>FRTA3</t>
        </is>
      </c>
      <c r="B1071" s="24" t="inlineStr">
        <is>
          <t>Ação</t>
        </is>
      </c>
      <c r="C1071" s="24" t="n"/>
      <c r="D1071" s="24" t="n"/>
      <c r="E1071" s="24" t="inlineStr">
        <is>
          <t>86.550.951/0001-50</t>
        </is>
      </c>
      <c r="F1071" s="24" t="n"/>
      <c r="G1071" s="29" t="inlineStr">
        <is>
          <t>0,00</t>
        </is>
      </c>
      <c r="H1071" s="29" t="n"/>
      <c r="I1071" s="24" t="n"/>
    </row>
    <row r="1072">
      <c r="A1072" s="26" t="inlineStr">
        <is>
          <t>REEM4</t>
        </is>
      </c>
      <c r="B1072" s="27" t="inlineStr">
        <is>
          <t>Ação</t>
        </is>
      </c>
      <c r="C1072" s="27" t="n"/>
      <c r="D1072" s="27" t="n"/>
      <c r="E1072" s="27" t="n"/>
      <c r="F1072" s="27" t="n"/>
      <c r="G1072" s="28" t="inlineStr">
        <is>
          <t>0,00</t>
        </is>
      </c>
      <c r="H1072" s="28" t="n"/>
      <c r="I1072" s="27" t="n"/>
    </row>
    <row r="1073">
      <c r="A1073" s="23" t="inlineStr">
        <is>
          <t>CCXC3</t>
        </is>
      </c>
      <c r="B1073" s="24" t="inlineStr">
        <is>
          <t>Ação</t>
        </is>
      </c>
      <c r="C1073" s="24" t="n"/>
      <c r="D1073" s="24" t="n"/>
      <c r="E1073" s="24" t="inlineStr">
        <is>
          <t>07.950.674/0001-04</t>
        </is>
      </c>
      <c r="F1073" s="24" t="n"/>
      <c r="G1073" s="29" t="inlineStr">
        <is>
          <t>0,00</t>
        </is>
      </c>
      <c r="H1073" s="29" t="n"/>
      <c r="I1073" s="24" t="n"/>
    </row>
    <row r="1074">
      <c r="A1074" s="26" t="inlineStr">
        <is>
          <t>DOCA3</t>
        </is>
      </c>
      <c r="B1074" s="27" t="inlineStr">
        <is>
          <t>Ação</t>
        </is>
      </c>
      <c r="C1074" s="27" t="n"/>
      <c r="D1074" s="27" t="n"/>
      <c r="E1074" s="27" t="n"/>
      <c r="F1074" s="27" t="n"/>
      <c r="G1074" s="28" t="inlineStr">
        <is>
          <t>0,00</t>
        </is>
      </c>
      <c r="H1074" s="28" t="n"/>
      <c r="I1074" s="27" t="n"/>
    </row>
    <row r="1075">
      <c r="A1075" s="23" t="inlineStr">
        <is>
          <t>FGUI4</t>
        </is>
      </c>
      <c r="B1075" s="24" t="inlineStr">
        <is>
          <t>Ação</t>
        </is>
      </c>
      <c r="C1075" s="24" t="n"/>
      <c r="D1075" s="24" t="n"/>
      <c r="E1075" s="24" t="n"/>
      <c r="F1075" s="24" t="n"/>
      <c r="G1075" s="29" t="inlineStr">
        <is>
          <t>0,00</t>
        </is>
      </c>
      <c r="H1075" s="29" t="n"/>
      <c r="I1075" s="24" t="n"/>
    </row>
    <row r="1076">
      <c r="A1076" s="26" t="inlineStr">
        <is>
          <t>WISA4</t>
        </is>
      </c>
      <c r="B1076" s="27" t="inlineStr">
        <is>
          <t>Ação</t>
        </is>
      </c>
      <c r="C1076" s="27" t="n"/>
      <c r="D1076" s="27" t="n"/>
      <c r="E1076" s="27" t="n"/>
      <c r="F1076" s="27" t="n"/>
      <c r="G1076" s="28" t="inlineStr">
        <is>
          <t>0,00</t>
        </is>
      </c>
      <c r="H1076" s="28" t="n"/>
      <c r="I1076" s="27" t="n"/>
    </row>
    <row r="1077">
      <c r="A1077" s="23" t="inlineStr">
        <is>
          <t>LETO3</t>
        </is>
      </c>
      <c r="B1077" s="24" t="inlineStr">
        <is>
          <t>Ação</t>
        </is>
      </c>
      <c r="C1077" s="24" t="n"/>
      <c r="D1077" s="24" t="n"/>
      <c r="E1077" s="24" t="n"/>
      <c r="F1077" s="24" t="n"/>
      <c r="G1077" s="29" t="inlineStr">
        <is>
          <t>0,00</t>
        </is>
      </c>
      <c r="H1077" s="29" t="n"/>
      <c r="I1077" s="24" t="n"/>
    </row>
    <row r="1078">
      <c r="A1078" s="26" t="inlineStr">
        <is>
          <t>WISA3</t>
        </is>
      </c>
      <c r="B1078" s="27" t="inlineStr">
        <is>
          <t>Ação</t>
        </is>
      </c>
      <c r="C1078" s="27" t="n"/>
      <c r="D1078" s="27" t="n"/>
      <c r="E1078" s="27" t="n"/>
      <c r="F1078" s="27" t="n"/>
      <c r="G1078" s="28" t="inlineStr">
        <is>
          <t>0,00</t>
        </is>
      </c>
      <c r="H1078" s="28" t="n"/>
      <c r="I1078" s="27" t="n"/>
    </row>
    <row r="1079">
      <c r="A1079" s="23" t="inlineStr">
        <is>
          <t>CTSA8</t>
        </is>
      </c>
      <c r="B1079" s="24" t="inlineStr">
        <is>
          <t>Ação</t>
        </is>
      </c>
      <c r="C1079" s="24" t="n"/>
      <c r="D1079" s="24" t="n"/>
      <c r="E1079" s="24" t="inlineStr">
        <is>
          <t>21.255.567/0001-89</t>
        </is>
      </c>
      <c r="F1079" s="24" t="n"/>
      <c r="G1079" s="29" t="inlineStr">
        <is>
          <t>0,00</t>
        </is>
      </c>
      <c r="H1079" s="29" t="n"/>
      <c r="I1079" s="24" t="n"/>
    </row>
    <row r="1080">
      <c r="A1080" s="26" t="inlineStr">
        <is>
          <t>ADMF3</t>
        </is>
      </c>
      <c r="B1080" s="27" t="inlineStr">
        <is>
          <t>Ação</t>
        </is>
      </c>
      <c r="C1080" s="27" t="n"/>
      <c r="D1080" s="27" t="n">
        <v>13.9</v>
      </c>
      <c r="E1080" s="27" t="n"/>
      <c r="F1080" s="27" t="n"/>
      <c r="G1080" s="28" t="inlineStr">
        <is>
          <t>0,00</t>
        </is>
      </c>
      <c r="H1080" s="28" t="n"/>
      <c r="I1080" s="27" t="n"/>
    </row>
    <row r="1081">
      <c r="A1081" s="23" t="inlineStr">
        <is>
          <t>DOCA4</t>
        </is>
      </c>
      <c r="B1081" s="24" t="inlineStr">
        <is>
          <t>Ação</t>
        </is>
      </c>
      <c r="C1081" s="24" t="n"/>
      <c r="D1081" s="24" t="n"/>
      <c r="E1081" s="24" t="n"/>
      <c r="F1081" s="24" t="n"/>
      <c r="G1081" s="29" t="inlineStr">
        <is>
          <t>0,00</t>
        </is>
      </c>
      <c r="H1081" s="29" t="n"/>
      <c r="I1081" s="24" t="n"/>
    </row>
    <row r="1082">
      <c r="A1082" s="26" t="inlineStr">
        <is>
          <t>CTAX3</t>
        </is>
      </c>
      <c r="B1082" s="27" t="inlineStr">
        <is>
          <t>Ação</t>
        </is>
      </c>
      <c r="C1082" s="27" t="n"/>
      <c r="D1082" s="27" t="n">
        <v>0.87</v>
      </c>
      <c r="E1082" s="27" t="inlineStr">
        <is>
          <t>04.032.433/0001-80</t>
        </is>
      </c>
      <c r="F1082" s="27" t="n"/>
      <c r="G1082" s="28" t="inlineStr">
        <is>
          <t>0,00</t>
        </is>
      </c>
      <c r="H1082" s="28" t="n"/>
      <c r="I1082" s="27" t="n"/>
    </row>
    <row r="1083">
      <c r="A1083" s="23" t="inlineStr">
        <is>
          <t>DUQE4</t>
        </is>
      </c>
      <c r="B1083" s="24" t="inlineStr">
        <is>
          <t>Ação</t>
        </is>
      </c>
      <c r="C1083" s="24" t="n"/>
      <c r="D1083" s="24" t="n"/>
      <c r="E1083" s="24" t="n"/>
      <c r="F1083" s="24" t="n"/>
      <c r="G1083" s="29" t="inlineStr">
        <is>
          <t>0,00</t>
        </is>
      </c>
      <c r="H1083" s="29" t="n"/>
      <c r="I1083" s="24" t="n"/>
    </row>
    <row r="1084">
      <c r="A1084" s="26" t="inlineStr">
        <is>
          <t>MNDL4</t>
        </is>
      </c>
      <c r="B1084" s="27" t="inlineStr">
        <is>
          <t>Ação</t>
        </is>
      </c>
      <c r="C1084" s="27" t="n"/>
      <c r="D1084" s="27" t="n"/>
      <c r="E1084" s="27" t="n"/>
      <c r="F1084" s="27" t="n"/>
      <c r="G1084" s="28" t="inlineStr">
        <is>
          <t>0,00</t>
        </is>
      </c>
      <c r="H1084" s="28" t="n"/>
      <c r="I1084" s="27" t="n"/>
    </row>
    <row r="1085">
      <c r="A1085" s="23" t="inlineStr">
        <is>
          <t>FTRX3</t>
        </is>
      </c>
      <c r="B1085" s="24" t="inlineStr">
        <is>
          <t>Ação</t>
        </is>
      </c>
      <c r="C1085" s="24" t="n"/>
      <c r="D1085" s="24" t="n"/>
      <c r="E1085" s="24" t="n"/>
      <c r="F1085" s="24" t="n"/>
      <c r="G1085" s="29" t="inlineStr">
        <is>
          <t>0,00</t>
        </is>
      </c>
      <c r="H1085" s="29" t="n"/>
      <c r="I1085" s="24" t="n"/>
    </row>
    <row r="1086">
      <c r="A1086" s="26" t="inlineStr">
        <is>
          <t>SJOS4</t>
        </is>
      </c>
      <c r="B1086" s="27" t="inlineStr">
        <is>
          <t>Ação</t>
        </is>
      </c>
      <c r="C1086" s="27" t="n"/>
      <c r="D1086" s="27" t="n"/>
      <c r="E1086" s="27" t="n"/>
      <c r="F1086" s="27" t="n"/>
      <c r="G1086" s="28" t="inlineStr">
        <is>
          <t>0,00</t>
        </is>
      </c>
      <c r="H1086" s="28" t="n"/>
      <c r="I1086" s="27" t="n"/>
    </row>
    <row r="1087">
      <c r="A1087" s="23" t="inlineStr">
        <is>
          <t>FTRX4</t>
        </is>
      </c>
      <c r="B1087" s="24" t="inlineStr">
        <is>
          <t>Ação</t>
        </is>
      </c>
      <c r="C1087" s="24" t="n"/>
      <c r="D1087" s="24" t="n"/>
      <c r="E1087" s="24" t="n"/>
      <c r="F1087" s="24" t="n"/>
      <c r="G1087" s="29" t="inlineStr">
        <is>
          <t>0,00</t>
        </is>
      </c>
      <c r="H1087" s="29" t="n"/>
      <c r="I1087" s="24" t="n"/>
    </row>
    <row r="1088">
      <c r="A1088" s="26" t="inlineStr">
        <is>
          <t>TEKA3</t>
        </is>
      </c>
      <c r="B1088" s="27" t="inlineStr">
        <is>
          <t>Ação</t>
        </is>
      </c>
      <c r="C1088" s="27" t="n"/>
      <c r="D1088" s="27" t="n">
        <v>42.5</v>
      </c>
      <c r="E1088" s="27" t="inlineStr">
        <is>
          <t>82.636.986/0001-55</t>
        </is>
      </c>
      <c r="F1088" s="27" t="n"/>
      <c r="G1088" s="28" t="inlineStr">
        <is>
          <t>0,00</t>
        </is>
      </c>
      <c r="H1088" s="28" t="n"/>
      <c r="I1088" s="27" t="n"/>
    </row>
    <row r="1089">
      <c r="A1089" s="23" t="inlineStr">
        <is>
          <t>TXRX4</t>
        </is>
      </c>
      <c r="B1089" s="24" t="inlineStr">
        <is>
          <t>Ação</t>
        </is>
      </c>
      <c r="C1089" s="24" t="n"/>
      <c r="D1089" s="24" t="n">
        <v>1.57</v>
      </c>
      <c r="E1089" s="24" t="inlineStr">
        <is>
          <t>82.982.075/0001-80</t>
        </is>
      </c>
      <c r="F1089" s="24" t="n"/>
      <c r="G1089" s="29" t="inlineStr">
        <is>
          <t>0,00</t>
        </is>
      </c>
      <c r="H1089" s="29" t="n"/>
      <c r="I1089" s="24" t="n"/>
    </row>
    <row r="1090">
      <c r="A1090" s="26" t="inlineStr">
        <is>
          <t>FBMC4</t>
        </is>
      </c>
      <c r="B1090" s="27" t="inlineStr">
        <is>
          <t>Ação</t>
        </is>
      </c>
      <c r="C1090" s="27" t="n"/>
      <c r="D1090" s="27" t="n"/>
      <c r="E1090" s="27" t="inlineStr">
        <is>
          <t>61.410.395/0001-95</t>
        </is>
      </c>
      <c r="F1090" s="27" t="n"/>
      <c r="G1090" s="28" t="inlineStr">
        <is>
          <t>0,00</t>
        </is>
      </c>
      <c r="H1090" s="28" t="n"/>
      <c r="I1090" s="27" t="n"/>
    </row>
    <row r="1091">
      <c r="A1091" s="23" t="inlineStr">
        <is>
          <t>VPTA4</t>
        </is>
      </c>
      <c r="B1091" s="24" t="inlineStr">
        <is>
          <t>Ação</t>
        </is>
      </c>
      <c r="C1091" s="24" t="n"/>
      <c r="D1091" s="24" t="n"/>
      <c r="E1091" s="24" t="n"/>
      <c r="F1091" s="24" t="n"/>
      <c r="G1091" s="29" t="inlineStr">
        <is>
          <t>0,00</t>
        </is>
      </c>
      <c r="H1091" s="29" t="n"/>
      <c r="I1091" s="24" t="n"/>
    </row>
    <row r="1092">
      <c r="A1092" s="26" t="inlineStr">
        <is>
          <t>TEKA4</t>
        </is>
      </c>
      <c r="B1092" s="27" t="inlineStr">
        <is>
          <t>Ação</t>
        </is>
      </c>
      <c r="C1092" s="27" t="n"/>
      <c r="D1092" s="27" t="n">
        <v>21.25</v>
      </c>
      <c r="E1092" s="27" t="inlineStr">
        <is>
          <t>82.636.986/0001-55</t>
        </is>
      </c>
      <c r="F1092" s="27" t="n"/>
      <c r="G1092" s="28" t="inlineStr">
        <is>
          <t>0,00</t>
        </is>
      </c>
      <c r="H1092" s="28" t="n"/>
      <c r="I1092" s="27" t="n"/>
    </row>
    <row r="1093">
      <c r="A1093" s="23" t="inlineStr">
        <is>
          <t>CTNM4</t>
        </is>
      </c>
      <c r="B1093" s="24" t="inlineStr">
        <is>
          <t>Ação</t>
        </is>
      </c>
      <c r="C1093" s="24" t="n"/>
      <c r="D1093" s="24" t="n">
        <v>0.86</v>
      </c>
      <c r="E1093" s="24" t="inlineStr">
        <is>
          <t>22.677.520/0001-76</t>
        </is>
      </c>
      <c r="F1093" s="24" t="n"/>
      <c r="G1093" s="29" t="inlineStr">
        <is>
          <t>0,00</t>
        </is>
      </c>
      <c r="H1093" s="29" t="n"/>
      <c r="I1093" s="24" t="n"/>
    </row>
    <row r="1094">
      <c r="A1094" s="26" t="inlineStr">
        <is>
          <t>VPSC4</t>
        </is>
      </c>
      <c r="B1094" s="27" t="inlineStr">
        <is>
          <t>Ação</t>
        </is>
      </c>
      <c r="C1094" s="27" t="n"/>
      <c r="D1094" s="27" t="n"/>
      <c r="E1094" s="27" t="n"/>
      <c r="F1094" s="27" t="n"/>
      <c r="G1094" s="28" t="inlineStr">
        <is>
          <t>0,00</t>
        </is>
      </c>
      <c r="H1094" s="28" t="n"/>
      <c r="I1094" s="27" t="n"/>
    </row>
    <row r="1095">
      <c r="A1095" s="23" t="inlineStr">
        <is>
          <t>TENE7</t>
        </is>
      </c>
      <c r="B1095" s="24" t="inlineStr">
        <is>
          <t>Ação</t>
        </is>
      </c>
      <c r="C1095" s="24" t="n"/>
      <c r="D1095" s="24" t="n"/>
      <c r="E1095" s="24" t="n"/>
      <c r="F1095" s="24" t="n"/>
      <c r="G1095" s="29" t="inlineStr">
        <is>
          <t>0,00</t>
        </is>
      </c>
      <c r="H1095" s="29" t="n"/>
      <c r="I1095" s="24" t="n"/>
    </row>
    <row r="1096">
      <c r="A1096" s="26" t="inlineStr">
        <is>
          <t>VAGV3</t>
        </is>
      </c>
      <c r="B1096" s="27" t="inlineStr">
        <is>
          <t>Ação</t>
        </is>
      </c>
      <c r="C1096" s="27" t="n"/>
      <c r="D1096" s="27" t="n"/>
      <c r="E1096" s="27" t="n"/>
      <c r="F1096" s="27" t="n"/>
      <c r="G1096" s="28" t="inlineStr">
        <is>
          <t>0,00</t>
        </is>
      </c>
      <c r="H1096" s="28" t="n"/>
      <c r="I1096" s="27" t="n"/>
    </row>
    <row r="1097">
      <c r="A1097" s="23" t="inlineStr">
        <is>
          <t>DHBI4</t>
        </is>
      </c>
      <c r="B1097" s="24" t="inlineStr">
        <is>
          <t>Ação</t>
        </is>
      </c>
      <c r="C1097" s="24" t="n"/>
      <c r="D1097" s="24" t="n"/>
      <c r="E1097" s="24" t="n"/>
      <c r="F1097" s="24" t="n"/>
      <c r="G1097" s="29" t="inlineStr">
        <is>
          <t>0,00</t>
        </is>
      </c>
      <c r="H1097" s="29" t="n"/>
      <c r="I1097" s="24" t="n"/>
    </row>
    <row r="1098">
      <c r="A1098" s="26" t="inlineStr">
        <is>
          <t>VAGV4</t>
        </is>
      </c>
      <c r="B1098" s="27" t="inlineStr">
        <is>
          <t>Ação</t>
        </is>
      </c>
      <c r="C1098" s="27" t="n"/>
      <c r="D1098" s="27" t="n"/>
      <c r="E1098" s="27" t="n"/>
      <c r="F1098" s="27" t="n"/>
      <c r="G1098" s="28" t="inlineStr">
        <is>
          <t>0,00</t>
        </is>
      </c>
      <c r="H1098" s="28" t="n"/>
      <c r="I1098" s="27" t="n"/>
    </row>
    <row r="1099">
      <c r="A1099" s="23" t="inlineStr">
        <is>
          <t>GAFP3</t>
        </is>
      </c>
      <c r="B1099" s="24" t="inlineStr">
        <is>
          <t>Ação</t>
        </is>
      </c>
      <c r="C1099" s="24" t="n"/>
      <c r="D1099" s="24" t="n"/>
      <c r="E1099" s="24" t="n"/>
      <c r="F1099" s="24" t="n"/>
      <c r="G1099" s="29" t="inlineStr">
        <is>
          <t>0,00</t>
        </is>
      </c>
      <c r="H1099" s="29" t="n"/>
      <c r="I1099" s="24" t="n"/>
    </row>
    <row r="1100">
      <c r="A1100" s="26" t="inlineStr">
        <is>
          <t>ARTE3</t>
        </is>
      </c>
      <c r="B1100" s="27" t="inlineStr">
        <is>
          <t>Ação</t>
        </is>
      </c>
      <c r="C1100" s="27" t="n"/>
      <c r="D1100" s="27" t="n"/>
      <c r="E1100" s="27" t="n"/>
      <c r="F1100" s="27" t="n"/>
      <c r="G1100" s="28" t="inlineStr">
        <is>
          <t>0,00</t>
        </is>
      </c>
      <c r="H1100" s="28" t="n"/>
      <c r="I1100" s="27" t="n"/>
    </row>
    <row r="1101">
      <c r="A1101" s="23" t="inlineStr">
        <is>
          <t>TROR3</t>
        </is>
      </c>
      <c r="B1101" s="24" t="inlineStr">
        <is>
          <t>Ação</t>
        </is>
      </c>
      <c r="C1101" s="24" t="n"/>
      <c r="D1101" s="24" t="n"/>
      <c r="E1101" s="24" t="n"/>
      <c r="F1101" s="24" t="n"/>
      <c r="G1101" s="29" t="inlineStr">
        <is>
          <t>0,00</t>
        </is>
      </c>
      <c r="H1101" s="29" t="n"/>
      <c r="I1101" s="24" t="n"/>
    </row>
    <row r="1102">
      <c r="A1102" s="26" t="inlineStr">
        <is>
          <t>VPSC3</t>
        </is>
      </c>
      <c r="B1102" s="27" t="inlineStr">
        <is>
          <t>Ação</t>
        </is>
      </c>
      <c r="C1102" s="27" t="n"/>
      <c r="D1102" s="27" t="n"/>
      <c r="E1102" s="27" t="n"/>
      <c r="F1102" s="27" t="n"/>
      <c r="G1102" s="28" t="inlineStr">
        <is>
          <t>0,00</t>
        </is>
      </c>
      <c r="H1102" s="28" t="n"/>
      <c r="I1102" s="27" t="n"/>
    </row>
    <row r="1103">
      <c r="A1103" s="23" t="inlineStr">
        <is>
          <t>VPTA3</t>
        </is>
      </c>
      <c r="B1103" s="24" t="inlineStr">
        <is>
          <t>Ação</t>
        </is>
      </c>
      <c r="C1103" s="24" t="n"/>
      <c r="D1103" s="24" t="n"/>
      <c r="E1103" s="24" t="n"/>
      <c r="F1103" s="24" t="n"/>
      <c r="G1103" s="29" t="inlineStr">
        <is>
          <t>0,00</t>
        </is>
      </c>
      <c r="H1103" s="29" t="n"/>
      <c r="I1103" s="24" t="n"/>
    </row>
    <row r="1104">
      <c r="A1104" s="26" t="inlineStr">
        <is>
          <t>ARTE4</t>
        </is>
      </c>
      <c r="B1104" s="27" t="inlineStr">
        <is>
          <t>Ação</t>
        </is>
      </c>
      <c r="C1104" s="27" t="n"/>
      <c r="D1104" s="27" t="n"/>
      <c r="E1104" s="27" t="n"/>
      <c r="F1104" s="27" t="n"/>
      <c r="G1104" s="28" t="inlineStr">
        <is>
          <t>0,00</t>
        </is>
      </c>
      <c r="H1104" s="28" t="n"/>
      <c r="I1104" s="27" t="n"/>
    </row>
    <row r="1105">
      <c r="A1105" s="23" t="inlineStr">
        <is>
          <t>TROR4</t>
        </is>
      </c>
      <c r="B1105" s="24" t="inlineStr">
        <is>
          <t>Ação</t>
        </is>
      </c>
      <c r="C1105" s="24" t="n"/>
      <c r="D1105" s="24" t="n"/>
      <c r="E1105" s="24" t="n"/>
      <c r="F1105" s="24" t="n"/>
      <c r="G1105" s="29" t="inlineStr">
        <is>
          <t>0,00</t>
        </is>
      </c>
      <c r="H1105" s="29" t="n"/>
      <c r="I1105" s="24" t="n"/>
    </row>
    <row r="1106">
      <c r="A1106" s="26" t="inlineStr">
        <is>
          <t>SGPS3</t>
        </is>
      </c>
      <c r="B1106" s="27" t="inlineStr">
        <is>
          <t>Ação</t>
        </is>
      </c>
      <c r="C1106" s="27" t="n"/>
      <c r="D1106" s="27" t="n"/>
      <c r="E1106" s="27" t="inlineStr">
        <is>
          <t>07.718.269/0001-57</t>
        </is>
      </c>
      <c r="F1106" s="27" t="n"/>
      <c r="G1106" s="28" t="inlineStr">
        <is>
          <t>0,00</t>
        </is>
      </c>
      <c r="H1106" s="28" t="n"/>
      <c r="I1106" s="27" t="n"/>
    </row>
    <row r="1107">
      <c r="A1107" s="23" t="inlineStr">
        <is>
          <t>GAFP4</t>
        </is>
      </c>
      <c r="B1107" s="24" t="inlineStr">
        <is>
          <t>Ação</t>
        </is>
      </c>
      <c r="C1107" s="24" t="n"/>
      <c r="D1107" s="24" t="n"/>
      <c r="E1107" s="24" t="n"/>
      <c r="F1107" s="24" t="n"/>
      <c r="G1107" s="29" t="inlineStr">
        <is>
          <t>0,00</t>
        </is>
      </c>
      <c r="H1107" s="29" t="n"/>
      <c r="I1107" s="24" t="n"/>
    </row>
    <row r="1108">
      <c r="A1108" s="26" t="inlineStr">
        <is>
          <t>MILK33</t>
        </is>
      </c>
      <c r="B1108" s="27" t="inlineStr">
        <is>
          <t>Ação</t>
        </is>
      </c>
      <c r="C1108" s="27" t="n"/>
      <c r="D1108" s="27" t="n"/>
      <c r="E1108" s="27" t="n"/>
      <c r="F1108" s="27" t="n"/>
      <c r="G1108" s="28" t="inlineStr">
        <is>
          <t>0,00</t>
        </is>
      </c>
      <c r="H1108" s="28" t="n"/>
      <c r="I1108" s="27" t="n"/>
    </row>
    <row r="1109">
      <c r="A1109" s="23" t="inlineStr">
        <is>
          <t>RPMG4</t>
        </is>
      </c>
      <c r="B1109" s="24" t="inlineStr">
        <is>
          <t>Ação</t>
        </is>
      </c>
      <c r="C1109" s="24" t="n"/>
      <c r="D1109" s="24" t="n"/>
      <c r="E1109" s="24" t="n"/>
      <c r="F1109" s="24" t="n"/>
      <c r="G1109" s="29" t="inlineStr">
        <is>
          <t>0,00</t>
        </is>
      </c>
      <c r="H1109" s="29" t="n"/>
      <c r="I1109" s="24" t="n"/>
    </row>
    <row r="1110">
      <c r="A1110" s="26" t="inlineStr">
        <is>
          <t>SCAR4</t>
        </is>
      </c>
      <c r="B1110" s="27" t="inlineStr">
        <is>
          <t>Ação</t>
        </is>
      </c>
      <c r="C1110" s="27" t="n"/>
      <c r="D1110" s="27" t="n"/>
      <c r="E1110" s="27" t="n"/>
      <c r="F1110" s="27" t="n"/>
      <c r="G1110" s="28" t="inlineStr">
        <is>
          <t>0,00</t>
        </is>
      </c>
      <c r="H1110" s="28" t="n"/>
      <c r="I1110" s="27" t="n"/>
    </row>
    <row r="1111">
      <c r="A1111" s="23" t="inlineStr">
        <is>
          <t>CGOS4</t>
        </is>
      </c>
      <c r="B1111" s="24" t="inlineStr">
        <is>
          <t>Ação</t>
        </is>
      </c>
      <c r="C1111" s="24" t="n"/>
      <c r="D1111" s="24" t="n"/>
      <c r="E1111" s="24" t="n"/>
      <c r="F1111" s="24" t="n"/>
      <c r="G1111" s="29" t="inlineStr">
        <is>
          <t>0,00</t>
        </is>
      </c>
      <c r="H1111" s="29" t="n"/>
      <c r="I1111" s="24" t="n"/>
    </row>
    <row r="1112">
      <c r="A1112" s="26" t="inlineStr">
        <is>
          <t>TENE5</t>
        </is>
      </c>
      <c r="B1112" s="27" t="inlineStr">
        <is>
          <t>Ação</t>
        </is>
      </c>
      <c r="C1112" s="27" t="n"/>
      <c r="D1112" s="27" t="n">
        <v>5</v>
      </c>
      <c r="E1112" s="27" t="n"/>
      <c r="F1112" s="27" t="n"/>
      <c r="G1112" s="28" t="inlineStr">
        <is>
          <t>0,00</t>
        </is>
      </c>
      <c r="H1112" s="28" t="n"/>
      <c r="I1112" s="27" t="n"/>
    </row>
    <row r="1113">
      <c r="A1113" s="23" t="inlineStr">
        <is>
          <t>CBMA4</t>
        </is>
      </c>
      <c r="B1113" s="24" t="inlineStr">
        <is>
          <t>Ação</t>
        </is>
      </c>
      <c r="C1113" s="24" t="n"/>
      <c r="D1113" s="24" t="n"/>
      <c r="E1113" s="24" t="n"/>
      <c r="F1113" s="24" t="n"/>
      <c r="G1113" s="29" t="inlineStr">
        <is>
          <t>0,00</t>
        </is>
      </c>
      <c r="H1113" s="29" t="n"/>
      <c r="I1113" s="24" t="n"/>
    </row>
    <row r="1114">
      <c r="A1114" s="26" t="inlineStr">
        <is>
          <t>CBMA3</t>
        </is>
      </c>
      <c r="B1114" s="27" t="inlineStr">
        <is>
          <t>Ação</t>
        </is>
      </c>
      <c r="C1114" s="27" t="n"/>
      <c r="D1114" s="27" t="n"/>
      <c r="E1114" s="27" t="n"/>
      <c r="F1114" s="27" t="n"/>
      <c r="G1114" s="28" t="inlineStr">
        <is>
          <t>0,00</t>
        </is>
      </c>
      <c r="H1114" s="28" t="n"/>
      <c r="I1114" s="27" t="n"/>
    </row>
    <row r="1115">
      <c r="A1115" s="23" t="inlineStr">
        <is>
          <t>OSAO4</t>
        </is>
      </c>
      <c r="B1115" s="24" t="inlineStr">
        <is>
          <t>Ação</t>
        </is>
      </c>
      <c r="C1115" s="24" t="n"/>
      <c r="D1115" s="24" t="n"/>
      <c r="E1115" s="24" t="n"/>
      <c r="F1115" s="24" t="n"/>
      <c r="G1115" s="29" t="inlineStr">
        <is>
          <t>0,00</t>
        </is>
      </c>
      <c r="H1115" s="29" t="n"/>
      <c r="I1115" s="24" t="n"/>
    </row>
    <row r="1116">
      <c r="A1116" s="26" t="inlineStr">
        <is>
          <t>VGOR3</t>
        </is>
      </c>
      <c r="B1116" s="27" t="inlineStr">
        <is>
          <t>Ação</t>
        </is>
      </c>
      <c r="C1116" s="27" t="n"/>
      <c r="D1116" s="27" t="n"/>
      <c r="E1116" s="27" t="n"/>
      <c r="F1116" s="27" t="n"/>
      <c r="G1116" s="28" t="inlineStr">
        <is>
          <t>0,00</t>
        </is>
      </c>
      <c r="H1116" s="28" t="n"/>
      <c r="I1116" s="27" t="n"/>
    </row>
    <row r="1117">
      <c r="A1117" s="23" t="inlineStr">
        <is>
          <t>FLCL5</t>
        </is>
      </c>
      <c r="B1117" s="24" t="inlineStr">
        <is>
          <t>Ação</t>
        </is>
      </c>
      <c r="C1117" s="24" t="n"/>
      <c r="D1117" s="24" t="n"/>
      <c r="E1117" s="24" t="n"/>
      <c r="F1117" s="24" t="n"/>
      <c r="G1117" s="29" t="inlineStr">
        <is>
          <t>0,00</t>
        </is>
      </c>
      <c r="H1117" s="29" t="n"/>
      <c r="I1117" s="24" t="n"/>
    </row>
    <row r="1118">
      <c r="A1118" s="26" t="inlineStr">
        <is>
          <t>FLCL3</t>
        </is>
      </c>
      <c r="B1118" s="27" t="inlineStr">
        <is>
          <t>Ação</t>
        </is>
      </c>
      <c r="C1118" s="27" t="n"/>
      <c r="D1118" s="27" t="n"/>
      <c r="E1118" s="27" t="n"/>
      <c r="F1118" s="27" t="n"/>
      <c r="G1118" s="28" t="inlineStr">
        <is>
          <t>0,00</t>
        </is>
      </c>
      <c r="H1118" s="28" t="n"/>
      <c r="I1118" s="27" t="n"/>
    </row>
    <row r="1119">
      <c r="A1119" s="23" t="inlineStr">
        <is>
          <t>ARPS3</t>
        </is>
      </c>
      <c r="B1119" s="24" t="inlineStr">
        <is>
          <t>Ação</t>
        </is>
      </c>
      <c r="C1119" s="24" t="n"/>
      <c r="D1119" s="24" t="n"/>
      <c r="E1119" s="24" t="n"/>
      <c r="F1119" s="24" t="n"/>
      <c r="G1119" s="29" t="inlineStr">
        <is>
          <t>0,00</t>
        </is>
      </c>
      <c r="H1119" s="29" t="n"/>
      <c r="I1119" s="24" t="n"/>
    </row>
    <row r="1120">
      <c r="A1120" s="26" t="inlineStr">
        <is>
          <t>ESTC4</t>
        </is>
      </c>
      <c r="B1120" s="27" t="inlineStr">
        <is>
          <t>Ação</t>
        </is>
      </c>
      <c r="C1120" s="27" t="n"/>
      <c r="D1120" s="27" t="n"/>
      <c r="E1120" s="27" t="n"/>
      <c r="F1120" s="27" t="n"/>
      <c r="G1120" s="28" t="inlineStr">
        <is>
          <t>0,00</t>
        </is>
      </c>
      <c r="H1120" s="28" t="n"/>
      <c r="I1120" s="27" t="n"/>
    </row>
    <row r="1121">
      <c r="A1121" s="23" t="inlineStr">
        <is>
          <t>GALO4</t>
        </is>
      </c>
      <c r="B1121" s="24" t="inlineStr">
        <is>
          <t>Ação</t>
        </is>
      </c>
      <c r="C1121" s="24" t="n"/>
      <c r="D1121" s="24" t="n"/>
      <c r="E1121" s="24" t="n"/>
      <c r="F1121" s="24" t="n"/>
      <c r="G1121" s="29" t="inlineStr">
        <is>
          <t>0,00</t>
        </is>
      </c>
      <c r="H1121" s="29" t="n"/>
      <c r="I1121" s="24" t="n"/>
    </row>
    <row r="1122">
      <c r="A1122" s="26" t="inlineStr">
        <is>
          <t>ARPS4</t>
        </is>
      </c>
      <c r="B1122" s="27" t="inlineStr">
        <is>
          <t>Ação</t>
        </is>
      </c>
      <c r="C1122" s="27" t="n"/>
      <c r="D1122" s="27" t="n"/>
      <c r="E1122" s="27" t="n"/>
      <c r="F1122" s="27" t="n"/>
      <c r="G1122" s="28" t="inlineStr">
        <is>
          <t>0,00</t>
        </is>
      </c>
      <c r="H1122" s="28" t="n"/>
      <c r="I1122" s="27" t="n"/>
    </row>
    <row r="1123">
      <c r="A1123" s="23" t="inlineStr">
        <is>
          <t>ECIS3</t>
        </is>
      </c>
      <c r="B1123" s="24" t="inlineStr">
        <is>
          <t>Ação</t>
        </is>
      </c>
      <c r="C1123" s="24" t="n"/>
      <c r="D1123" s="24" t="n"/>
      <c r="E1123" s="24" t="n"/>
      <c r="F1123" s="24" t="n"/>
      <c r="G1123" s="29" t="inlineStr">
        <is>
          <t>0,00</t>
        </is>
      </c>
      <c r="H1123" s="29" t="n"/>
      <c r="I1123" s="24" t="n"/>
    </row>
    <row r="1124">
      <c r="A1124" s="26" t="inlineStr">
        <is>
          <t>ECIS4</t>
        </is>
      </c>
      <c r="B1124" s="27" t="inlineStr">
        <is>
          <t>Ação</t>
        </is>
      </c>
      <c r="C1124" s="27" t="n"/>
      <c r="D1124" s="27" t="n"/>
      <c r="E1124" s="27" t="n"/>
      <c r="F1124" s="27" t="n"/>
      <c r="G1124" s="28" t="inlineStr">
        <is>
          <t>0,00</t>
        </is>
      </c>
      <c r="H1124" s="28" t="n"/>
      <c r="I1124" s="27" t="n"/>
    </row>
    <row r="1125">
      <c r="A1125" s="23" t="inlineStr">
        <is>
          <t>PTIP4</t>
        </is>
      </c>
      <c r="B1125" s="24" t="inlineStr">
        <is>
          <t>Ação</t>
        </is>
      </c>
      <c r="C1125" s="24" t="n"/>
      <c r="D1125" s="24" t="n"/>
      <c r="E1125" s="24" t="n"/>
      <c r="F1125" s="24" t="n"/>
      <c r="G1125" s="29" t="inlineStr">
        <is>
          <t>0,00</t>
        </is>
      </c>
      <c r="H1125" s="29" t="n"/>
      <c r="I1125" s="24" t="n"/>
    </row>
    <row r="1126">
      <c r="A1126" s="26" t="inlineStr">
        <is>
          <t>SGEN4</t>
        </is>
      </c>
      <c r="B1126" s="27" t="inlineStr">
        <is>
          <t>Ação</t>
        </is>
      </c>
      <c r="C1126" s="27" t="n"/>
      <c r="D1126" s="27" t="n"/>
      <c r="E1126" s="27" t="n"/>
      <c r="F1126" s="27" t="n"/>
      <c r="G1126" s="28" t="inlineStr">
        <is>
          <t>0,00</t>
        </is>
      </c>
      <c r="H1126" s="28" t="n"/>
      <c r="I1126" s="27" t="n"/>
    </row>
    <row r="1127">
      <c r="A1127" s="23" t="inlineStr">
        <is>
          <t>VNET3</t>
        </is>
      </c>
      <c r="B1127" s="24" t="inlineStr">
        <is>
          <t>Ação</t>
        </is>
      </c>
      <c r="C1127" s="24" t="n"/>
      <c r="D1127" s="24" t="n"/>
      <c r="E1127" s="24" t="n"/>
      <c r="F1127" s="24" t="n"/>
      <c r="G1127" s="29" t="inlineStr">
        <is>
          <t>0,00</t>
        </is>
      </c>
      <c r="H1127" s="29" t="n"/>
      <c r="I1127" s="24" t="n"/>
    </row>
    <row r="1128">
      <c r="A1128" s="26" t="inlineStr">
        <is>
          <t>BPAT33</t>
        </is>
      </c>
      <c r="B1128" s="27" t="inlineStr">
        <is>
          <t>Ação</t>
        </is>
      </c>
      <c r="C1128" s="27" t="n"/>
      <c r="D1128" s="27" t="n"/>
      <c r="E1128" s="27" t="inlineStr">
        <is>
          <t>08.884.213/0001-35</t>
        </is>
      </c>
      <c r="F1128" s="27" t="n"/>
      <c r="G1128" s="28" t="inlineStr">
        <is>
          <t>0,00</t>
        </is>
      </c>
      <c r="H1128" s="28" t="n"/>
      <c r="I1128" s="27" t="n"/>
    </row>
    <row r="1129">
      <c r="A1129" s="23" t="inlineStr">
        <is>
          <t>PRBC3</t>
        </is>
      </c>
      <c r="B1129" s="24" t="inlineStr">
        <is>
          <t>Ação</t>
        </is>
      </c>
      <c r="C1129" s="24" t="n"/>
      <c r="D1129" s="24" t="n"/>
      <c r="E1129" s="24" t="n"/>
      <c r="F1129" s="24" t="n"/>
      <c r="G1129" s="29" t="inlineStr">
        <is>
          <t>0,00</t>
        </is>
      </c>
      <c r="H1129" s="29" t="n"/>
      <c r="I1129" s="24" t="n"/>
    </row>
    <row r="1130">
      <c r="A1130" s="26" t="inlineStr">
        <is>
          <t>SLCP3</t>
        </is>
      </c>
      <c r="B1130" s="27" t="inlineStr">
        <is>
          <t>Ação</t>
        </is>
      </c>
      <c r="C1130" s="27" t="n"/>
      <c r="D1130" s="27" t="n"/>
      <c r="E1130" s="27" t="n"/>
      <c r="F1130" s="27" t="n"/>
      <c r="G1130" s="28" t="inlineStr">
        <is>
          <t>0,00</t>
        </is>
      </c>
      <c r="H1130" s="28" t="n"/>
      <c r="I1130" s="27" t="n"/>
    </row>
    <row r="1131">
      <c r="A1131" s="23" t="inlineStr">
        <is>
          <t>BERG3</t>
        </is>
      </c>
      <c r="B1131" s="24" t="inlineStr">
        <is>
          <t>Ação</t>
        </is>
      </c>
      <c r="C1131" s="24" t="n"/>
      <c r="D1131" s="24" t="n"/>
      <c r="E1131" s="24" t="n"/>
      <c r="F1131" s="24" t="n"/>
      <c r="G1131" s="29" t="inlineStr">
        <is>
          <t>0,00</t>
        </is>
      </c>
      <c r="H1131" s="29" t="n"/>
      <c r="I1131" s="24" t="n"/>
    </row>
    <row r="1132">
      <c r="A1132" s="26" t="inlineStr">
        <is>
          <t>EQMA5B</t>
        </is>
      </c>
      <c r="B1132" s="27" t="inlineStr">
        <is>
          <t>Ação</t>
        </is>
      </c>
      <c r="C1132" s="27" t="n"/>
      <c r="D1132" s="27" t="n"/>
      <c r="E1132" s="27" t="n"/>
      <c r="F1132" s="27" t="n"/>
      <c r="G1132" s="28" t="inlineStr">
        <is>
          <t>0,00</t>
        </is>
      </c>
      <c r="H1132" s="28" t="n"/>
      <c r="I1132" s="27" t="n"/>
    </row>
    <row r="1133">
      <c r="A1133" s="23" t="inlineStr">
        <is>
          <t>EQMA6B</t>
        </is>
      </c>
      <c r="B1133" s="24" t="inlineStr">
        <is>
          <t>Ação</t>
        </is>
      </c>
      <c r="C1133" s="24" t="n"/>
      <c r="D1133" s="24" t="n"/>
      <c r="E1133" s="24" t="n"/>
      <c r="F1133" s="24" t="n"/>
      <c r="G1133" s="29" t="inlineStr">
        <is>
          <t>0,00</t>
        </is>
      </c>
      <c r="H1133" s="29" t="n"/>
      <c r="I1133" s="24" t="n"/>
    </row>
    <row r="1134">
      <c r="A1134" s="26" t="inlineStr">
        <is>
          <t>SGEN3</t>
        </is>
      </c>
      <c r="B1134" s="27" t="inlineStr">
        <is>
          <t>Ação</t>
        </is>
      </c>
      <c r="C1134" s="27" t="n"/>
      <c r="D1134" s="27" t="n"/>
      <c r="E1134" s="27" t="n"/>
      <c r="F1134" s="27" t="n"/>
      <c r="G1134" s="28" t="inlineStr">
        <is>
          <t>0,00</t>
        </is>
      </c>
      <c r="H1134" s="28" t="n"/>
      <c r="I1134" s="27" t="n"/>
    </row>
    <row r="1135">
      <c r="A1135" s="23" t="inlineStr">
        <is>
          <t>SFSA3</t>
        </is>
      </c>
      <c r="B1135" s="24" t="inlineStr">
        <is>
          <t>Ação</t>
        </is>
      </c>
      <c r="C1135" s="24" t="n"/>
      <c r="D1135" s="24" t="n"/>
      <c r="E1135" s="24" t="n"/>
      <c r="F1135" s="24" t="n"/>
      <c r="G1135" s="29" t="inlineStr">
        <is>
          <t>0,00</t>
        </is>
      </c>
      <c r="H1135" s="29" t="n"/>
      <c r="I1135" s="24" t="n"/>
    </row>
    <row r="1136">
      <c r="A1136" s="26" t="inlineStr">
        <is>
          <t>FLCL6</t>
        </is>
      </c>
      <c r="B1136" s="27" t="inlineStr">
        <is>
          <t>Ação</t>
        </is>
      </c>
      <c r="C1136" s="27" t="n"/>
      <c r="D1136" s="27" t="n"/>
      <c r="E1136" s="27" t="n"/>
      <c r="F1136" s="27" t="n"/>
      <c r="G1136" s="28" t="inlineStr">
        <is>
          <t>0,00</t>
        </is>
      </c>
      <c r="H1136" s="28" t="n"/>
      <c r="I1136" s="27" t="n"/>
    </row>
    <row r="1137">
      <c r="A1137" s="23" t="inlineStr">
        <is>
          <t>BMEF3</t>
        </is>
      </c>
      <c r="B1137" s="24" t="inlineStr">
        <is>
          <t>Ação</t>
        </is>
      </c>
      <c r="C1137" s="24" t="n"/>
      <c r="D1137" s="24" t="n"/>
      <c r="E1137" s="24" t="n"/>
      <c r="F1137" s="24" t="n"/>
      <c r="G1137" s="29" t="inlineStr">
        <is>
          <t>0,00</t>
        </is>
      </c>
      <c r="H1137" s="29" t="n"/>
      <c r="I1137" s="24" t="n"/>
    </row>
    <row r="1138">
      <c r="A1138" s="26" t="inlineStr">
        <is>
          <t>INHA3</t>
        </is>
      </c>
      <c r="B1138" s="27" t="inlineStr">
        <is>
          <t>Ação</t>
        </is>
      </c>
      <c r="C1138" s="27" t="n"/>
      <c r="D1138" s="27" t="n"/>
      <c r="E1138" s="27" t="n"/>
      <c r="F1138" s="27" t="n"/>
      <c r="G1138" s="28" t="inlineStr">
        <is>
          <t>0,00</t>
        </is>
      </c>
      <c r="H1138" s="28" t="n"/>
      <c r="I1138" s="27" t="n"/>
    </row>
    <row r="1139">
      <c r="A1139" s="23" t="inlineStr">
        <is>
          <t>MSAN4</t>
        </is>
      </c>
      <c r="B1139" s="24" t="inlineStr">
        <is>
          <t>Ação</t>
        </is>
      </c>
      <c r="C1139" s="24" t="n"/>
      <c r="D1139" s="24" t="n"/>
      <c r="E1139" s="24" t="n"/>
      <c r="F1139" s="24" t="n"/>
      <c r="G1139" s="29" t="inlineStr">
        <is>
          <t>0,00</t>
        </is>
      </c>
      <c r="H1139" s="29" t="n"/>
      <c r="I1139" s="24" t="n"/>
    </row>
    <row r="1140">
      <c r="A1140" s="26" t="inlineStr">
        <is>
          <t>MSAN3</t>
        </is>
      </c>
      <c r="B1140" s="27" t="inlineStr">
        <is>
          <t>Ação</t>
        </is>
      </c>
      <c r="C1140" s="27" t="n"/>
      <c r="D1140" s="27" t="n"/>
      <c r="E1140" s="27" t="n"/>
      <c r="F1140" s="27" t="n"/>
      <c r="G1140" s="28" t="inlineStr">
        <is>
          <t>0,00</t>
        </is>
      </c>
      <c r="H1140" s="28" t="n"/>
      <c r="I1140" s="27" t="n"/>
    </row>
    <row r="1141">
      <c r="A1141" s="23" t="inlineStr">
        <is>
          <t>JFAB4</t>
        </is>
      </c>
      <c r="B1141" s="24" t="inlineStr">
        <is>
          <t>Ação</t>
        </is>
      </c>
      <c r="C1141" s="24" t="n"/>
      <c r="D1141" s="24" t="n"/>
      <c r="E1141" s="24" t="n"/>
      <c r="F1141" s="24" t="n"/>
      <c r="G1141" s="29" t="inlineStr">
        <is>
          <t>0,00</t>
        </is>
      </c>
      <c r="H1141" s="29" t="n"/>
      <c r="I1141" s="24" t="n"/>
    </row>
    <row r="1142">
      <c r="A1142" s="26" t="inlineStr">
        <is>
          <t>TNEP4</t>
        </is>
      </c>
      <c r="B1142" s="27" t="inlineStr">
        <is>
          <t>Ação</t>
        </is>
      </c>
      <c r="C1142" s="27" t="n"/>
      <c r="D1142" s="27" t="n"/>
      <c r="E1142" s="27" t="n"/>
      <c r="F1142" s="27" t="n"/>
      <c r="G1142" s="28" t="inlineStr">
        <is>
          <t>0,00</t>
        </is>
      </c>
      <c r="H1142" s="28" t="n"/>
      <c r="I1142" s="27" t="n"/>
    </row>
    <row r="1143">
      <c r="A1143" s="23" t="inlineStr">
        <is>
          <t>TNEP3</t>
        </is>
      </c>
      <c r="B1143" s="24" t="inlineStr">
        <is>
          <t>Ação</t>
        </is>
      </c>
      <c r="C1143" s="24" t="n"/>
      <c r="D1143" s="24" t="n"/>
      <c r="E1143" s="24" t="n"/>
      <c r="F1143" s="24" t="n"/>
      <c r="G1143" s="29" t="inlineStr">
        <is>
          <t>0,00</t>
        </is>
      </c>
      <c r="H1143" s="29" t="n"/>
      <c r="I1143" s="24" t="n"/>
    </row>
    <row r="1144">
      <c r="A1144" s="26" t="inlineStr">
        <is>
          <t>BOVH3</t>
        </is>
      </c>
      <c r="B1144" s="27" t="inlineStr">
        <is>
          <t>Ação</t>
        </is>
      </c>
      <c r="C1144" s="27" t="n"/>
      <c r="D1144" s="27" t="n"/>
      <c r="E1144" s="27" t="n"/>
      <c r="F1144" s="27" t="n"/>
      <c r="G1144" s="28" t="inlineStr">
        <is>
          <t>0,00</t>
        </is>
      </c>
      <c r="H1144" s="28" t="n"/>
      <c r="I1144" s="27" t="n"/>
    </row>
    <row r="1145">
      <c r="A1145" s="23" t="inlineStr">
        <is>
          <t>PTIP3</t>
        </is>
      </c>
      <c r="B1145" s="24" t="inlineStr">
        <is>
          <t>Ação</t>
        </is>
      </c>
      <c r="C1145" s="24" t="n"/>
      <c r="D1145" s="24" t="n"/>
      <c r="E1145" s="24" t="n"/>
      <c r="F1145" s="24" t="n"/>
      <c r="G1145" s="29" t="inlineStr">
        <is>
          <t>0,00</t>
        </is>
      </c>
      <c r="H1145" s="29" t="n"/>
      <c r="I1145" s="24" t="n"/>
    </row>
    <row r="1146">
      <c r="A1146" s="26" t="inlineStr">
        <is>
          <t>LATS3</t>
        </is>
      </c>
      <c r="B1146" s="27" t="inlineStr">
        <is>
          <t>Ação</t>
        </is>
      </c>
      <c r="C1146" s="27" t="n"/>
      <c r="D1146" s="27" t="n"/>
      <c r="E1146" s="27" t="n"/>
      <c r="F1146" s="27" t="n"/>
      <c r="G1146" s="28" t="inlineStr">
        <is>
          <t>0,00</t>
        </is>
      </c>
      <c r="H1146" s="28" t="n"/>
      <c r="I1146" s="27" t="n"/>
    </row>
    <row r="1147">
      <c r="A1147" s="23" t="inlineStr">
        <is>
          <t>LECO3</t>
        </is>
      </c>
      <c r="B1147" s="24" t="inlineStr">
        <is>
          <t>Ação</t>
        </is>
      </c>
      <c r="C1147" s="24" t="n"/>
      <c r="D1147" s="24" t="n"/>
      <c r="E1147" s="24" t="n"/>
      <c r="F1147" s="24" t="n"/>
      <c r="G1147" s="29" t="inlineStr">
        <is>
          <t>0,00</t>
        </is>
      </c>
      <c r="H1147" s="29" t="n"/>
      <c r="I1147" s="24" t="n"/>
    </row>
    <row r="1148">
      <c r="A1148" s="26" t="inlineStr">
        <is>
          <t>MLPA3</t>
        </is>
      </c>
      <c r="B1148" s="27" t="inlineStr">
        <is>
          <t>Ação</t>
        </is>
      </c>
      <c r="C1148" s="27" t="n"/>
      <c r="D1148" s="27" t="n"/>
      <c r="E1148" s="27" t="n"/>
      <c r="F1148" s="27" t="n"/>
      <c r="G1148" s="28" t="inlineStr">
        <is>
          <t>0,00</t>
        </is>
      </c>
      <c r="H1148" s="28" t="n"/>
      <c r="I1148" s="27" t="n"/>
    </row>
    <row r="1149">
      <c r="A1149" s="23" t="inlineStr">
        <is>
          <t>ALBA3</t>
        </is>
      </c>
      <c r="B1149" s="24" t="inlineStr">
        <is>
          <t>Ação</t>
        </is>
      </c>
      <c r="C1149" s="24" t="n"/>
      <c r="D1149" s="24" t="n"/>
      <c r="E1149" s="24" t="n"/>
      <c r="F1149" s="24" t="n"/>
      <c r="G1149" s="29" t="inlineStr">
        <is>
          <t>0,00</t>
        </is>
      </c>
      <c r="H1149" s="29" t="n"/>
      <c r="I1149" s="24" t="n"/>
    </row>
    <row r="1150">
      <c r="A1150" s="26" t="inlineStr">
        <is>
          <t>BSGR3</t>
        </is>
      </c>
      <c r="B1150" s="27" t="inlineStr">
        <is>
          <t>Ação</t>
        </is>
      </c>
      <c r="C1150" s="27" t="n"/>
      <c r="D1150" s="27" t="n"/>
      <c r="E1150" s="27" t="n"/>
      <c r="F1150" s="27" t="n"/>
      <c r="G1150" s="28" t="inlineStr">
        <is>
          <t>0,00</t>
        </is>
      </c>
      <c r="H1150" s="28" t="n"/>
      <c r="I1150" s="27" t="n"/>
    </row>
    <row r="1151">
      <c r="A1151" s="23" t="inlineStr">
        <is>
          <t>ILLS4</t>
        </is>
      </c>
      <c r="B1151" s="24" t="inlineStr">
        <is>
          <t>Ação</t>
        </is>
      </c>
      <c r="C1151" s="24" t="n"/>
      <c r="D1151" s="24" t="n"/>
      <c r="E1151" s="24" t="n"/>
      <c r="F1151" s="24" t="n"/>
      <c r="G1151" s="29" t="inlineStr">
        <is>
          <t>0,00</t>
        </is>
      </c>
      <c r="H1151" s="29" t="n"/>
      <c r="I1151" s="24" t="n"/>
    </row>
    <row r="1152">
      <c r="A1152" s="26" t="inlineStr">
        <is>
          <t>AGEI3</t>
        </is>
      </c>
      <c r="B1152" s="27" t="inlineStr">
        <is>
          <t>Ação</t>
        </is>
      </c>
      <c r="C1152" s="27" t="n"/>
      <c r="D1152" s="27" t="n"/>
      <c r="E1152" s="27" t="n"/>
      <c r="F1152" s="27" t="n"/>
      <c r="G1152" s="28" t="inlineStr">
        <is>
          <t>0,00</t>
        </is>
      </c>
      <c r="H1152" s="28" t="n"/>
      <c r="I1152" s="27" t="n"/>
    </row>
    <row r="1153">
      <c r="A1153" s="23" t="inlineStr">
        <is>
          <t>GALO3</t>
        </is>
      </c>
      <c r="B1153" s="24" t="inlineStr">
        <is>
          <t>Ação</t>
        </is>
      </c>
      <c r="C1153" s="24" t="n"/>
      <c r="D1153" s="24" t="n"/>
      <c r="E1153" s="24" t="n"/>
      <c r="F1153" s="24" t="n"/>
      <c r="G1153" s="29" t="inlineStr">
        <is>
          <t>0,00</t>
        </is>
      </c>
      <c r="H1153" s="29" t="n"/>
      <c r="I1153" s="24" t="n"/>
    </row>
    <row r="1154">
      <c r="A1154" s="26" t="inlineStr">
        <is>
          <t>GPIV33</t>
        </is>
      </c>
      <c r="B1154" s="27" t="inlineStr">
        <is>
          <t>Ação</t>
        </is>
      </c>
      <c r="C1154" s="27" t="n"/>
      <c r="D1154" s="27" t="n"/>
      <c r="E1154" s="27" t="inlineStr">
        <is>
          <t>07.857.850/0001-50</t>
        </is>
      </c>
      <c r="F1154" s="27" t="n"/>
      <c r="G1154" s="28" t="inlineStr">
        <is>
          <t>0,00</t>
        </is>
      </c>
      <c r="H1154" s="28" t="n"/>
      <c r="I1154" s="27" t="n"/>
    </row>
    <row r="1155">
      <c r="A1155" s="23" t="inlineStr">
        <is>
          <t>JBDU3</t>
        </is>
      </c>
      <c r="B1155" s="24" t="inlineStr">
        <is>
          <t>Ação</t>
        </is>
      </c>
      <c r="C1155" s="24" t="n"/>
      <c r="D1155" s="24" t="n"/>
      <c r="E1155" s="24" t="n"/>
      <c r="F1155" s="24" t="n"/>
      <c r="G1155" s="29" t="inlineStr">
        <is>
          <t>0,00</t>
        </is>
      </c>
      <c r="H1155" s="29" t="n"/>
      <c r="I1155" s="24" t="n"/>
    </row>
    <row r="1156">
      <c r="A1156" s="26" t="inlineStr">
        <is>
          <t>CCHI4</t>
        </is>
      </c>
      <c r="B1156" s="27" t="inlineStr">
        <is>
          <t>Ação</t>
        </is>
      </c>
      <c r="C1156" s="27" t="n"/>
      <c r="D1156" s="27" t="n"/>
      <c r="E1156" s="27" t="n"/>
      <c r="F1156" s="27" t="n"/>
      <c r="G1156" s="28" t="inlineStr">
        <is>
          <t>0,00</t>
        </is>
      </c>
      <c r="H1156" s="28" t="n"/>
      <c r="I1156" s="27" t="n"/>
    </row>
    <row r="1157">
      <c r="A1157" s="23" t="inlineStr">
        <is>
          <t>CCHI3</t>
        </is>
      </c>
      <c r="B1157" s="24" t="inlineStr">
        <is>
          <t>Ação</t>
        </is>
      </c>
      <c r="C1157" s="24" t="n"/>
      <c r="D1157" s="24" t="n"/>
      <c r="E1157" s="24" t="n"/>
      <c r="F1157" s="24" t="n"/>
      <c r="G1157" s="29" t="inlineStr">
        <is>
          <t>0,00</t>
        </is>
      </c>
      <c r="H1157" s="29" t="n"/>
      <c r="I1157" s="24" t="n"/>
    </row>
    <row r="1158">
      <c r="A1158" s="26" t="inlineStr">
        <is>
          <t>OMGE3</t>
        </is>
      </c>
      <c r="B1158" s="27" t="inlineStr">
        <is>
          <t>Ação</t>
        </is>
      </c>
      <c r="C1158" s="27" t="n"/>
      <c r="D1158" s="27" t="n"/>
      <c r="E1158" s="27" t="inlineStr">
        <is>
          <t>09.149.503/0001-06</t>
        </is>
      </c>
      <c r="F1158" s="27" t="n"/>
      <c r="G1158" s="28" t="inlineStr">
        <is>
          <t>0,00</t>
        </is>
      </c>
      <c r="H1158" s="28" t="n"/>
      <c r="I1158" s="27" t="n"/>
    </row>
    <row r="1159">
      <c r="A1159" s="23" t="inlineStr">
        <is>
          <t>ODER3</t>
        </is>
      </c>
      <c r="B1159" s="24" t="inlineStr">
        <is>
          <t>Ação</t>
        </is>
      </c>
      <c r="C1159" s="24" t="n"/>
      <c r="D1159" s="24" t="n"/>
      <c r="E1159" s="24" t="inlineStr">
        <is>
          <t>97.191.902/0001-94</t>
        </is>
      </c>
      <c r="F1159" s="24" t="n"/>
      <c r="G1159" s="29" t="inlineStr">
        <is>
          <t>0,00</t>
        </is>
      </c>
      <c r="H1159" s="29" t="n"/>
      <c r="I1159" s="24" t="n"/>
    </row>
    <row r="1160">
      <c r="A1160" s="26" t="inlineStr">
        <is>
          <t>OBTC3</t>
        </is>
      </c>
      <c r="B1160" s="27" t="inlineStr">
        <is>
          <t>Ação</t>
        </is>
      </c>
      <c r="C1160" s="27" t="n"/>
      <c r="D1160" s="27" t="n">
        <v>7.06</v>
      </c>
      <c r="E1160" s="27" t="inlineStr">
        <is>
          <t>59.693.110/0001-29</t>
        </is>
      </c>
      <c r="F1160" s="27" t="n"/>
      <c r="G1160" s="28" t="inlineStr">
        <is>
          <t>0,00</t>
        </is>
      </c>
      <c r="H1160" s="28" t="n"/>
      <c r="I1160" s="27" t="n"/>
    </row>
    <row r="1161">
      <c r="A1161" s="23" t="inlineStr">
        <is>
          <t>ICPI3</t>
        </is>
      </c>
      <c r="B1161" s="24" t="inlineStr">
        <is>
          <t>Ação</t>
        </is>
      </c>
      <c r="C1161" s="24" t="n"/>
      <c r="D1161" s="24" t="n"/>
      <c r="E1161" s="24" t="n"/>
      <c r="F1161" s="24" t="n"/>
      <c r="G1161" s="29" t="inlineStr">
        <is>
          <t>0,00</t>
        </is>
      </c>
      <c r="H1161" s="29" t="n"/>
      <c r="I1161" s="24" t="n"/>
    </row>
    <row r="1162">
      <c r="A1162" s="26" t="inlineStr">
        <is>
          <t>BPNM3</t>
        </is>
      </c>
      <c r="B1162" s="27" t="inlineStr">
        <is>
          <t>Ação</t>
        </is>
      </c>
      <c r="C1162" s="27" t="n"/>
      <c r="D1162" s="27" t="n"/>
      <c r="E1162" s="27" t="n"/>
      <c r="F1162" s="27" t="n"/>
      <c r="G1162" s="28" t="inlineStr">
        <is>
          <t>0,00</t>
        </is>
      </c>
      <c r="H1162" s="28" t="n"/>
      <c r="I1162" s="27" t="n"/>
    </row>
    <row r="1163">
      <c r="A1163" s="23" t="inlineStr">
        <is>
          <t>VSPT3</t>
        </is>
      </c>
      <c r="B1163" s="24" t="inlineStr">
        <is>
          <t>Ação</t>
        </is>
      </c>
      <c r="C1163" s="24" t="n"/>
      <c r="D1163" s="24" t="n"/>
      <c r="E1163" s="24" t="inlineStr">
        <is>
          <t>00.924.429/0001-75</t>
        </is>
      </c>
      <c r="F1163" s="24" t="n"/>
      <c r="G1163" s="29" t="inlineStr">
        <is>
          <t>0,00</t>
        </is>
      </c>
      <c r="H1163" s="29" t="n"/>
      <c r="I1163" s="24" t="n"/>
    </row>
    <row r="1164">
      <c r="A1164" s="26" t="inlineStr">
        <is>
          <t>CSPC3</t>
        </is>
      </c>
      <c r="B1164" s="27" t="inlineStr">
        <is>
          <t>Ação</t>
        </is>
      </c>
      <c r="C1164" s="27" t="n"/>
      <c r="D1164" s="27" t="n"/>
      <c r="E1164" s="27" t="n"/>
      <c r="F1164" s="27" t="n"/>
      <c r="G1164" s="28" t="inlineStr">
        <is>
          <t>0,00</t>
        </is>
      </c>
      <c r="H1164" s="28" t="n"/>
      <c r="I1164" s="27" t="n"/>
    </row>
    <row r="1165">
      <c r="A1165" s="23" t="inlineStr">
        <is>
          <t>CZRS3</t>
        </is>
      </c>
      <c r="B1165" s="24" t="inlineStr">
        <is>
          <t>Ação</t>
        </is>
      </c>
      <c r="C1165" s="24" t="n"/>
      <c r="D1165" s="24" t="n"/>
      <c r="E1165" s="24" t="n"/>
      <c r="F1165" s="24" t="n"/>
      <c r="G1165" s="29" t="inlineStr">
        <is>
          <t>0,00</t>
        </is>
      </c>
      <c r="H1165" s="29" t="n"/>
      <c r="I1165" s="24" t="n"/>
    </row>
    <row r="1166">
      <c r="A1166" s="26" t="inlineStr">
        <is>
          <t>BBTG11</t>
        </is>
      </c>
      <c r="B1166" s="27" t="inlineStr">
        <is>
          <t>Ação</t>
        </is>
      </c>
      <c r="C1166" s="27" t="n"/>
      <c r="D1166" s="27" t="n"/>
      <c r="E1166" s="27" t="n"/>
      <c r="F1166" s="27" t="n"/>
      <c r="G1166" s="28" t="inlineStr">
        <is>
          <t>0,00</t>
        </is>
      </c>
      <c r="H1166" s="28" t="n"/>
      <c r="I1166" s="27" t="n"/>
    </row>
    <row r="1167">
      <c r="A1167" s="23" t="inlineStr">
        <is>
          <t>BBTG13</t>
        </is>
      </c>
      <c r="B1167" s="24" t="inlineStr">
        <is>
          <t>Ação</t>
        </is>
      </c>
      <c r="C1167" s="24" t="n"/>
      <c r="D1167" s="24" t="n"/>
      <c r="E1167" s="24" t="n"/>
      <c r="F1167" s="24" t="n"/>
      <c r="G1167" s="29" t="inlineStr">
        <is>
          <t>0,00</t>
        </is>
      </c>
      <c r="H1167" s="29" t="n"/>
      <c r="I1167" s="24" t="n"/>
    </row>
    <row r="1168">
      <c r="A1168" s="26" t="inlineStr">
        <is>
          <t>ABCB3</t>
        </is>
      </c>
      <c r="B1168" s="27" t="inlineStr">
        <is>
          <t>Ação</t>
        </is>
      </c>
      <c r="C1168" s="27" t="n"/>
      <c r="D1168" s="27" t="n"/>
      <c r="E1168" s="27" t="n"/>
      <c r="F1168" s="27" t="n"/>
      <c r="G1168" s="28" t="inlineStr">
        <is>
          <t>0,00</t>
        </is>
      </c>
      <c r="H1168" s="28" t="n"/>
      <c r="I1168" s="27" t="n"/>
    </row>
    <row r="1169">
      <c r="A1169" s="23" t="inlineStr">
        <is>
          <t>CMMA4</t>
        </is>
      </c>
      <c r="B1169" s="24" t="inlineStr">
        <is>
          <t>Ação</t>
        </is>
      </c>
      <c r="C1169" s="24" t="n"/>
      <c r="D1169" s="24" t="n"/>
      <c r="E1169" s="24" t="n"/>
      <c r="F1169" s="24" t="n"/>
      <c r="G1169" s="29" t="inlineStr">
        <is>
          <t>0,00</t>
        </is>
      </c>
      <c r="H1169" s="29" t="n"/>
      <c r="I1169" s="24" t="n"/>
    </row>
    <row r="1170">
      <c r="A1170" s="26" t="inlineStr">
        <is>
          <t>REPA3</t>
        </is>
      </c>
      <c r="B1170" s="27" t="inlineStr">
        <is>
          <t>Ação</t>
        </is>
      </c>
      <c r="C1170" s="27" t="n"/>
      <c r="D1170" s="27" t="n"/>
      <c r="E1170" s="27" t="n"/>
      <c r="F1170" s="27" t="n"/>
      <c r="G1170" s="28" t="inlineStr">
        <is>
          <t>0,00</t>
        </is>
      </c>
      <c r="H1170" s="28" t="n"/>
      <c r="I1170" s="27" t="n"/>
    </row>
    <row r="1171">
      <c r="A1171" s="23" t="inlineStr">
        <is>
          <t>REPA4</t>
        </is>
      </c>
      <c r="B1171" s="24" t="inlineStr">
        <is>
          <t>Ação</t>
        </is>
      </c>
      <c r="C1171" s="24" t="n"/>
      <c r="D1171" s="24" t="n"/>
      <c r="E1171" s="24" t="n"/>
      <c r="F1171" s="24" t="n"/>
      <c r="G1171" s="29" t="inlineStr">
        <is>
          <t>0,00</t>
        </is>
      </c>
      <c r="H1171" s="29" t="n"/>
      <c r="I1171" s="24" t="n"/>
    </row>
    <row r="1172">
      <c r="A1172" s="26" t="inlineStr">
        <is>
          <t>SASG3</t>
        </is>
      </c>
      <c r="B1172" s="27" t="inlineStr">
        <is>
          <t>Ação</t>
        </is>
      </c>
      <c r="C1172" s="27" t="n"/>
      <c r="D1172" s="27" t="n"/>
      <c r="E1172" s="27" t="n"/>
      <c r="F1172" s="27" t="n"/>
      <c r="G1172" s="28" t="inlineStr">
        <is>
          <t>0,00</t>
        </is>
      </c>
      <c r="H1172" s="28" t="n"/>
      <c r="I1172" s="27" t="n"/>
    </row>
    <row r="1173">
      <c r="A1173" s="23" t="inlineStr">
        <is>
          <t>DAYC3</t>
        </is>
      </c>
      <c r="B1173" s="24" t="inlineStr">
        <is>
          <t>Ação</t>
        </is>
      </c>
      <c r="C1173" s="24" t="n"/>
      <c r="D1173" s="24" t="n"/>
      <c r="E1173" s="24" t="n"/>
      <c r="F1173" s="24" t="n"/>
      <c r="G1173" s="29" t="inlineStr">
        <is>
          <t>0,00</t>
        </is>
      </c>
      <c r="H1173" s="29" t="n"/>
      <c r="I1173" s="24" t="n"/>
    </row>
    <row r="1174">
      <c r="A1174" s="26" t="inlineStr">
        <is>
          <t>VVAX4</t>
        </is>
      </c>
      <c r="B1174" s="27" t="inlineStr">
        <is>
          <t>Ação</t>
        </is>
      </c>
      <c r="C1174" s="27" t="n"/>
      <c r="D1174" s="27" t="n"/>
      <c r="E1174" s="27" t="n"/>
      <c r="F1174" s="27" t="n"/>
      <c r="G1174" s="28" t="inlineStr">
        <is>
          <t>0,00</t>
        </is>
      </c>
      <c r="H1174" s="28" t="n"/>
      <c r="I1174" s="27" t="n"/>
    </row>
    <row r="1175">
      <c r="A1175" s="23" t="inlineStr">
        <is>
          <t>CSPC4</t>
        </is>
      </c>
      <c r="B1175" s="24" t="inlineStr">
        <is>
          <t>Ação</t>
        </is>
      </c>
      <c r="C1175" s="24" t="n"/>
      <c r="D1175" s="24" t="n"/>
      <c r="E1175" s="24" t="n"/>
      <c r="F1175" s="24" t="n"/>
      <c r="G1175" s="29" t="inlineStr">
        <is>
          <t>0,00</t>
        </is>
      </c>
      <c r="H1175" s="29" t="n"/>
      <c r="I1175" s="24" t="n"/>
    </row>
    <row r="1176">
      <c r="A1176" s="26" t="inlineStr">
        <is>
          <t>CLSC6</t>
        </is>
      </c>
      <c r="B1176" s="27" t="inlineStr">
        <is>
          <t>Ação</t>
        </is>
      </c>
      <c r="C1176" s="27" t="n"/>
      <c r="D1176" s="27" t="n"/>
      <c r="E1176" s="27" t="n"/>
      <c r="F1176" s="27" t="n"/>
      <c r="G1176" s="28" t="inlineStr">
        <is>
          <t>0,00</t>
        </is>
      </c>
      <c r="H1176" s="28" t="n"/>
      <c r="I1176" s="27" t="n"/>
    </row>
    <row r="1177">
      <c r="A1177" s="23" t="inlineStr">
        <is>
          <t>AUAU3</t>
        </is>
      </c>
      <c r="B1177" s="24" t="inlineStr">
        <is>
          <t>Ação</t>
        </is>
      </c>
      <c r="C1177" s="24" t="n"/>
      <c r="D1177" s="24" t="n">
        <v>3.12</v>
      </c>
      <c r="E1177" s="24" t="inlineStr">
        <is>
          <t>53.153.938/0001-08</t>
        </is>
      </c>
      <c r="F1177" s="24" t="n"/>
      <c r="G1177" s="29" t="inlineStr">
        <is>
          <t>0,00</t>
        </is>
      </c>
      <c r="H1177" s="29" t="n"/>
      <c r="I1177" s="24" t="n"/>
    </row>
    <row r="1178">
      <c r="A1178" s="26" t="inlineStr">
        <is>
          <t>VSPT4</t>
        </is>
      </c>
      <c r="B1178" s="27" t="inlineStr">
        <is>
          <t>Ação</t>
        </is>
      </c>
      <c r="C1178" s="27" t="n"/>
      <c r="D1178" s="27" t="n"/>
      <c r="E1178" s="27" t="inlineStr">
        <is>
          <t>00.924.429/0001-75</t>
        </is>
      </c>
      <c r="F1178" s="27" t="n"/>
      <c r="G1178" s="28" t="inlineStr">
        <is>
          <t>0,00</t>
        </is>
      </c>
      <c r="H1178" s="28" t="n"/>
      <c r="I1178" s="27" t="n"/>
    </row>
    <row r="1179">
      <c r="A1179" s="23" t="inlineStr">
        <is>
          <t>DUFB11</t>
        </is>
      </c>
      <c r="B1179" s="24" t="inlineStr">
        <is>
          <t>Ação</t>
        </is>
      </c>
      <c r="C1179" s="24" t="n"/>
      <c r="D1179" s="24" t="n"/>
      <c r="E1179" s="24" t="n"/>
      <c r="F1179" s="24" t="n"/>
      <c r="G1179" s="29" t="inlineStr">
        <is>
          <t>0,00</t>
        </is>
      </c>
      <c r="H1179" s="29" t="n"/>
      <c r="I1179" s="24" t="n"/>
    </row>
    <row r="1180">
      <c r="A1180" s="26" t="inlineStr">
        <is>
          <t>VVAX3</t>
        </is>
      </c>
      <c r="B1180" s="27" t="inlineStr">
        <is>
          <t>Ação</t>
        </is>
      </c>
      <c r="C1180" s="27" t="n"/>
      <c r="D1180" s="27" t="n"/>
      <c r="E1180" s="27" t="n"/>
      <c r="F1180" s="27" t="n"/>
      <c r="G1180" s="28" t="inlineStr">
        <is>
          <t>0,00</t>
        </is>
      </c>
      <c r="H1180" s="28" t="n"/>
      <c r="I1180" s="27" t="n"/>
    </row>
    <row r="1181">
      <c r="A1181" s="23" t="inlineStr">
        <is>
          <t>SEBB3</t>
        </is>
      </c>
      <c r="B1181" s="24" t="inlineStr">
        <is>
          <t>Ação</t>
        </is>
      </c>
      <c r="C1181" s="24" t="n"/>
      <c r="D1181" s="24" t="n"/>
      <c r="E1181" s="24" t="n"/>
      <c r="F1181" s="24" t="n"/>
      <c r="G1181" s="29" t="inlineStr">
        <is>
          <t>0,00</t>
        </is>
      </c>
      <c r="H1181" s="29" t="n"/>
      <c r="I1181" s="24" t="n"/>
    </row>
    <row r="1182">
      <c r="A1182" s="26" t="inlineStr">
        <is>
          <t>SALM4</t>
        </is>
      </c>
      <c r="B1182" s="27" t="inlineStr">
        <is>
          <t>Ação</t>
        </is>
      </c>
      <c r="C1182" s="27" t="n"/>
      <c r="D1182" s="27" t="n"/>
      <c r="E1182" s="27" t="n"/>
      <c r="F1182" s="27" t="n"/>
      <c r="G1182" s="28" t="inlineStr">
        <is>
          <t>0,00</t>
        </is>
      </c>
      <c r="H1182" s="28" t="n"/>
      <c r="I1182" s="27" t="n"/>
    </row>
    <row r="1183">
      <c r="A1183" s="23" t="inlineStr">
        <is>
          <t>SEBB4</t>
        </is>
      </c>
      <c r="B1183" s="24" t="inlineStr">
        <is>
          <t>Ação</t>
        </is>
      </c>
      <c r="C1183" s="24" t="n"/>
      <c r="D1183" s="24" t="n"/>
      <c r="E1183" s="24" t="n"/>
      <c r="F1183" s="24" t="n"/>
      <c r="G1183" s="29" t="inlineStr">
        <is>
          <t>0,00</t>
        </is>
      </c>
      <c r="H1183" s="29" t="n"/>
      <c r="I1183" s="24" t="n"/>
    </row>
    <row r="1184">
      <c r="A1184" s="26" t="inlineStr">
        <is>
          <t>SALM3</t>
        </is>
      </c>
      <c r="B1184" s="27" t="inlineStr">
        <is>
          <t>Ação</t>
        </is>
      </c>
      <c r="C1184" s="27" t="n"/>
      <c r="D1184" s="27" t="n"/>
      <c r="E1184" s="27" t="n"/>
      <c r="F1184" s="27" t="n"/>
      <c r="G1184" s="28" t="inlineStr">
        <is>
          <t>0,00</t>
        </is>
      </c>
      <c r="H1184" s="28" t="n"/>
      <c r="I1184" s="27" t="n"/>
    </row>
    <row r="1185">
      <c r="A1185" s="23" t="inlineStr">
        <is>
          <t>ENER5</t>
        </is>
      </c>
      <c r="B1185" s="24" t="inlineStr">
        <is>
          <t>Ação</t>
        </is>
      </c>
      <c r="C1185" s="24" t="n"/>
      <c r="D1185" s="24" t="n"/>
      <c r="E1185" s="24" t="n"/>
      <c r="F1185" s="24" t="n"/>
      <c r="G1185" s="29" t="inlineStr">
        <is>
          <t>0,00</t>
        </is>
      </c>
      <c r="H1185" s="29" t="n"/>
      <c r="I1185" s="24" t="n"/>
    </row>
    <row r="1186">
      <c r="A1186" s="26" t="inlineStr">
        <is>
          <t>ENER3</t>
        </is>
      </c>
      <c r="B1186" s="27" t="inlineStr">
        <is>
          <t>Ação</t>
        </is>
      </c>
      <c r="C1186" s="27" t="n"/>
      <c r="D1186" s="27" t="n"/>
      <c r="E1186" s="27" t="n"/>
      <c r="F1186" s="27" t="n"/>
      <c r="G1186" s="28" t="inlineStr">
        <is>
          <t>0,00</t>
        </is>
      </c>
      <c r="H1186" s="28" t="n"/>
      <c r="I1186" s="27" t="n"/>
    </row>
    <row r="1187">
      <c r="A1187" s="23" t="inlineStr">
        <is>
          <t>ENER6</t>
        </is>
      </c>
      <c r="B1187" s="24" t="inlineStr">
        <is>
          <t>Ação</t>
        </is>
      </c>
      <c r="C1187" s="24" t="n"/>
      <c r="D1187" s="24" t="n"/>
      <c r="E1187" s="24" t="n"/>
      <c r="F1187" s="24" t="n"/>
      <c r="G1187" s="29" t="inlineStr">
        <is>
          <t>0,00</t>
        </is>
      </c>
      <c r="H1187" s="29" t="n"/>
      <c r="I1187" s="24" t="n"/>
    </row>
    <row r="1188">
      <c r="A1188" s="26" t="inlineStr">
        <is>
          <t>TEFC11</t>
        </is>
      </c>
      <c r="B1188" s="27" t="inlineStr">
        <is>
          <t>Ação</t>
        </is>
      </c>
      <c r="C1188" s="27" t="n"/>
      <c r="D1188" s="27" t="n"/>
      <c r="E1188" s="27" t="n"/>
      <c r="F1188" s="27" t="n"/>
      <c r="G1188" s="28" t="inlineStr">
        <is>
          <t>0,00</t>
        </is>
      </c>
      <c r="H1188" s="28" t="n"/>
      <c r="I1188" s="27" t="n"/>
    </row>
    <row r="1189">
      <c r="A1189" s="23" t="inlineStr">
        <is>
          <t>CAFE4</t>
        </is>
      </c>
      <c r="B1189" s="24" t="inlineStr">
        <is>
          <t>Ação</t>
        </is>
      </c>
      <c r="C1189" s="24" t="n"/>
      <c r="D1189" s="24" t="n"/>
      <c r="E1189" s="24" t="n"/>
      <c r="F1189" s="24" t="n"/>
      <c r="G1189" s="29" t="inlineStr">
        <is>
          <t>0,00</t>
        </is>
      </c>
      <c r="H1189" s="29" t="n"/>
      <c r="I1189" s="24" t="n"/>
    </row>
    <row r="1190">
      <c r="A1190" s="26" t="inlineStr">
        <is>
          <t>MLPA12</t>
        </is>
      </c>
      <c r="B1190" s="27" t="inlineStr">
        <is>
          <t>Ação</t>
        </is>
      </c>
      <c r="C1190" s="27" t="n"/>
      <c r="D1190" s="27" t="n"/>
      <c r="E1190" s="27" t="n"/>
      <c r="F1190" s="27" t="n"/>
      <c r="G1190" s="28" t="inlineStr">
        <is>
          <t>0,00</t>
        </is>
      </c>
      <c r="H1190" s="28" t="n"/>
      <c r="I1190" s="27" t="n"/>
    </row>
    <row r="1191">
      <c r="A1191" s="23" t="inlineStr">
        <is>
          <t>MLPA4</t>
        </is>
      </c>
      <c r="B1191" s="24" t="inlineStr">
        <is>
          <t>Ação</t>
        </is>
      </c>
      <c r="C1191" s="24" t="n"/>
      <c r="D1191" s="24" t="n"/>
      <c r="E1191" s="24" t="n"/>
      <c r="F1191" s="24" t="n"/>
      <c r="G1191" s="29" t="inlineStr">
        <is>
          <t>0,00</t>
        </is>
      </c>
      <c r="H1191" s="29" t="n"/>
      <c r="I1191" s="24" t="n"/>
    </row>
    <row r="1192">
      <c r="A1192" s="26" t="inlineStr">
        <is>
          <t>CESP4</t>
        </is>
      </c>
      <c r="B1192" s="27" t="inlineStr">
        <is>
          <t>Ação</t>
        </is>
      </c>
      <c r="C1192" s="27" t="n"/>
      <c r="D1192" s="27" t="n"/>
      <c r="E1192" s="27" t="n"/>
      <c r="F1192" s="27" t="n"/>
      <c r="G1192" s="28" t="inlineStr">
        <is>
          <t>0,00</t>
        </is>
      </c>
      <c r="H1192" s="28" t="n"/>
      <c r="I1192" s="27" t="n"/>
    </row>
    <row r="1193">
      <c r="A1193" s="23" t="inlineStr">
        <is>
          <t>CAFE3</t>
        </is>
      </c>
      <c r="B1193" s="24" t="inlineStr">
        <is>
          <t>Ação</t>
        </is>
      </c>
      <c r="C1193" s="24" t="n"/>
      <c r="D1193" s="24" t="n"/>
      <c r="E1193" s="24" t="n"/>
      <c r="F1193" s="24" t="n"/>
      <c r="G1193" s="29" t="inlineStr">
        <is>
          <t>0,00</t>
        </is>
      </c>
      <c r="H1193" s="29" t="n"/>
      <c r="I1193" s="24" t="n"/>
    </row>
    <row r="1194">
      <c r="A1194" s="26" t="inlineStr">
        <is>
          <t>BSCT3</t>
        </is>
      </c>
      <c r="B1194" s="27" t="inlineStr">
        <is>
          <t>Ação</t>
        </is>
      </c>
      <c r="C1194" s="27" t="n"/>
      <c r="D1194" s="27" t="n"/>
      <c r="E1194" s="27" t="n"/>
      <c r="F1194" s="27" t="n"/>
      <c r="G1194" s="28" t="inlineStr">
        <is>
          <t>0,00</t>
        </is>
      </c>
      <c r="H1194" s="28" t="n"/>
      <c r="I1194" s="27" t="n"/>
    </row>
    <row r="1195">
      <c r="A1195" s="23" t="inlineStr">
        <is>
          <t>RCTB42</t>
        </is>
      </c>
      <c r="B1195" s="24" t="inlineStr">
        <is>
          <t>Ação</t>
        </is>
      </c>
      <c r="C1195" s="24" t="n"/>
      <c r="D1195" s="24" t="n"/>
      <c r="E1195" s="24" t="n"/>
      <c r="F1195" s="24" t="n"/>
      <c r="G1195" s="29" t="inlineStr">
        <is>
          <t>0,00</t>
        </is>
      </c>
      <c r="H1195" s="29" t="n"/>
      <c r="I1195" s="24" t="n"/>
    </row>
    <row r="1196">
      <c r="A1196" s="26" t="inlineStr">
        <is>
          <t>CORR3</t>
        </is>
      </c>
      <c r="B1196" s="27" t="inlineStr">
        <is>
          <t>Ação</t>
        </is>
      </c>
      <c r="C1196" s="27" t="n"/>
      <c r="D1196" s="27" t="n">
        <v>12</v>
      </c>
      <c r="E1196" s="27" t="inlineStr">
        <is>
          <t>15.101.405/0001-93</t>
        </is>
      </c>
      <c r="F1196" s="27" t="n"/>
      <c r="G1196" s="28" t="inlineStr">
        <is>
          <t>0,00</t>
        </is>
      </c>
      <c r="H1196" s="28" t="n"/>
      <c r="I1196" s="27" t="n"/>
    </row>
    <row r="1197">
      <c r="A1197" s="23" t="inlineStr">
        <is>
          <t>SULT4</t>
        </is>
      </c>
      <c r="B1197" s="24" t="inlineStr">
        <is>
          <t>Ação</t>
        </is>
      </c>
      <c r="C1197" s="24" t="n"/>
      <c r="D1197" s="24" t="n"/>
      <c r="E1197" s="24" t="n"/>
      <c r="F1197" s="24" t="n"/>
      <c r="G1197" s="29" t="inlineStr">
        <is>
          <t>0,00</t>
        </is>
      </c>
      <c r="H1197" s="29" t="n"/>
      <c r="I1197" s="24" t="n"/>
    </row>
    <row r="1198">
      <c r="A1198" s="26" t="inlineStr">
        <is>
          <t>BRSR4</t>
        </is>
      </c>
      <c r="B1198" s="27" t="inlineStr">
        <is>
          <t>Ação</t>
        </is>
      </c>
      <c r="C1198" s="27" t="n"/>
      <c r="D1198" s="27" t="n"/>
      <c r="E1198" s="27" t="n"/>
      <c r="F1198" s="27" t="n"/>
      <c r="G1198" s="28" t="inlineStr">
        <is>
          <t>0,00</t>
        </is>
      </c>
      <c r="H1198" s="28" t="n"/>
      <c r="I1198" s="27" t="n"/>
    </row>
    <row r="1199">
      <c r="A1199" s="23" t="inlineStr">
        <is>
          <t>SULT3</t>
        </is>
      </c>
      <c r="B1199" s="24" t="inlineStr">
        <is>
          <t>Ação</t>
        </is>
      </c>
      <c r="C1199" s="24" t="n"/>
      <c r="D1199" s="24" t="n"/>
      <c r="E1199" s="24" t="n"/>
      <c r="F1199" s="24" t="n"/>
      <c r="G1199" s="29" t="inlineStr">
        <is>
          <t>0,00</t>
        </is>
      </c>
      <c r="H1199" s="29" t="n"/>
      <c r="I1199" s="24" t="n"/>
    </row>
    <row r="1200">
      <c r="A1200" s="26" t="inlineStr">
        <is>
          <t>PALF11</t>
        </is>
      </c>
      <c r="B1200" s="27" t="inlineStr">
        <is>
          <t>Ação</t>
        </is>
      </c>
      <c r="C1200" s="27" t="n"/>
      <c r="D1200" s="27" t="n"/>
      <c r="E1200" s="27" t="n"/>
      <c r="F1200" s="27" t="n"/>
      <c r="G1200" s="28" t="inlineStr">
        <is>
          <t>0,00</t>
        </is>
      </c>
      <c r="H1200" s="28" t="n"/>
      <c r="I1200" s="27" t="n"/>
    </row>
    <row r="1201">
      <c r="A1201" s="23" t="inlineStr">
        <is>
          <t>BPHA3</t>
        </is>
      </c>
      <c r="B1201" s="24" t="inlineStr">
        <is>
          <t>Ação</t>
        </is>
      </c>
      <c r="C1201" s="24" t="n"/>
      <c r="D1201" s="24" t="n">
        <v>0.62</v>
      </c>
      <c r="E1201" s="24" t="inlineStr">
        <is>
          <t>11.395.624/0001-71</t>
        </is>
      </c>
      <c r="F1201" s="24" t="n"/>
      <c r="G1201" s="29" t="inlineStr">
        <is>
          <t>0,00</t>
        </is>
      </c>
      <c r="H1201" s="29" t="n"/>
      <c r="I1201" s="24" t="n"/>
    </row>
    <row r="1202">
      <c r="A1202" s="26" t="inlineStr">
        <is>
          <t>IGBR5</t>
        </is>
      </c>
      <c r="B1202" s="27" t="inlineStr">
        <is>
          <t>Ação</t>
        </is>
      </c>
      <c r="C1202" s="27" t="n"/>
      <c r="D1202" s="27" t="n"/>
      <c r="E1202" s="27" t="n"/>
      <c r="F1202" s="27" t="n"/>
      <c r="G1202" s="28" t="inlineStr">
        <is>
          <t>0,00</t>
        </is>
      </c>
      <c r="H1202" s="28" t="n"/>
      <c r="I1202" s="27" t="n"/>
    </row>
    <row r="1203">
      <c r="A1203" s="23" t="inlineStr">
        <is>
          <t>IGBR6</t>
        </is>
      </c>
      <c r="B1203" s="24" t="inlineStr">
        <is>
          <t>Ação</t>
        </is>
      </c>
      <c r="C1203" s="24" t="n"/>
      <c r="D1203" s="24" t="n"/>
      <c r="E1203" s="24" t="n"/>
      <c r="F1203" s="24" t="n"/>
      <c r="G1203" s="29" t="inlineStr">
        <is>
          <t>0,00</t>
        </is>
      </c>
      <c r="H1203" s="29" t="n"/>
      <c r="I1203" s="24" t="n"/>
    </row>
    <row r="1204">
      <c r="A1204" s="26" t="inlineStr">
        <is>
          <t>RCTB41</t>
        </is>
      </c>
      <c r="B1204" s="27" t="inlineStr">
        <is>
          <t>Ação</t>
        </is>
      </c>
      <c r="C1204" s="27" t="n"/>
      <c r="D1204" s="27" t="n"/>
      <c r="E1204" s="27" t="n"/>
      <c r="F1204" s="27" t="n"/>
      <c r="G1204" s="28" t="inlineStr">
        <is>
          <t>0,00</t>
        </is>
      </c>
      <c r="H1204" s="28" t="n"/>
      <c r="I1204" s="27" t="n"/>
    </row>
    <row r="1205">
      <c r="A1205" s="23" t="inlineStr">
        <is>
          <t>LREN4</t>
        </is>
      </c>
      <c r="B1205" s="24" t="inlineStr">
        <is>
          <t>Ação</t>
        </is>
      </c>
      <c r="C1205" s="24" t="n"/>
      <c r="D1205" s="24" t="n"/>
      <c r="E1205" s="24" t="n"/>
      <c r="F1205" s="24" t="n"/>
      <c r="G1205" s="29" t="inlineStr">
        <is>
          <t>0,00</t>
        </is>
      </c>
      <c r="H1205" s="29" t="n"/>
      <c r="I1205" s="24" t="n"/>
    </row>
    <row r="1206">
      <c r="A1206" s="26" t="inlineStr">
        <is>
          <t>RCTB31</t>
        </is>
      </c>
      <c r="B1206" s="27" t="inlineStr">
        <is>
          <t>Ação</t>
        </is>
      </c>
      <c r="C1206" s="27" t="n"/>
      <c r="D1206" s="27" t="n"/>
      <c r="E1206" s="27" t="n"/>
      <c r="F1206" s="27" t="n"/>
      <c r="G1206" s="28" t="inlineStr">
        <is>
          <t>0,00</t>
        </is>
      </c>
      <c r="H1206" s="28" t="n"/>
      <c r="I1206" s="27" t="n"/>
    </row>
    <row r="1207">
      <c r="A1207" s="23" t="inlineStr">
        <is>
          <t>RCTB33</t>
        </is>
      </c>
      <c r="B1207" s="24" t="inlineStr">
        <is>
          <t>Ação</t>
        </is>
      </c>
      <c r="C1207" s="24" t="n"/>
      <c r="D1207" s="24" t="n"/>
      <c r="E1207" s="24" t="n"/>
      <c r="F1207" s="24" t="n"/>
      <c r="G1207" s="29" t="inlineStr">
        <is>
          <t>0,00</t>
        </is>
      </c>
      <c r="H1207" s="29" t="n"/>
      <c r="I1207" s="24" t="n"/>
    </row>
    <row r="1208">
      <c r="A1208" s="26" t="inlineStr">
        <is>
          <t>CREM4</t>
        </is>
      </c>
      <c r="B1208" s="27" t="inlineStr">
        <is>
          <t>Ação</t>
        </is>
      </c>
      <c r="C1208" s="27" t="n"/>
      <c r="D1208" s="27" t="n"/>
      <c r="E1208" s="27" t="n"/>
      <c r="F1208" s="27" t="n"/>
      <c r="G1208" s="28" t="inlineStr">
        <is>
          <t>0,00</t>
        </is>
      </c>
      <c r="H1208" s="28" t="n"/>
      <c r="I1208" s="27" t="n"/>
    </row>
    <row r="1209">
      <c r="A1209" s="23" t="inlineStr">
        <is>
          <t>PALF5</t>
        </is>
      </c>
      <c r="B1209" s="24" t="inlineStr">
        <is>
          <t>Ação</t>
        </is>
      </c>
      <c r="C1209" s="24" t="n"/>
      <c r="D1209" s="24" t="n"/>
      <c r="E1209" s="24" t="n"/>
      <c r="F1209" s="24" t="n"/>
      <c r="G1209" s="29" t="inlineStr">
        <is>
          <t>0,00</t>
        </is>
      </c>
      <c r="H1209" s="29" t="n"/>
      <c r="I1209" s="24" t="n"/>
    </row>
    <row r="1210">
      <c r="A1210" s="26" t="inlineStr">
        <is>
          <t>ESTR3</t>
        </is>
      </c>
      <c r="B1210" s="27" t="inlineStr">
        <is>
          <t>Ação</t>
        </is>
      </c>
      <c r="C1210" s="27" t="n"/>
      <c r="D1210" s="27" t="n">
        <v>3.01</v>
      </c>
      <c r="E1210" s="27" t="inlineStr">
        <is>
          <t>61.082.004/0001-50</t>
        </is>
      </c>
      <c r="F1210" s="27" t="n"/>
      <c r="G1210" s="28" t="inlineStr">
        <is>
          <t>0,00</t>
        </is>
      </c>
      <c r="H1210" s="28" t="n"/>
      <c r="I1210" s="27" t="n"/>
    </row>
    <row r="1211">
      <c r="A1211" s="23" t="inlineStr">
        <is>
          <t>MEND5</t>
        </is>
      </c>
      <c r="B1211" s="24" t="inlineStr">
        <is>
          <t>Ação</t>
        </is>
      </c>
      <c r="C1211" s="24" t="n"/>
      <c r="D1211" s="24" t="n"/>
      <c r="E1211" s="24" t="n"/>
      <c r="F1211" s="24" t="n"/>
      <c r="G1211" s="29" t="inlineStr">
        <is>
          <t>0,00</t>
        </is>
      </c>
      <c r="H1211" s="29" t="n"/>
      <c r="I1211" s="24" t="n"/>
    </row>
    <row r="1212">
      <c r="A1212" s="26" t="inlineStr">
        <is>
          <t>PALF3</t>
        </is>
      </c>
      <c r="B1212" s="27" t="inlineStr">
        <is>
          <t>Ação</t>
        </is>
      </c>
      <c r="C1212" s="27" t="n"/>
      <c r="D1212" s="27" t="n"/>
      <c r="E1212" s="27" t="n"/>
      <c r="F1212" s="27" t="n"/>
      <c r="G1212" s="28" t="inlineStr">
        <is>
          <t>0,00</t>
        </is>
      </c>
      <c r="H1212" s="28" t="n"/>
      <c r="I1212" s="27" t="n"/>
    </row>
    <row r="1213">
      <c r="A1213" s="23" t="inlineStr">
        <is>
          <t>TPRC6</t>
        </is>
      </c>
      <c r="B1213" s="24" t="inlineStr">
        <is>
          <t>Ação</t>
        </is>
      </c>
      <c r="C1213" s="24" t="n"/>
      <c r="D1213" s="24" t="n"/>
      <c r="E1213" s="24" t="n"/>
      <c r="F1213" s="24" t="n"/>
      <c r="G1213" s="29" t="inlineStr">
        <is>
          <t>0,00</t>
        </is>
      </c>
      <c r="H1213" s="29" t="n"/>
      <c r="I1213" s="24" t="n"/>
    </row>
    <row r="1214">
      <c r="A1214" s="26" t="inlineStr">
        <is>
          <t>TPRC3</t>
        </is>
      </c>
      <c r="B1214" s="27" t="inlineStr">
        <is>
          <t>Ação</t>
        </is>
      </c>
      <c r="C1214" s="27" t="n"/>
      <c r="D1214" s="27" t="n"/>
      <c r="E1214" s="27" t="n"/>
      <c r="F1214" s="27" t="n"/>
      <c r="G1214" s="28" t="inlineStr">
        <is>
          <t>0,00</t>
        </is>
      </c>
      <c r="H1214" s="28" t="n"/>
      <c r="I1214" s="27" t="n"/>
    </row>
    <row r="1215">
      <c r="A1215" s="23" t="inlineStr">
        <is>
          <t>MEND6</t>
        </is>
      </c>
      <c r="B1215" s="24" t="inlineStr">
        <is>
          <t>Ação</t>
        </is>
      </c>
      <c r="C1215" s="24" t="n"/>
      <c r="D1215" s="24" t="n"/>
      <c r="E1215" s="24" t="n"/>
      <c r="F1215" s="24" t="n"/>
      <c r="G1215" s="29" t="inlineStr">
        <is>
          <t>0,00</t>
        </is>
      </c>
      <c r="H1215" s="29" t="n"/>
      <c r="I1215" s="24" t="n"/>
    </row>
    <row r="1216">
      <c r="A1216" s="26" t="inlineStr">
        <is>
          <t>SLED4</t>
        </is>
      </c>
      <c r="B1216" s="27" t="inlineStr">
        <is>
          <t>Ação</t>
        </is>
      </c>
      <c r="C1216" s="27" t="n"/>
      <c r="D1216" s="27" t="n">
        <v>1.6</v>
      </c>
      <c r="E1216" s="27" t="inlineStr">
        <is>
          <t>60.500.139/0001-26</t>
        </is>
      </c>
      <c r="F1216" s="27" t="n"/>
      <c r="G1216" s="28" t="inlineStr">
        <is>
          <t>0,00</t>
        </is>
      </c>
      <c r="H1216" s="28" t="n"/>
      <c r="I1216" s="27" t="n"/>
    </row>
    <row r="1217">
      <c r="A1217" s="23" t="inlineStr">
        <is>
          <t>CORR4</t>
        </is>
      </c>
      <c r="B1217" s="24" t="inlineStr">
        <is>
          <t>Ação</t>
        </is>
      </c>
      <c r="C1217" s="24" t="n"/>
      <c r="D1217" s="24" t="n">
        <v>82</v>
      </c>
      <c r="E1217" s="24" t="inlineStr">
        <is>
          <t>15.101.405/0001-93</t>
        </is>
      </c>
      <c r="F1217" s="24" t="n"/>
      <c r="G1217" s="29" t="inlineStr">
        <is>
          <t>0,00</t>
        </is>
      </c>
      <c r="H1217" s="29" t="n"/>
      <c r="I1217" s="24" t="n"/>
    </row>
    <row r="1218">
      <c r="A1218" s="26" t="inlineStr">
        <is>
          <t>ASSM4</t>
        </is>
      </c>
      <c r="B1218" s="27" t="inlineStr">
        <is>
          <t>Ação</t>
        </is>
      </c>
      <c r="C1218" s="27" t="n"/>
      <c r="D1218" s="27" t="n"/>
      <c r="E1218" s="27" t="n"/>
      <c r="F1218" s="27" t="n"/>
      <c r="G1218" s="28" t="inlineStr">
        <is>
          <t>0,00</t>
        </is>
      </c>
      <c r="H1218" s="28" t="n"/>
      <c r="I1218" s="27" t="n"/>
    </row>
    <row r="1219">
      <c r="A1219" s="23" t="inlineStr">
        <is>
          <t>GAZO4</t>
        </is>
      </c>
      <c r="B1219" s="24" t="inlineStr">
        <is>
          <t>Ação</t>
        </is>
      </c>
      <c r="C1219" s="24" t="n"/>
      <c r="D1219" s="24" t="n"/>
      <c r="E1219" s="24" t="n"/>
      <c r="F1219" s="24" t="n"/>
      <c r="G1219" s="29" t="inlineStr">
        <is>
          <t>0,00</t>
        </is>
      </c>
      <c r="H1219" s="29" t="n"/>
      <c r="I1219" s="24" t="n"/>
    </row>
    <row r="1220">
      <c r="A1220" s="26" t="inlineStr">
        <is>
          <t>ASSM3</t>
        </is>
      </c>
      <c r="B1220" s="27" t="inlineStr">
        <is>
          <t>Ação</t>
        </is>
      </c>
      <c r="C1220" s="27" t="n"/>
      <c r="D1220" s="27" t="n"/>
      <c r="E1220" s="27" t="n"/>
      <c r="F1220" s="27" t="n"/>
      <c r="G1220" s="28" t="inlineStr">
        <is>
          <t>0,00</t>
        </is>
      </c>
      <c r="H1220" s="28" t="n"/>
      <c r="I1220" s="27" t="n"/>
    </row>
    <row r="1221">
      <c r="A1221" s="23" t="inlineStr">
        <is>
          <t>BELG4</t>
        </is>
      </c>
      <c r="B1221" s="24" t="inlineStr">
        <is>
          <t>Ação</t>
        </is>
      </c>
      <c r="C1221" s="24" t="n"/>
      <c r="D1221" s="24" t="n"/>
      <c r="E1221" s="24" t="n"/>
      <c r="F1221" s="24" t="n"/>
      <c r="G1221" s="29" t="inlineStr">
        <is>
          <t>0,00</t>
        </is>
      </c>
      <c r="H1221" s="29" t="n"/>
      <c r="I1221" s="24" t="n"/>
    </row>
    <row r="1222">
      <c r="A1222" s="26" t="inlineStr">
        <is>
          <t>BELG3</t>
        </is>
      </c>
      <c r="B1222" s="27" t="inlineStr">
        <is>
          <t>Ação</t>
        </is>
      </c>
      <c r="C1222" s="27" t="n"/>
      <c r="D1222" s="27" t="n"/>
      <c r="E1222" s="27" t="n"/>
      <c r="F1222" s="27" t="n"/>
      <c r="G1222" s="28" t="inlineStr">
        <is>
          <t>0,00</t>
        </is>
      </c>
      <c r="H1222" s="28" t="n"/>
      <c r="I1222" s="27" t="n"/>
    </row>
    <row r="1223">
      <c r="A1223" s="23" t="inlineStr">
        <is>
          <t>AGEN33</t>
        </is>
      </c>
      <c r="B1223" s="24" t="inlineStr">
        <is>
          <t>Ação</t>
        </is>
      </c>
      <c r="C1223" s="24" t="n"/>
      <c r="D1223" s="24" t="n"/>
      <c r="E1223" s="24" t="n"/>
      <c r="F1223" s="24" t="n"/>
      <c r="G1223" s="29" t="inlineStr">
        <is>
          <t>0,00</t>
        </is>
      </c>
      <c r="H1223" s="29" t="n"/>
      <c r="I1223" s="24" t="n"/>
    </row>
    <row r="1224">
      <c r="A1224" s="26" t="inlineStr">
        <is>
          <t>TRPN3</t>
        </is>
      </c>
      <c r="B1224" s="27" t="inlineStr">
        <is>
          <t>Ação</t>
        </is>
      </c>
      <c r="C1224" s="27" t="n"/>
      <c r="D1224" s="27" t="n"/>
      <c r="E1224" s="27" t="n"/>
      <c r="F1224" s="27" t="n"/>
      <c r="G1224" s="28" t="inlineStr">
        <is>
          <t>0,00</t>
        </is>
      </c>
      <c r="H1224" s="28" t="n"/>
      <c r="I1224" s="27" t="n"/>
    </row>
    <row r="1225">
      <c r="A1225" s="23" t="inlineStr">
        <is>
          <t>SLED3</t>
        </is>
      </c>
      <c r="B1225" s="24" t="inlineStr">
        <is>
          <t>Ação</t>
        </is>
      </c>
      <c r="C1225" s="24" t="n"/>
      <c r="D1225" s="24" t="n">
        <v>3.21</v>
      </c>
      <c r="E1225" s="24" t="inlineStr">
        <is>
          <t>60.500.139/0001-26</t>
        </is>
      </c>
      <c r="F1225" s="24" t="n"/>
      <c r="G1225" s="29" t="inlineStr">
        <is>
          <t>0,00</t>
        </is>
      </c>
      <c r="H1225" s="29" t="n"/>
      <c r="I1225" s="24" t="n"/>
    </row>
    <row r="1226">
      <c r="A1226" s="26" t="inlineStr">
        <is>
          <t>GAZO3</t>
        </is>
      </c>
      <c r="B1226" s="27" t="inlineStr">
        <is>
          <t>Ação</t>
        </is>
      </c>
      <c r="C1226" s="27" t="n"/>
      <c r="D1226" s="27" t="n"/>
      <c r="E1226" s="27" t="n"/>
      <c r="F1226" s="27" t="n"/>
      <c r="G1226" s="28" t="inlineStr">
        <is>
          <t>0,00</t>
        </is>
      </c>
      <c r="H1226" s="28" t="n"/>
      <c r="I1226" s="27" t="n"/>
    </row>
    <row r="1227">
      <c r="A1227" s="23" t="inlineStr">
        <is>
          <t>FCAP3</t>
        </is>
      </c>
      <c r="B1227" s="24" t="inlineStr">
        <is>
          <t>Ação</t>
        </is>
      </c>
      <c r="C1227" s="24" t="n"/>
      <c r="D1227" s="24" t="n"/>
      <c r="E1227" s="24" t="n"/>
      <c r="F1227" s="24" t="n"/>
      <c r="G1227" s="29" t="inlineStr">
        <is>
          <t>0,00</t>
        </is>
      </c>
      <c r="H1227" s="29" t="n"/>
      <c r="I1227" s="24" t="n"/>
    </row>
    <row r="1228">
      <c r="A1228" s="26" t="inlineStr">
        <is>
          <t>IGBR3</t>
        </is>
      </c>
      <c r="B1228" s="27" t="inlineStr">
        <is>
          <t>Ação</t>
        </is>
      </c>
      <c r="C1228" s="27" t="n"/>
      <c r="D1228" s="27" t="n"/>
      <c r="E1228" s="27" t="inlineStr">
        <is>
          <t>43.185.362/0001-07</t>
        </is>
      </c>
      <c r="F1228" s="27" t="n"/>
      <c r="G1228" s="28" t="inlineStr">
        <is>
          <t>0,00</t>
        </is>
      </c>
      <c r="H1228" s="28" t="n"/>
      <c r="I1228" s="27" t="n"/>
    </row>
    <row r="1229">
      <c r="A1229" s="23" t="inlineStr">
        <is>
          <t>FCAP4</t>
        </is>
      </c>
      <c r="B1229" s="24" t="inlineStr">
        <is>
          <t>Ação</t>
        </is>
      </c>
      <c r="C1229" s="24" t="n"/>
      <c r="D1229" s="24" t="n"/>
      <c r="E1229" s="24" t="n"/>
      <c r="F1229" s="24" t="n"/>
      <c r="G1229" s="29" t="inlineStr">
        <is>
          <t>0,00</t>
        </is>
      </c>
      <c r="H1229" s="29" t="n"/>
      <c r="I1229" s="24" t="n"/>
    </row>
    <row r="1230">
      <c r="A1230" s="26" t="inlineStr">
        <is>
          <t>MNPR4</t>
        </is>
      </c>
      <c r="B1230" s="27" t="inlineStr">
        <is>
          <t>Ação</t>
        </is>
      </c>
      <c r="C1230" s="27" t="n"/>
      <c r="D1230" s="27" t="n"/>
      <c r="E1230" s="27" t="n"/>
      <c r="F1230" s="27" t="n"/>
      <c r="G1230" s="28" t="inlineStr">
        <is>
          <t>0,00</t>
        </is>
      </c>
      <c r="H1230" s="28" t="n"/>
      <c r="I1230" s="27" t="n"/>
    </row>
    <row r="1231">
      <c r="A1231" s="23" t="inlineStr">
        <is>
          <t>BDLL4</t>
        </is>
      </c>
      <c r="B1231" s="24" t="inlineStr">
        <is>
          <t>Ação</t>
        </is>
      </c>
      <c r="C1231" s="24" t="n"/>
      <c r="D1231" s="24" t="n">
        <v>6.12</v>
      </c>
      <c r="E1231" s="24" t="inlineStr">
        <is>
          <t>60.851.615/0001-53</t>
        </is>
      </c>
      <c r="F1231" s="24" t="n"/>
      <c r="G1231" s="29" t="inlineStr">
        <is>
          <t>0,00</t>
        </is>
      </c>
      <c r="H1231" s="29" t="n"/>
      <c r="I1231" s="24" t="n"/>
    </row>
    <row r="1232">
      <c r="A1232" s="26" t="inlineStr">
        <is>
          <t>NORD3</t>
        </is>
      </c>
      <c r="B1232" s="27" t="inlineStr">
        <is>
          <t>Ação</t>
        </is>
      </c>
      <c r="C1232" s="27" t="n"/>
      <c r="D1232" s="27" t="n">
        <v>4.1</v>
      </c>
      <c r="E1232" s="27" t="inlineStr">
        <is>
          <t>60.884.319/0001-59</t>
        </is>
      </c>
      <c r="F1232" s="27" t="n"/>
      <c r="G1232" s="28" t="inlineStr">
        <is>
          <t>0,00</t>
        </is>
      </c>
      <c r="H1232" s="28" t="n"/>
      <c r="I1232" s="27" t="n"/>
    </row>
    <row r="1233">
      <c r="A1233" s="23" t="inlineStr">
        <is>
          <t>TARP11</t>
        </is>
      </c>
      <c r="B1233" s="24" t="inlineStr">
        <is>
          <t>Ação</t>
        </is>
      </c>
      <c r="C1233" s="24" t="n"/>
      <c r="D1233" s="24" t="n"/>
      <c r="E1233" s="24" t="n"/>
      <c r="F1233" s="24" t="n"/>
      <c r="G1233" s="29" t="inlineStr">
        <is>
          <t>0,00</t>
        </is>
      </c>
      <c r="H1233" s="29" t="n"/>
      <c r="I1233" s="24" t="n"/>
    </row>
    <row r="1234">
      <c r="A1234" s="26" t="inlineStr">
        <is>
          <t>BNBR4</t>
        </is>
      </c>
      <c r="B1234" s="27" t="inlineStr">
        <is>
          <t>Ação</t>
        </is>
      </c>
      <c r="C1234" s="27" t="n"/>
      <c r="D1234" s="27" t="n"/>
      <c r="E1234" s="27" t="n"/>
      <c r="F1234" s="27" t="n"/>
      <c r="G1234" s="28" t="inlineStr">
        <is>
          <t>0,00</t>
        </is>
      </c>
      <c r="H1234" s="28" t="n"/>
      <c r="I1234" s="27" t="n"/>
    </row>
    <row r="1235">
      <c r="A1235" s="23" t="inlineStr">
        <is>
          <t>TSPP4</t>
        </is>
      </c>
      <c r="B1235" s="24" t="inlineStr">
        <is>
          <t>Ação</t>
        </is>
      </c>
      <c r="C1235" s="24" t="n"/>
      <c r="D1235" s="24" t="n"/>
      <c r="E1235" s="24" t="n"/>
      <c r="F1235" s="24" t="n"/>
      <c r="G1235" s="29" t="inlineStr">
        <is>
          <t>0,00</t>
        </is>
      </c>
      <c r="H1235" s="29" t="n"/>
      <c r="I1235" s="24" t="n"/>
    </row>
    <row r="1236">
      <c r="A1236" s="26" t="inlineStr">
        <is>
          <t>SUZA4</t>
        </is>
      </c>
      <c r="B1236" s="27" t="inlineStr">
        <is>
          <t>Ação</t>
        </is>
      </c>
      <c r="C1236" s="27" t="n"/>
      <c r="D1236" s="27" t="n"/>
      <c r="E1236" s="27" t="n"/>
      <c r="F1236" s="27" t="n"/>
      <c r="G1236" s="28" t="inlineStr">
        <is>
          <t>0,00</t>
        </is>
      </c>
      <c r="H1236" s="28" t="n"/>
      <c r="I1236" s="27" t="n"/>
    </row>
    <row r="1237">
      <c r="A1237" s="23" t="inlineStr">
        <is>
          <t>EBEN4</t>
        </is>
      </c>
      <c r="B1237" s="24" t="inlineStr">
        <is>
          <t>Ação</t>
        </is>
      </c>
      <c r="C1237" s="24" t="n"/>
      <c r="D1237" s="24" t="n"/>
      <c r="E1237" s="24" t="n"/>
      <c r="F1237" s="24" t="n"/>
      <c r="G1237" s="29" t="inlineStr">
        <is>
          <t>0,00</t>
        </is>
      </c>
      <c r="H1237" s="29" t="n"/>
      <c r="I1237" s="24" t="n"/>
    </row>
    <row r="1238">
      <c r="A1238" s="26" t="inlineStr">
        <is>
          <t>SUZB6</t>
        </is>
      </c>
      <c r="B1238" s="27" t="inlineStr">
        <is>
          <t>Ação</t>
        </is>
      </c>
      <c r="C1238" s="27" t="n"/>
      <c r="D1238" s="27" t="n"/>
      <c r="E1238" s="27" t="n"/>
      <c r="F1238" s="27" t="n"/>
      <c r="G1238" s="28" t="inlineStr">
        <is>
          <t>0,00</t>
        </is>
      </c>
      <c r="H1238" s="28" t="n"/>
      <c r="I1238" s="27" t="n"/>
    </row>
    <row r="1239">
      <c r="A1239" s="23" t="inlineStr">
        <is>
          <t>TSPP3</t>
        </is>
      </c>
      <c r="B1239" s="24" t="inlineStr">
        <is>
          <t>Ação</t>
        </is>
      </c>
      <c r="C1239" s="24" t="n"/>
      <c r="D1239" s="24" t="n"/>
      <c r="E1239" s="24" t="n"/>
      <c r="F1239" s="24" t="n"/>
      <c r="G1239" s="29" t="inlineStr">
        <is>
          <t>0,00</t>
        </is>
      </c>
      <c r="H1239" s="29" t="n"/>
      <c r="I1239" s="24" t="n"/>
    </row>
    <row r="1240">
      <c r="A1240" s="26" t="inlineStr">
        <is>
          <t>CPFG4</t>
        </is>
      </c>
      <c r="B1240" s="27" t="inlineStr">
        <is>
          <t>Ação</t>
        </is>
      </c>
      <c r="C1240" s="27" t="n"/>
      <c r="D1240" s="27" t="n"/>
      <c r="E1240" s="27" t="n"/>
      <c r="F1240" s="27" t="n"/>
      <c r="G1240" s="28" t="inlineStr">
        <is>
          <t>0,00</t>
        </is>
      </c>
      <c r="H1240" s="28" t="n"/>
      <c r="I1240" s="27" t="n"/>
    </row>
    <row r="1241">
      <c r="A1241" s="23" t="inlineStr">
        <is>
          <t>PLIM4</t>
        </is>
      </c>
      <c r="B1241" s="24" t="inlineStr">
        <is>
          <t>Ação</t>
        </is>
      </c>
      <c r="C1241" s="24" t="n"/>
      <c r="D1241" s="24" t="n"/>
      <c r="E1241" s="24" t="n"/>
      <c r="F1241" s="24" t="n"/>
      <c r="G1241" s="29" t="inlineStr">
        <is>
          <t>0,00</t>
        </is>
      </c>
      <c r="H1241" s="29" t="n"/>
      <c r="I1241" s="24" t="n"/>
    </row>
    <row r="1242">
      <c r="A1242" s="26" t="inlineStr">
        <is>
          <t>CPFG3</t>
        </is>
      </c>
      <c r="B1242" s="27" t="inlineStr">
        <is>
          <t>Ação</t>
        </is>
      </c>
      <c r="C1242" s="27" t="n"/>
      <c r="D1242" s="27" t="n"/>
      <c r="E1242" s="27" t="n"/>
      <c r="F1242" s="27" t="n"/>
      <c r="G1242" s="28" t="inlineStr">
        <is>
          <t>0,00</t>
        </is>
      </c>
      <c r="H1242" s="28" t="n"/>
      <c r="I1242" s="27" t="n"/>
    </row>
    <row r="1243">
      <c r="A1243" s="23" t="inlineStr">
        <is>
          <t>SUZB5</t>
        </is>
      </c>
      <c r="B1243" s="24" t="inlineStr">
        <is>
          <t>Ação</t>
        </is>
      </c>
      <c r="C1243" s="24" t="n"/>
      <c r="D1243" s="24" t="n"/>
      <c r="E1243" s="24" t="n"/>
      <c r="F1243" s="24" t="n"/>
      <c r="G1243" s="29" t="inlineStr">
        <is>
          <t>0,00</t>
        </is>
      </c>
      <c r="H1243" s="29" t="n"/>
      <c r="I1243" s="24" t="n"/>
    </row>
    <row r="1244">
      <c r="A1244" s="26" t="inlineStr">
        <is>
          <t>MTBR3</t>
        </is>
      </c>
      <c r="B1244" s="27" t="inlineStr">
        <is>
          <t>Ação</t>
        </is>
      </c>
      <c r="C1244" s="27" t="n"/>
      <c r="D1244" s="27" t="n"/>
      <c r="E1244" s="27" t="n"/>
      <c r="F1244" s="27" t="n"/>
      <c r="G1244" s="28" t="inlineStr">
        <is>
          <t>0,00</t>
        </is>
      </c>
      <c r="H1244" s="28" t="n"/>
      <c r="I1244" s="27" t="n"/>
    </row>
    <row r="1245">
      <c r="A1245" s="23" t="inlineStr">
        <is>
          <t>CLSC5</t>
        </is>
      </c>
      <c r="B1245" s="24" t="inlineStr">
        <is>
          <t>Ação</t>
        </is>
      </c>
      <c r="C1245" s="24" t="n"/>
      <c r="D1245" s="24" t="n"/>
      <c r="E1245" s="24" t="n"/>
      <c r="F1245" s="24" t="n"/>
      <c r="G1245" s="29" t="inlineStr">
        <is>
          <t>0,00</t>
        </is>
      </c>
      <c r="H1245" s="29" t="n"/>
      <c r="I1245" s="24" t="n"/>
    </row>
    <row r="1246">
      <c r="A1246" s="26" t="inlineStr">
        <is>
          <t>MMAQ3</t>
        </is>
      </c>
      <c r="B1246" s="27" t="inlineStr">
        <is>
          <t>Ação</t>
        </is>
      </c>
      <c r="C1246" s="27" t="n"/>
      <c r="D1246" s="27" t="n">
        <v>2550.01</v>
      </c>
      <c r="E1246" s="27" t="n"/>
      <c r="F1246" s="27" t="n"/>
      <c r="G1246" s="28" t="inlineStr">
        <is>
          <t>0,00</t>
        </is>
      </c>
      <c r="H1246" s="28" t="n"/>
      <c r="I1246" s="27" t="n"/>
    </row>
    <row r="1247">
      <c r="A1247" s="23" t="inlineStr">
        <is>
          <t>MMAQ4</t>
        </is>
      </c>
      <c r="B1247" s="24" t="inlineStr">
        <is>
          <t>Ação</t>
        </is>
      </c>
      <c r="C1247" s="24" t="n"/>
      <c r="D1247" s="24" t="n">
        <v>2550.01</v>
      </c>
      <c r="E1247" s="24" t="n"/>
      <c r="F1247" s="24" t="n"/>
      <c r="G1247" s="29" t="inlineStr">
        <is>
          <t>0,00</t>
        </is>
      </c>
      <c r="H1247" s="29" t="n"/>
      <c r="I1247" s="24" t="n"/>
    </row>
    <row r="1248">
      <c r="A1248" s="26" t="inlineStr">
        <is>
          <t>APTI4</t>
        </is>
      </c>
      <c r="B1248" s="27" t="inlineStr">
        <is>
          <t>Ação</t>
        </is>
      </c>
      <c r="C1248" s="27" t="n"/>
      <c r="D1248" s="27" t="n"/>
      <c r="E1248" s="27" t="inlineStr">
        <is>
          <t>61.156.931/0001-78</t>
        </is>
      </c>
      <c r="F1248" s="27" t="n"/>
      <c r="G1248" s="28" t="inlineStr">
        <is>
          <t>0,00</t>
        </is>
      </c>
      <c r="H1248" s="28" t="n"/>
      <c r="I1248" s="27" t="n"/>
    </row>
    <row r="1249">
      <c r="A1249" s="23" t="inlineStr">
        <is>
          <t>MTBR4</t>
        </is>
      </c>
      <c r="B1249" s="24" t="inlineStr">
        <is>
          <t>Ação</t>
        </is>
      </c>
      <c r="C1249" s="24" t="n"/>
      <c r="D1249" s="24" t="n"/>
      <c r="E1249" s="24" t="n"/>
      <c r="F1249" s="24" t="n"/>
      <c r="G1249" s="29" t="inlineStr">
        <is>
          <t>0,00</t>
        </is>
      </c>
      <c r="H1249" s="29" t="n"/>
      <c r="I1249" s="24" t="n"/>
    </row>
    <row r="1250">
      <c r="A1250" s="26" t="inlineStr">
        <is>
          <t>CTPC4</t>
        </is>
      </c>
      <c r="B1250" s="27" t="inlineStr">
        <is>
          <t>Ação</t>
        </is>
      </c>
      <c r="C1250" s="27" t="n"/>
      <c r="D1250" s="27" t="n"/>
      <c r="E1250" s="27" t="n"/>
      <c r="F1250" s="27" t="n"/>
      <c r="G1250" s="28" t="inlineStr">
        <is>
          <t>0,00</t>
        </is>
      </c>
      <c r="H1250" s="28" t="n"/>
      <c r="I1250" s="27" t="n"/>
    </row>
    <row r="1251">
      <c r="A1251" s="23" t="inlineStr">
        <is>
          <t>JBSS3</t>
        </is>
      </c>
      <c r="B1251" s="24" t="inlineStr">
        <is>
          <t>Ação</t>
        </is>
      </c>
      <c r="C1251" s="24" t="n"/>
      <c r="D1251" s="24" t="n"/>
      <c r="E1251" s="24" t="inlineStr">
        <is>
          <t>02.916.265/0001-60</t>
        </is>
      </c>
      <c r="F1251" s="24" t="n"/>
      <c r="G1251" s="29" t="inlineStr">
        <is>
          <t>4,18</t>
        </is>
      </c>
      <c r="H1251" s="29" t="n"/>
      <c r="I1251" s="24" t="n"/>
    </row>
    <row r="1252">
      <c r="A1252" s="26" t="inlineStr">
        <is>
          <t>STBP11</t>
        </is>
      </c>
      <c r="B1252" s="27" t="inlineStr">
        <is>
          <t>Ação</t>
        </is>
      </c>
      <c r="C1252" s="27" t="n"/>
      <c r="D1252" s="27" t="n"/>
      <c r="E1252" s="27" t="n"/>
      <c r="F1252" s="27" t="n"/>
      <c r="G1252" s="28" t="inlineStr">
        <is>
          <t>0,00</t>
        </is>
      </c>
      <c r="H1252" s="28" t="n"/>
      <c r="I1252" s="27" t="n"/>
    </row>
    <row r="1253">
      <c r="A1253" s="23" t="inlineStr">
        <is>
          <t>MARI3</t>
        </is>
      </c>
      <c r="B1253" s="24" t="inlineStr">
        <is>
          <t>Ação</t>
        </is>
      </c>
      <c r="C1253" s="24" t="n"/>
      <c r="D1253" s="24" t="n"/>
      <c r="E1253" s="24" t="n"/>
      <c r="F1253" s="24" t="n"/>
      <c r="G1253" s="29" t="inlineStr">
        <is>
          <t>0,00</t>
        </is>
      </c>
      <c r="H1253" s="29" t="n"/>
      <c r="I1253" s="24" t="n"/>
    </row>
    <row r="1254">
      <c r="A1254" s="26" t="inlineStr">
        <is>
          <t>RIAA3</t>
        </is>
      </c>
      <c r="B1254" s="27" t="inlineStr">
        <is>
          <t>Ação</t>
        </is>
      </c>
      <c r="C1254" s="27" t="n"/>
      <c r="D1254" s="27" t="n">
        <v>9.119999999999999</v>
      </c>
      <c r="E1254" s="27" t="inlineStr">
        <is>
          <t>33.200.056/0001-49</t>
        </is>
      </c>
      <c r="F1254" s="27" t="n"/>
      <c r="G1254" s="28" t="inlineStr">
        <is>
          <t>24,46</t>
        </is>
      </c>
      <c r="H1254" s="28" t="n"/>
      <c r="I1254" s="27" t="n"/>
    </row>
    <row r="1255">
      <c r="A1255" s="23" t="inlineStr">
        <is>
          <t>LIGH3</t>
        </is>
      </c>
      <c r="B1255" s="24" t="inlineStr">
        <is>
          <t>Ação</t>
        </is>
      </c>
      <c r="C1255" s="24" t="n"/>
      <c r="D1255" s="24" t="n"/>
      <c r="E1255" s="24" t="n"/>
      <c r="F1255" s="24" t="n"/>
      <c r="G1255" s="29" t="inlineStr">
        <is>
          <t>0,00</t>
        </is>
      </c>
      <c r="H1255" s="29" t="n"/>
      <c r="I1255" s="24" t="n"/>
    </row>
    <row r="1256">
      <c r="A1256" s="26" t="inlineStr">
        <is>
          <t>CSRN3</t>
        </is>
      </c>
      <c r="B1256" s="27" t="inlineStr">
        <is>
          <t>Ação</t>
        </is>
      </c>
      <c r="C1256" s="27" t="n"/>
      <c r="D1256" s="27" t="n"/>
      <c r="E1256" s="27" t="inlineStr">
        <is>
          <t>08.324.196/0001-81</t>
        </is>
      </c>
      <c r="F1256" s="27" t="n"/>
      <c r="G1256" s="28" t="inlineStr">
        <is>
          <t>0,00</t>
        </is>
      </c>
      <c r="H1256" s="28" t="n"/>
      <c r="I1256" s="27" t="n"/>
    </row>
    <row r="1257">
      <c r="A1257" s="23" t="inlineStr">
        <is>
          <t>ELPL4</t>
        </is>
      </c>
      <c r="B1257" s="24" t="inlineStr">
        <is>
          <t>Ação</t>
        </is>
      </c>
      <c r="C1257" s="24" t="n"/>
      <c r="D1257" s="24" t="n"/>
      <c r="E1257" s="24" t="n"/>
      <c r="F1257" s="24" t="n"/>
      <c r="G1257" s="29" t="inlineStr">
        <is>
          <t>0,00</t>
        </is>
      </c>
      <c r="H1257" s="29" t="n"/>
      <c r="I1257" s="24" t="n"/>
    </row>
    <row r="1258">
      <c r="A1258" s="26" t="inlineStr">
        <is>
          <t>SOND3</t>
        </is>
      </c>
      <c r="B1258" s="27" t="inlineStr">
        <is>
          <t>Ação</t>
        </is>
      </c>
      <c r="C1258" s="27" t="n"/>
      <c r="D1258" s="27" t="n">
        <v>38.66</v>
      </c>
      <c r="E1258" s="27" t="inlineStr">
        <is>
          <t>33.386.210/0001-19</t>
        </is>
      </c>
      <c r="F1258" s="27" t="n"/>
      <c r="G1258" s="28" t="inlineStr">
        <is>
          <t>36,89</t>
        </is>
      </c>
      <c r="H1258" s="28" t="n"/>
      <c r="I1258" s="27" t="n"/>
    </row>
    <row r="1259">
      <c r="A1259" s="23" t="inlineStr">
        <is>
          <t>CEDO3</t>
        </is>
      </c>
      <c r="B1259" s="24" t="inlineStr">
        <is>
          <t>Ação</t>
        </is>
      </c>
      <c r="C1259" s="24" t="n"/>
      <c r="D1259" s="24" t="n">
        <v>13.99</v>
      </c>
      <c r="E1259" s="24" t="inlineStr">
        <is>
          <t>17.245.234/0001-00</t>
        </is>
      </c>
      <c r="F1259" s="24" t="n"/>
      <c r="G1259" s="29" t="inlineStr">
        <is>
          <t>0,00</t>
        </is>
      </c>
      <c r="H1259" s="29" t="n"/>
      <c r="I1259" s="24" t="n"/>
    </row>
    <row r="1260">
      <c r="A1260" s="26" t="inlineStr">
        <is>
          <t>BOBR3</t>
        </is>
      </c>
      <c r="B1260" s="27" t="inlineStr">
        <is>
          <t>Ação</t>
        </is>
      </c>
      <c r="C1260" s="27" t="n"/>
      <c r="D1260" s="27" t="n"/>
      <c r="E1260" s="27" t="inlineStr">
        <is>
          <t>50.564.053/0001-03</t>
        </is>
      </c>
      <c r="F1260" s="27" t="n"/>
      <c r="G1260" s="28" t="inlineStr">
        <is>
          <t>0,00</t>
        </is>
      </c>
      <c r="H1260" s="28" t="n"/>
      <c r="I1260" s="27" t="n"/>
    </row>
    <row r="1261">
      <c r="A1261" s="23" t="inlineStr">
        <is>
          <t>ESCE3</t>
        </is>
      </c>
      <c r="B1261" s="24" t="inlineStr">
        <is>
          <t>Ação</t>
        </is>
      </c>
      <c r="C1261" s="24" t="n"/>
      <c r="D1261" s="24" t="n"/>
      <c r="E1261" s="24" t="n"/>
      <c r="F1261" s="24" t="n"/>
      <c r="G1261" s="29" t="inlineStr">
        <is>
          <t>0,00</t>
        </is>
      </c>
      <c r="H1261" s="29" t="n"/>
      <c r="I1261" s="24" t="n"/>
    </row>
    <row r="1262">
      <c r="A1262" s="26" t="inlineStr">
        <is>
          <t>PTPA3</t>
        </is>
      </c>
      <c r="B1262" s="27" t="inlineStr">
        <is>
          <t>Ação</t>
        </is>
      </c>
      <c r="C1262" s="27" t="n"/>
      <c r="D1262" s="27" t="n"/>
      <c r="E1262" s="27" t="n"/>
      <c r="F1262" s="27" t="n"/>
      <c r="G1262" s="28" t="inlineStr">
        <is>
          <t>0,00</t>
        </is>
      </c>
      <c r="H1262" s="28" t="n"/>
      <c r="I1262" s="27" t="n"/>
    </row>
    <row r="1263">
      <c r="A1263" s="23" t="inlineStr">
        <is>
          <t>CSRN5</t>
        </is>
      </c>
      <c r="B1263" s="24" t="inlineStr">
        <is>
          <t>Ação</t>
        </is>
      </c>
      <c r="C1263" s="24" t="n"/>
      <c r="D1263" s="24" t="n"/>
      <c r="E1263" s="24" t="inlineStr">
        <is>
          <t>08.324.196/0001-81</t>
        </is>
      </c>
      <c r="F1263" s="24" t="n"/>
      <c r="G1263" s="29" t="inlineStr">
        <is>
          <t>0,00</t>
        </is>
      </c>
      <c r="H1263" s="29" t="n"/>
      <c r="I1263" s="24" t="n"/>
    </row>
    <row r="1264">
      <c r="A1264" s="26" t="inlineStr">
        <is>
          <t>FIGE3</t>
        </is>
      </c>
      <c r="B1264" s="27" t="inlineStr">
        <is>
          <t>Ação</t>
        </is>
      </c>
      <c r="C1264" s="27" t="n"/>
      <c r="D1264" s="27" t="n">
        <v>24.11</v>
      </c>
      <c r="E1264" s="27" t="inlineStr">
        <is>
          <t>01.548.981/0001-79</t>
        </is>
      </c>
      <c r="F1264" s="27" t="n"/>
      <c r="G1264" s="28" t="inlineStr">
        <is>
          <t>0,00</t>
        </is>
      </c>
      <c r="H1264" s="28" t="n"/>
      <c r="I1264" s="27" t="n"/>
    </row>
    <row r="1265">
      <c r="A1265" s="23" t="inlineStr">
        <is>
          <t>CSRN6</t>
        </is>
      </c>
      <c r="B1265" s="24" t="inlineStr">
        <is>
          <t>Ação</t>
        </is>
      </c>
      <c r="C1265" s="24" t="n"/>
      <c r="D1265" s="24" t="n"/>
      <c r="E1265" s="24" t="inlineStr">
        <is>
          <t>08.324.196/0001-81</t>
        </is>
      </c>
      <c r="F1265" s="24" t="n"/>
      <c r="G1265" s="29" t="inlineStr">
        <is>
          <t>0,00</t>
        </is>
      </c>
      <c r="H1265" s="29" t="n"/>
      <c r="I1265" s="24" t="n"/>
    </row>
    <row r="1266">
      <c r="A1266" s="26" t="inlineStr">
        <is>
          <t>PTPA4</t>
        </is>
      </c>
      <c r="B1266" s="27" t="inlineStr">
        <is>
          <t>Ação</t>
        </is>
      </c>
      <c r="C1266" s="27" t="n"/>
      <c r="D1266" s="27" t="n"/>
      <c r="E1266" s="27" t="n"/>
      <c r="F1266" s="27" t="n"/>
      <c r="G1266" s="28" t="inlineStr">
        <is>
          <t>0,00</t>
        </is>
      </c>
      <c r="H1266" s="28" t="n"/>
      <c r="I1266" s="27" t="n"/>
    </row>
    <row r="1267">
      <c r="A1267" s="23" t="inlineStr">
        <is>
          <t>ARND3</t>
        </is>
      </c>
      <c r="B1267" s="24" t="inlineStr">
        <is>
          <t>Ação</t>
        </is>
      </c>
      <c r="C1267" s="24" t="n"/>
      <c r="D1267" s="24" t="n">
        <v>0.7</v>
      </c>
      <c r="E1267" s="24" t="inlineStr">
        <is>
          <t>14.127.813/0001-51</t>
        </is>
      </c>
      <c r="F1267" s="24" t="n"/>
      <c r="G1267" s="29" t="inlineStr">
        <is>
          <t>0,00</t>
        </is>
      </c>
      <c r="H1267" s="29" t="n"/>
      <c r="I1267" s="24" t="n"/>
    </row>
    <row r="1268">
      <c r="A1268" s="26" t="inlineStr">
        <is>
          <t>CAMB4</t>
        </is>
      </c>
      <c r="B1268" s="27" t="inlineStr">
        <is>
          <t>Ação</t>
        </is>
      </c>
      <c r="C1268" s="27" t="n"/>
      <c r="D1268" s="27" t="n"/>
      <c r="E1268" s="27" t="inlineStr">
        <is>
          <t>61.088.894/0001-08</t>
        </is>
      </c>
      <c r="F1268" s="27" t="n"/>
      <c r="G1268" s="28" t="inlineStr">
        <is>
          <t>0,00</t>
        </is>
      </c>
      <c r="H1268" s="28" t="n"/>
      <c r="I1268" s="27" t="n"/>
    </row>
    <row r="1269">
      <c r="A1269" s="23" t="inlineStr">
        <is>
          <t>VINE3</t>
        </is>
      </c>
      <c r="B1269" s="24" t="inlineStr">
        <is>
          <t>Ação</t>
        </is>
      </c>
      <c r="C1269" s="24" t="n"/>
      <c r="D1269" s="24" t="n"/>
      <c r="E1269" s="24" t="n"/>
      <c r="F1269" s="24" t="n"/>
      <c r="G1269" s="29" t="inlineStr">
        <is>
          <t>0,00</t>
        </is>
      </c>
      <c r="H1269" s="29" t="n"/>
      <c r="I1269" s="24" t="n"/>
    </row>
    <row r="1270">
      <c r="A1270" s="26" t="inlineStr">
        <is>
          <t>DAYC4</t>
        </is>
      </c>
      <c r="B1270" s="27" t="inlineStr">
        <is>
          <t>Ação</t>
        </is>
      </c>
      <c r="C1270" s="27" t="n"/>
      <c r="D1270" s="27" t="n"/>
      <c r="E1270" s="27" t="n"/>
      <c r="F1270" s="27" t="n"/>
      <c r="G1270" s="28" t="inlineStr">
        <is>
          <t>0,00</t>
        </is>
      </c>
      <c r="H1270" s="28" t="n"/>
      <c r="I1270" s="27" t="n"/>
    </row>
    <row r="1271">
      <c r="A1271" s="23" t="inlineStr">
        <is>
          <t>VINE5</t>
        </is>
      </c>
      <c r="B1271" s="24" t="inlineStr">
        <is>
          <t>Ação</t>
        </is>
      </c>
      <c r="C1271" s="24" t="n"/>
      <c r="D1271" s="24" t="n"/>
      <c r="E1271" s="24" t="n"/>
      <c r="F1271" s="24" t="n"/>
      <c r="G1271" s="29" t="inlineStr">
        <is>
          <t>0,00</t>
        </is>
      </c>
      <c r="H1271" s="29" t="n"/>
      <c r="I1271" s="24" t="n"/>
    </row>
    <row r="1272">
      <c r="A1272" s="26" t="inlineStr">
        <is>
          <t>CPFP4</t>
        </is>
      </c>
      <c r="B1272" s="27" t="inlineStr">
        <is>
          <t>Ação</t>
        </is>
      </c>
      <c r="C1272" s="27" t="n"/>
      <c r="D1272" s="27" t="n"/>
      <c r="E1272" s="27" t="n"/>
      <c r="F1272" s="27" t="n"/>
      <c r="G1272" s="28" t="inlineStr">
        <is>
          <t>0,00</t>
        </is>
      </c>
      <c r="H1272" s="28" t="n"/>
      <c r="I1272" s="27" t="n"/>
    </row>
    <row r="1273">
      <c r="A1273" s="23" t="inlineStr">
        <is>
          <t>MWET3</t>
        </is>
      </c>
      <c r="B1273" s="24" t="inlineStr">
        <is>
          <t>Ação</t>
        </is>
      </c>
      <c r="C1273" s="24" t="n"/>
      <c r="D1273" s="24" t="n">
        <v>16</v>
      </c>
      <c r="E1273" s="24" t="inlineStr">
        <is>
          <t>84.683.671/0001-94</t>
        </is>
      </c>
      <c r="F1273" s="24" t="n"/>
      <c r="G1273" s="29" t="inlineStr">
        <is>
          <t>0,00</t>
        </is>
      </c>
      <c r="H1273" s="29" t="n"/>
      <c r="I1273" s="24" t="n"/>
    </row>
    <row r="1274">
      <c r="A1274" s="26" t="inlineStr">
        <is>
          <t>CEPE5</t>
        </is>
      </c>
      <c r="B1274" s="27" t="inlineStr">
        <is>
          <t>Ação</t>
        </is>
      </c>
      <c r="C1274" s="27" t="n"/>
      <c r="D1274" s="27" t="n"/>
      <c r="E1274" s="27" t="inlineStr">
        <is>
          <t>10.835.932/0001-08</t>
        </is>
      </c>
      <c r="F1274" s="27" t="n"/>
      <c r="G1274" s="28" t="inlineStr">
        <is>
          <t>0,00</t>
        </is>
      </c>
      <c r="H1274" s="28" t="n"/>
      <c r="I1274" s="27" t="n"/>
    </row>
    <row r="1275">
      <c r="A1275" s="23" t="inlineStr">
        <is>
          <t>FRAS4</t>
        </is>
      </c>
      <c r="B1275" s="24" t="inlineStr">
        <is>
          <t>Ação</t>
        </is>
      </c>
      <c r="C1275" s="24" t="n"/>
      <c r="D1275" s="24" t="n"/>
      <c r="E1275" s="24" t="n"/>
      <c r="F1275" s="24" t="n"/>
      <c r="G1275" s="29" t="inlineStr">
        <is>
          <t>0,00</t>
        </is>
      </c>
      <c r="H1275" s="29" t="n"/>
      <c r="I1275" s="24" t="n"/>
    </row>
    <row r="1276">
      <c r="A1276" s="26" t="inlineStr">
        <is>
          <t>TBLE6</t>
        </is>
      </c>
      <c r="B1276" s="27" t="inlineStr">
        <is>
          <t>Ação</t>
        </is>
      </c>
      <c r="C1276" s="27" t="n"/>
      <c r="D1276" s="27" t="n"/>
      <c r="E1276" s="27" t="n"/>
      <c r="F1276" s="27" t="n"/>
      <c r="G1276" s="28" t="inlineStr">
        <is>
          <t>0,00</t>
        </is>
      </c>
      <c r="H1276" s="28" t="n"/>
      <c r="I1276" s="27" t="n"/>
    </row>
    <row r="1277">
      <c r="A1277" s="23" t="inlineStr">
        <is>
          <t>VCPA4</t>
        </is>
      </c>
      <c r="B1277" s="24" t="inlineStr">
        <is>
          <t>Ação</t>
        </is>
      </c>
      <c r="C1277" s="24" t="n"/>
      <c r="D1277" s="24" t="n"/>
      <c r="E1277" s="24" t="n"/>
      <c r="F1277" s="24" t="n"/>
      <c r="G1277" s="29" t="inlineStr">
        <is>
          <t>0,00</t>
        </is>
      </c>
      <c r="H1277" s="29" t="n"/>
      <c r="I1277" s="24" t="n"/>
    </row>
    <row r="1278">
      <c r="A1278" s="26" t="inlineStr">
        <is>
          <t>BRSR5</t>
        </is>
      </c>
      <c r="B1278" s="27" t="inlineStr">
        <is>
          <t>Ação</t>
        </is>
      </c>
      <c r="C1278" s="27" t="n"/>
      <c r="D1278" s="27" t="n">
        <v>18.79</v>
      </c>
      <c r="E1278" s="27" t="inlineStr">
        <is>
          <t>92.702.067/0001-96</t>
        </is>
      </c>
      <c r="F1278" s="27" t="n"/>
      <c r="G1278" s="28" t="inlineStr">
        <is>
          <t>10,11</t>
        </is>
      </c>
      <c r="H1278" s="28" t="n"/>
      <c r="I1278" s="27" t="n"/>
    </row>
    <row r="1279">
      <c r="A1279" s="23" t="inlineStr">
        <is>
          <t>RPAD6</t>
        </is>
      </c>
      <c r="B1279" s="24" t="inlineStr">
        <is>
          <t>Ação</t>
        </is>
      </c>
      <c r="C1279" s="24" t="n"/>
      <c r="D1279" s="24" t="n">
        <v>4.7</v>
      </c>
      <c r="E1279" s="24" t="inlineStr">
        <is>
          <t>17.167.396/0001-69</t>
        </is>
      </c>
      <c r="F1279" s="24" t="n"/>
      <c r="G1279" s="29" t="inlineStr">
        <is>
          <t>0,20</t>
        </is>
      </c>
      <c r="H1279" s="29" t="n"/>
      <c r="I1279" s="24" t="n"/>
    </row>
    <row r="1280">
      <c r="A1280" s="26" t="inlineStr">
        <is>
          <t>CEPE6</t>
        </is>
      </c>
      <c r="B1280" s="27" t="inlineStr">
        <is>
          <t>Ação</t>
        </is>
      </c>
      <c r="C1280" s="27" t="n"/>
      <c r="D1280" s="27" t="n"/>
      <c r="E1280" s="27" t="inlineStr">
        <is>
          <t>10.835.932/0001-08</t>
        </is>
      </c>
      <c r="F1280" s="27" t="n"/>
      <c r="G1280" s="28" t="inlineStr">
        <is>
          <t>0,00</t>
        </is>
      </c>
      <c r="H1280" s="28" t="n"/>
      <c r="I1280" s="27" t="n"/>
    </row>
    <row r="1281">
      <c r="A1281" s="23" t="inlineStr">
        <is>
          <t>VULC4</t>
        </is>
      </c>
      <c r="B1281" s="24" t="inlineStr">
        <is>
          <t>Ação</t>
        </is>
      </c>
      <c r="C1281" s="24" t="n"/>
      <c r="D1281" s="24" t="n"/>
      <c r="E1281" s="24" t="n"/>
      <c r="F1281" s="24" t="n"/>
      <c r="G1281" s="29" t="inlineStr">
        <is>
          <t>0,00</t>
        </is>
      </c>
      <c r="H1281" s="29" t="n"/>
      <c r="I1281" s="24" t="n"/>
    </row>
    <row r="1282">
      <c r="A1282" s="26" t="inlineStr">
        <is>
          <t>RANI4</t>
        </is>
      </c>
      <c r="B1282" s="27" t="inlineStr">
        <is>
          <t>Ação</t>
        </is>
      </c>
      <c r="C1282" s="27" t="n"/>
      <c r="D1282" s="27" t="n"/>
      <c r="E1282" s="27" t="inlineStr">
        <is>
          <t>92.791.243/0001-03</t>
        </is>
      </c>
      <c r="F1282" s="27" t="n"/>
      <c r="G1282" s="28" t="inlineStr">
        <is>
          <t>0,00</t>
        </is>
      </c>
      <c r="H1282" s="28" t="n"/>
      <c r="I1282" s="27" t="n"/>
    </row>
    <row r="1283">
      <c r="A1283" s="23" t="inlineStr">
        <is>
          <t>REDE4</t>
        </is>
      </c>
      <c r="B1283" s="24" t="inlineStr">
        <is>
          <t>Ação</t>
        </is>
      </c>
      <c r="C1283" s="24" t="n"/>
      <c r="D1283" s="24" t="n"/>
      <c r="E1283" s="24" t="n"/>
      <c r="F1283" s="24" t="n"/>
      <c r="G1283" s="29" t="inlineStr">
        <is>
          <t>0,00</t>
        </is>
      </c>
      <c r="H1283" s="29" t="n"/>
      <c r="I1283" s="24" t="n"/>
    </row>
    <row r="1284">
      <c r="A1284" s="26" t="inlineStr">
        <is>
          <t>TBLE5</t>
        </is>
      </c>
      <c r="B1284" s="27" t="inlineStr">
        <is>
          <t>Ação</t>
        </is>
      </c>
      <c r="C1284" s="27" t="n"/>
      <c r="D1284" s="27" t="n"/>
      <c r="E1284" s="27" t="n"/>
      <c r="F1284" s="27" t="n"/>
      <c r="G1284" s="28" t="inlineStr">
        <is>
          <t>0,00</t>
        </is>
      </c>
      <c r="H1284" s="28" t="n"/>
      <c r="I1284" s="27" t="n"/>
    </row>
    <row r="1285">
      <c r="A1285" s="23" t="inlineStr">
        <is>
          <t>BPIA3</t>
        </is>
      </c>
      <c r="B1285" s="24" t="inlineStr">
        <is>
          <t>Ação</t>
        </is>
      </c>
      <c r="C1285" s="24" t="n"/>
      <c r="D1285" s="24" t="n"/>
      <c r="E1285" s="24" t="n"/>
      <c r="F1285" s="24" t="n"/>
      <c r="G1285" s="29" t="inlineStr">
        <is>
          <t>0,00</t>
        </is>
      </c>
      <c r="H1285" s="29" t="n"/>
      <c r="I1285" s="24" t="n"/>
    </row>
    <row r="1286">
      <c r="A1286" s="26" t="inlineStr">
        <is>
          <t>DSUL3</t>
        </is>
      </c>
      <c r="B1286" s="27" t="inlineStr">
        <is>
          <t>Ação</t>
        </is>
      </c>
      <c r="C1286" s="27" t="n"/>
      <c r="D1286" s="27" t="n"/>
      <c r="E1286" s="27" t="n"/>
      <c r="F1286" s="27" t="n"/>
      <c r="G1286" s="28" t="inlineStr">
        <is>
          <t>0,00</t>
        </is>
      </c>
      <c r="H1286" s="28" t="n"/>
      <c r="I1286" s="27" t="n"/>
    </row>
    <row r="1287">
      <c r="A1287" s="23" t="inlineStr">
        <is>
          <t>AHEB6</t>
        </is>
      </c>
      <c r="B1287" s="24" t="inlineStr">
        <is>
          <t>Ação</t>
        </is>
      </c>
      <c r="C1287" s="24" t="n"/>
      <c r="D1287" s="24" t="n">
        <v>55</v>
      </c>
      <c r="E1287" s="24" t="inlineStr">
        <is>
          <t>62.002.886/0001-60</t>
        </is>
      </c>
      <c r="F1287" s="24" t="n"/>
      <c r="G1287" s="29" t="inlineStr">
        <is>
          <t>0,00</t>
        </is>
      </c>
      <c r="H1287" s="29" t="n"/>
      <c r="I1287" s="24" t="n"/>
    </row>
    <row r="1288">
      <c r="A1288" s="26" t="inlineStr">
        <is>
          <t>CALI3</t>
        </is>
      </c>
      <c r="B1288" s="27" t="inlineStr">
        <is>
          <t>Ação</t>
        </is>
      </c>
      <c r="C1288" s="27" t="n"/>
      <c r="D1288" s="27" t="n">
        <v>17.25</v>
      </c>
      <c r="E1288" s="27" t="inlineStr">
        <is>
          <t>61.022.042/0001-18</t>
        </is>
      </c>
      <c r="F1288" s="27" t="n"/>
      <c r="G1288" s="28" t="inlineStr">
        <is>
          <t>1,57</t>
        </is>
      </c>
      <c r="H1288" s="28" t="n"/>
      <c r="I1288" s="27" t="n"/>
    </row>
    <row r="1289">
      <c r="A1289" s="23" t="inlineStr">
        <is>
          <t>RNPT4</t>
        </is>
      </c>
      <c r="B1289" s="24" t="inlineStr">
        <is>
          <t>Ação</t>
        </is>
      </c>
      <c r="C1289" s="24" t="n"/>
      <c r="D1289" s="24" t="n"/>
      <c r="E1289" s="24" t="n"/>
      <c r="F1289" s="24" t="n"/>
      <c r="G1289" s="29" t="inlineStr">
        <is>
          <t>0,00</t>
        </is>
      </c>
      <c r="H1289" s="29" t="n"/>
      <c r="I1289" s="24" t="n"/>
    </row>
    <row r="1290">
      <c r="A1290" s="26" t="inlineStr">
        <is>
          <t>RNPT3</t>
        </is>
      </c>
      <c r="B1290" s="27" t="inlineStr">
        <is>
          <t>Ação</t>
        </is>
      </c>
      <c r="C1290" s="27" t="n"/>
      <c r="D1290" s="27" t="n"/>
      <c r="E1290" s="27" t="n"/>
      <c r="F1290" s="27" t="n"/>
      <c r="G1290" s="28" t="inlineStr">
        <is>
          <t>0,00</t>
        </is>
      </c>
      <c r="H1290" s="28" t="n"/>
      <c r="I1290" s="27" t="n"/>
    </row>
    <row r="1291">
      <c r="A1291" s="23" t="inlineStr">
        <is>
          <t>FIGE4</t>
        </is>
      </c>
      <c r="B1291" s="24" t="inlineStr">
        <is>
          <t>Ação</t>
        </is>
      </c>
      <c r="C1291" s="24" t="n"/>
      <c r="D1291" s="24" t="n"/>
      <c r="E1291" s="24" t="inlineStr">
        <is>
          <t>01.548.981/0001-79</t>
        </is>
      </c>
      <c r="F1291" s="24" t="n"/>
      <c r="G1291" s="29" t="inlineStr">
        <is>
          <t>0,00</t>
        </is>
      </c>
      <c r="H1291" s="29" t="n"/>
      <c r="I1291" s="24" t="n"/>
    </row>
    <row r="1292">
      <c r="A1292" s="26" t="inlineStr">
        <is>
          <t>AHEB5</t>
        </is>
      </c>
      <c r="B1292" s="27" t="inlineStr">
        <is>
          <t>Ação</t>
        </is>
      </c>
      <c r="C1292" s="27" t="n"/>
      <c r="D1292" s="27" t="n">
        <v>58</v>
      </c>
      <c r="E1292" s="27" t="inlineStr">
        <is>
          <t>62.002.886/0001-60</t>
        </is>
      </c>
      <c r="F1292" s="27" t="n"/>
      <c r="G1292" s="28" t="inlineStr">
        <is>
          <t>0,00</t>
        </is>
      </c>
      <c r="H1292" s="28" t="n"/>
      <c r="I1292" s="27" t="n"/>
    </row>
    <row r="1293">
      <c r="A1293" s="23" t="inlineStr">
        <is>
          <t>TIET11</t>
        </is>
      </c>
      <c r="B1293" s="24" t="inlineStr">
        <is>
          <t>Ação</t>
        </is>
      </c>
      <c r="C1293" s="24" t="n"/>
      <c r="D1293" s="24" t="n"/>
      <c r="E1293" s="24" t="inlineStr">
        <is>
          <t>04.128.563/0001-10</t>
        </is>
      </c>
      <c r="F1293" s="24" t="n"/>
      <c r="G1293" s="29" t="inlineStr">
        <is>
          <t>0,00</t>
        </is>
      </c>
      <c r="H1293" s="29" t="n"/>
      <c r="I1293" s="24" t="n"/>
    </row>
    <row r="1294">
      <c r="A1294" s="26" t="inlineStr">
        <is>
          <t>TIET3</t>
        </is>
      </c>
      <c r="B1294" s="27" t="inlineStr">
        <is>
          <t>Ação</t>
        </is>
      </c>
      <c r="C1294" s="27" t="n"/>
      <c r="D1294" s="27" t="n"/>
      <c r="E1294" s="27" t="inlineStr">
        <is>
          <t>04.128.563/0001-10</t>
        </is>
      </c>
      <c r="F1294" s="27" t="n"/>
      <c r="G1294" s="28" t="inlineStr">
        <is>
          <t>0,00</t>
        </is>
      </c>
      <c r="H1294" s="28" t="n"/>
      <c r="I1294" s="27" t="n"/>
    </row>
    <row r="1295">
      <c r="A1295" s="23" t="inlineStr">
        <is>
          <t>TIET4</t>
        </is>
      </c>
      <c r="B1295" s="24" t="inlineStr">
        <is>
          <t>Ação</t>
        </is>
      </c>
      <c r="C1295" s="24" t="n"/>
      <c r="D1295" s="24" t="n"/>
      <c r="E1295" s="24" t="inlineStr">
        <is>
          <t>04.128.563/0001-10</t>
        </is>
      </c>
      <c r="F1295" s="24" t="n"/>
      <c r="G1295" s="29" t="inlineStr">
        <is>
          <t>0,00</t>
        </is>
      </c>
      <c r="H1295" s="29" t="n"/>
      <c r="I1295" s="24" t="n"/>
    </row>
    <row r="1296">
      <c r="A1296" s="26" t="inlineStr">
        <is>
          <t>ELPL6</t>
        </is>
      </c>
      <c r="B1296" s="27" t="inlineStr">
        <is>
          <t>Ação</t>
        </is>
      </c>
      <c r="C1296" s="27" t="n"/>
      <c r="D1296" s="27" t="n"/>
      <c r="E1296" s="27" t="n"/>
      <c r="F1296" s="27" t="n"/>
      <c r="G1296" s="28" t="inlineStr">
        <is>
          <t>0,00</t>
        </is>
      </c>
      <c r="H1296" s="28" t="n"/>
      <c r="I1296" s="27" t="n"/>
    </row>
    <row r="1297">
      <c r="A1297" s="23" t="inlineStr">
        <is>
          <t>ELPL5</t>
        </is>
      </c>
      <c r="B1297" s="24" t="inlineStr">
        <is>
          <t>Ação</t>
        </is>
      </c>
      <c r="C1297" s="24" t="n"/>
      <c r="D1297" s="24" t="n"/>
      <c r="E1297" s="24" t="n"/>
      <c r="F1297" s="24" t="n"/>
      <c r="G1297" s="29" t="inlineStr">
        <is>
          <t>0,00</t>
        </is>
      </c>
      <c r="H1297" s="29" t="n"/>
      <c r="I1297" s="24" t="n"/>
    </row>
    <row r="1298">
      <c r="A1298" s="26" t="inlineStr">
        <is>
          <t>RPAD5</t>
        </is>
      </c>
      <c r="B1298" s="27" t="inlineStr">
        <is>
          <t>Ação</t>
        </is>
      </c>
      <c r="C1298" s="27" t="n"/>
      <c r="D1298" s="27" t="n">
        <v>6.3</v>
      </c>
      <c r="E1298" s="27" t="inlineStr">
        <is>
          <t>17.167.396/0001-69</t>
        </is>
      </c>
      <c r="F1298" s="27" t="n"/>
      <c r="G1298" s="28" t="inlineStr">
        <is>
          <t>9,06</t>
        </is>
      </c>
      <c r="H1298" s="28" t="n"/>
      <c r="I1298" s="27" t="n"/>
    </row>
    <row r="1299">
      <c r="A1299" s="23" t="inlineStr">
        <is>
          <t>CIQU4</t>
        </is>
      </c>
      <c r="B1299" s="24" t="inlineStr">
        <is>
          <t>Ação</t>
        </is>
      </c>
      <c r="C1299" s="24" t="n"/>
      <c r="D1299" s="24" t="n"/>
      <c r="E1299" s="24" t="n"/>
      <c r="F1299" s="24" t="n"/>
      <c r="G1299" s="29" t="inlineStr">
        <is>
          <t>0,00</t>
        </is>
      </c>
      <c r="H1299" s="29" t="n"/>
      <c r="I1299" s="24" t="n"/>
    </row>
    <row r="1300">
      <c r="A1300" s="26" t="inlineStr">
        <is>
          <t>CIQU3</t>
        </is>
      </c>
      <c r="B1300" s="27" t="inlineStr">
        <is>
          <t>Ação</t>
        </is>
      </c>
      <c r="C1300" s="27" t="n"/>
      <c r="D1300" s="27" t="n"/>
      <c r="E1300" s="27" t="n"/>
      <c r="F1300" s="27" t="n"/>
      <c r="G1300" s="28" t="inlineStr">
        <is>
          <t>0,00</t>
        </is>
      </c>
      <c r="H1300" s="28" t="n"/>
      <c r="I1300" s="27" t="n"/>
    </row>
    <row r="1301">
      <c r="A1301" s="23" t="inlineStr">
        <is>
          <t>CYRE4</t>
        </is>
      </c>
      <c r="B1301" s="24" t="inlineStr">
        <is>
          <t>Ação</t>
        </is>
      </c>
      <c r="C1301" s="24" t="n"/>
      <c r="D1301" s="24" t="n">
        <v>26.34</v>
      </c>
      <c r="E1301" s="24" t="inlineStr">
        <is>
          <t>73.178.600/0001-18</t>
        </is>
      </c>
      <c r="F1301" s="24" t="n"/>
      <c r="G1301" s="29" t="inlineStr">
        <is>
          <t>0,00</t>
        </is>
      </c>
      <c r="H1301" s="29" t="n"/>
      <c r="I1301" s="24" t="n"/>
    </row>
    <row r="1302">
      <c r="A1302" s="26" t="inlineStr">
        <is>
          <t>BPAR3</t>
        </is>
      </c>
      <c r="B1302" s="27" t="inlineStr">
        <is>
          <t>Ação</t>
        </is>
      </c>
      <c r="C1302" s="27" t="n"/>
      <c r="D1302" s="27" t="n"/>
      <c r="E1302" s="27" t="inlineStr">
        <is>
          <t>04.913.711/0001-08</t>
        </is>
      </c>
      <c r="F1302" s="27" t="n"/>
      <c r="G1302" s="28" t="inlineStr">
        <is>
          <t>3,75</t>
        </is>
      </c>
      <c r="H1302" s="28" t="n"/>
      <c r="I1302" s="27" t="n"/>
    </row>
    <row r="1303">
      <c r="A1303" s="23" t="inlineStr">
        <is>
          <t>ALLL11</t>
        </is>
      </c>
      <c r="B1303" s="24" t="inlineStr">
        <is>
          <t>Ação</t>
        </is>
      </c>
      <c r="C1303" s="24" t="n"/>
      <c r="D1303" s="24" t="n"/>
      <c r="E1303" s="24" t="n"/>
      <c r="F1303" s="24" t="n"/>
      <c r="G1303" s="29" t="inlineStr">
        <is>
          <t>0,00</t>
        </is>
      </c>
      <c r="H1303" s="29" t="n"/>
      <c r="I1303" s="24" t="n"/>
    </row>
    <row r="1304">
      <c r="A1304" s="26" t="inlineStr">
        <is>
          <t>ALLL4</t>
        </is>
      </c>
      <c r="B1304" s="27" t="inlineStr">
        <is>
          <t>Ação</t>
        </is>
      </c>
      <c r="C1304" s="27" t="n"/>
      <c r="D1304" s="27" t="n"/>
      <c r="E1304" s="27" t="n"/>
      <c r="F1304" s="27" t="n"/>
      <c r="G1304" s="28" t="inlineStr">
        <is>
          <t>0,00</t>
        </is>
      </c>
      <c r="H1304" s="28" t="n"/>
      <c r="I1304" s="27" t="n"/>
    </row>
    <row r="1305">
      <c r="A1305" s="23" t="inlineStr">
        <is>
          <t>GETT3</t>
        </is>
      </c>
      <c r="B1305" s="24" t="inlineStr">
        <is>
          <t>Ação</t>
        </is>
      </c>
      <c r="C1305" s="24" t="n"/>
      <c r="D1305" s="24" t="n"/>
      <c r="E1305" s="24" t="inlineStr">
        <is>
          <t>10.440.482/0001-54</t>
        </is>
      </c>
      <c r="F1305" s="24" t="n"/>
      <c r="G1305" s="29" t="inlineStr">
        <is>
          <t>0,00</t>
        </is>
      </c>
      <c r="H1305" s="29" t="n"/>
      <c r="I1305" s="24" t="n"/>
    </row>
    <row r="1306">
      <c r="A1306" s="26" t="inlineStr">
        <is>
          <t>GETT4</t>
        </is>
      </c>
      <c r="B1306" s="27" t="inlineStr">
        <is>
          <t>Ação</t>
        </is>
      </c>
      <c r="C1306" s="27" t="n"/>
      <c r="D1306" s="27" t="n"/>
      <c r="E1306" s="27" t="inlineStr">
        <is>
          <t>10.440.482/0001-54</t>
        </is>
      </c>
      <c r="F1306" s="27" t="n"/>
      <c r="G1306" s="28" t="inlineStr">
        <is>
          <t>0,00</t>
        </is>
      </c>
      <c r="H1306" s="28" t="n"/>
      <c r="I1306" s="27" t="n"/>
    </row>
    <row r="1307">
      <c r="A1307" s="23" t="inlineStr">
        <is>
          <t>DPPI4</t>
        </is>
      </c>
      <c r="B1307" s="24" t="inlineStr">
        <is>
          <t>Ação</t>
        </is>
      </c>
      <c r="C1307" s="24" t="n"/>
      <c r="D1307" s="24" t="n"/>
      <c r="E1307" s="24" t="n"/>
      <c r="F1307" s="24" t="n"/>
      <c r="G1307" s="29" t="inlineStr">
        <is>
          <t>0,00</t>
        </is>
      </c>
      <c r="H1307" s="29" t="n"/>
      <c r="I1307" s="24" t="n"/>
    </row>
    <row r="1308">
      <c r="A1308" s="26" t="inlineStr">
        <is>
          <t>CCTU4</t>
        </is>
      </c>
      <c r="B1308" s="27" t="inlineStr">
        <is>
          <t>Ação</t>
        </is>
      </c>
      <c r="C1308" s="27" t="n"/>
      <c r="D1308" s="27" t="n"/>
      <c r="E1308" s="27" t="n"/>
      <c r="F1308" s="27" t="n"/>
      <c r="G1308" s="28" t="inlineStr">
        <is>
          <t>0,00</t>
        </is>
      </c>
      <c r="H1308" s="28" t="n"/>
      <c r="I1308" s="27" t="n"/>
    </row>
    <row r="1309">
      <c r="A1309" s="23" t="inlineStr">
        <is>
          <t>COCE6</t>
        </is>
      </c>
      <c r="B1309" s="24" t="inlineStr">
        <is>
          <t>Ação</t>
        </is>
      </c>
      <c r="C1309" s="24" t="n"/>
      <c r="D1309" s="24" t="n"/>
      <c r="E1309" s="24" t="inlineStr">
        <is>
          <t>07.047.251/0001-70</t>
        </is>
      </c>
      <c r="F1309" s="24" t="n"/>
      <c r="G1309" s="29" t="inlineStr">
        <is>
          <t>13,90</t>
        </is>
      </c>
      <c r="H1309" s="29" t="n"/>
      <c r="I1309" s="24" t="n"/>
    </row>
    <row r="1310">
      <c r="A1310" s="26" t="inlineStr">
        <is>
          <t>ENBR3</t>
        </is>
      </c>
      <c r="B1310" s="27" t="inlineStr">
        <is>
          <t>Ação</t>
        </is>
      </c>
      <c r="C1310" s="27" t="n"/>
      <c r="D1310" s="27" t="n"/>
      <c r="E1310" s="27" t="inlineStr">
        <is>
          <t>03.983.431/0001-03</t>
        </is>
      </c>
      <c r="F1310" s="27" t="n"/>
      <c r="G1310" s="28" t="inlineStr">
        <is>
          <t>0,00</t>
        </is>
      </c>
      <c r="H1310" s="28" t="n"/>
      <c r="I1310" s="27" t="n"/>
    </row>
    <row r="1311">
      <c r="A1311" s="23" t="inlineStr">
        <is>
          <t>KROT4</t>
        </is>
      </c>
      <c r="B1311" s="24" t="inlineStr">
        <is>
          <t>Ação</t>
        </is>
      </c>
      <c r="C1311" s="24" t="n"/>
      <c r="D1311" s="24" t="n"/>
      <c r="E1311" s="24" t="n"/>
      <c r="F1311" s="24" t="n"/>
      <c r="G1311" s="29" t="inlineStr">
        <is>
          <t>0,00</t>
        </is>
      </c>
      <c r="H1311" s="29" t="n"/>
      <c r="I1311" s="24" t="n"/>
    </row>
    <row r="1312">
      <c r="A1312" s="26" t="inlineStr">
        <is>
          <t>WSON33</t>
        </is>
      </c>
      <c r="B1312" s="27" t="inlineStr">
        <is>
          <t>Ação</t>
        </is>
      </c>
      <c r="C1312" s="27" t="n"/>
      <c r="D1312" s="27" t="n"/>
      <c r="E1312" s="27" t="n"/>
      <c r="F1312" s="27" t="n"/>
      <c r="G1312" s="28" t="inlineStr">
        <is>
          <t>0,00</t>
        </is>
      </c>
      <c r="H1312" s="28" t="n"/>
      <c r="I1312" s="27" t="n"/>
    </row>
    <row r="1313">
      <c r="A1313" s="23" t="inlineStr">
        <is>
          <t>CMET4</t>
        </is>
      </c>
      <c r="B1313" s="24" t="inlineStr">
        <is>
          <t>Ação</t>
        </is>
      </c>
      <c r="C1313" s="24" t="n"/>
      <c r="D1313" s="24" t="n"/>
      <c r="E1313" s="24" t="n"/>
      <c r="F1313" s="24" t="n"/>
      <c r="G1313" s="29" t="inlineStr">
        <is>
          <t>0,00</t>
        </is>
      </c>
      <c r="H1313" s="29" t="n"/>
      <c r="I1313" s="24" t="n"/>
    </row>
    <row r="1314">
      <c r="A1314" s="26" t="inlineStr">
        <is>
          <t>RDTR3</t>
        </is>
      </c>
      <c r="B1314" s="27" t="inlineStr">
        <is>
          <t>Ação</t>
        </is>
      </c>
      <c r="C1314" s="27" t="n"/>
      <c r="D1314" s="27" t="n"/>
      <c r="E1314" s="27" t="n"/>
      <c r="F1314" s="27" t="n"/>
      <c r="G1314" s="28" t="inlineStr">
        <is>
          <t>0,00</t>
        </is>
      </c>
      <c r="H1314" s="28" t="n"/>
      <c r="I1314" s="27" t="n"/>
    </row>
    <row r="1315">
      <c r="A1315" s="23" t="inlineStr">
        <is>
          <t>CIEL3</t>
        </is>
      </c>
      <c r="B1315" s="24" t="inlineStr">
        <is>
          <t>Ação</t>
        </is>
      </c>
      <c r="C1315" s="24" t="n"/>
      <c r="D1315" s="24" t="n"/>
      <c r="E1315" s="24" t="inlineStr">
        <is>
          <t>01.027.058/0001-91</t>
        </is>
      </c>
      <c r="F1315" s="24" t="n"/>
      <c r="G1315" s="29" t="inlineStr">
        <is>
          <t>0,00</t>
        </is>
      </c>
      <c r="H1315" s="29" t="n"/>
      <c r="I1315" s="24" t="n"/>
    </row>
    <row r="1316">
      <c r="A1316" s="26" t="inlineStr">
        <is>
          <t>EPAR4</t>
        </is>
      </c>
      <c r="B1316" s="27" t="inlineStr">
        <is>
          <t>Ação</t>
        </is>
      </c>
      <c r="C1316" s="27" t="n"/>
      <c r="D1316" s="27" t="n"/>
      <c r="E1316" s="27" t="n"/>
      <c r="F1316" s="27" t="n"/>
      <c r="G1316" s="28" t="inlineStr">
        <is>
          <t>0,00</t>
        </is>
      </c>
      <c r="H1316" s="28" t="n"/>
      <c r="I1316" s="27" t="n"/>
    </row>
    <row r="1317">
      <c r="A1317" s="23" t="inlineStr">
        <is>
          <t>AGIN3</t>
        </is>
      </c>
      <c r="B1317" s="24" t="inlineStr">
        <is>
          <t>Ação</t>
        </is>
      </c>
      <c r="C1317" s="24" t="n"/>
      <c r="D1317" s="24" t="n"/>
      <c r="E1317" s="24" t="n"/>
      <c r="F1317" s="24" t="n"/>
      <c r="G1317" s="29" t="inlineStr">
        <is>
          <t>0,00</t>
        </is>
      </c>
      <c r="H1317" s="29" t="n"/>
      <c r="I1317" s="24" t="n"/>
    </row>
    <row r="1318">
      <c r="A1318" s="26" t="inlineStr">
        <is>
          <t>AELP3</t>
        </is>
      </c>
      <c r="B1318" s="27" t="inlineStr">
        <is>
          <t>Ação</t>
        </is>
      </c>
      <c r="C1318" s="27" t="n"/>
      <c r="D1318" s="27" t="n"/>
      <c r="E1318" s="27" t="n"/>
      <c r="F1318" s="27" t="n"/>
      <c r="G1318" s="28" t="inlineStr">
        <is>
          <t>0,00</t>
        </is>
      </c>
      <c r="H1318" s="28" t="n"/>
      <c r="I1318" s="27" t="n"/>
    </row>
    <row r="1319">
      <c r="A1319" s="23" t="inlineStr">
        <is>
          <t>AESL3</t>
        </is>
      </c>
      <c r="B1319" s="24" t="inlineStr">
        <is>
          <t>Ação</t>
        </is>
      </c>
      <c r="C1319" s="24" t="n"/>
      <c r="D1319" s="24" t="n"/>
      <c r="E1319" s="24" t="n"/>
      <c r="F1319" s="24" t="n"/>
      <c r="G1319" s="29" t="inlineStr">
        <is>
          <t>0,00</t>
        </is>
      </c>
      <c r="H1319" s="29" t="n"/>
      <c r="I1319" s="24" t="n"/>
    </row>
    <row r="1320">
      <c r="A1320" s="26" t="inlineStr">
        <is>
          <t>AESL4</t>
        </is>
      </c>
      <c r="B1320" s="27" t="inlineStr">
        <is>
          <t>Ação</t>
        </is>
      </c>
      <c r="C1320" s="27" t="n"/>
      <c r="D1320" s="27" t="n"/>
      <c r="E1320" s="27" t="n"/>
      <c r="F1320" s="27" t="n"/>
      <c r="G1320" s="28" t="inlineStr">
        <is>
          <t>0,00</t>
        </is>
      </c>
      <c r="H1320" s="28" t="n"/>
      <c r="I1320" s="27" t="n"/>
    </row>
    <row r="1321">
      <c r="A1321" s="23" t="inlineStr">
        <is>
          <t>CPSL3</t>
        </is>
      </c>
      <c r="B1321" s="24" t="inlineStr">
        <is>
          <t>Ação</t>
        </is>
      </c>
      <c r="C1321" s="24" t="n"/>
      <c r="D1321" s="24" t="n"/>
      <c r="E1321" s="24" t="n"/>
      <c r="F1321" s="24" t="n"/>
      <c r="G1321" s="29" t="inlineStr">
        <is>
          <t>0,00</t>
        </is>
      </c>
      <c r="H1321" s="29" t="n"/>
      <c r="I1321" s="24" t="n"/>
    </row>
    <row r="1322">
      <c r="A1322" s="26" t="inlineStr">
        <is>
          <t>BGIP3</t>
        </is>
      </c>
      <c r="B1322" s="27" t="inlineStr">
        <is>
          <t>Ação</t>
        </is>
      </c>
      <c r="C1322" s="27" t="n"/>
      <c r="D1322" s="27" t="n">
        <v>62.24</v>
      </c>
      <c r="E1322" s="27" t="inlineStr">
        <is>
          <t>13.009.717/0001-46</t>
        </is>
      </c>
      <c r="F1322" s="27" t="n"/>
      <c r="G1322" s="28" t="inlineStr">
        <is>
          <t>5,23</t>
        </is>
      </c>
      <c r="H1322" s="28" t="n"/>
      <c r="I1322" s="27" t="n"/>
    </row>
    <row r="1323">
      <c r="A1323" s="23" t="inlineStr">
        <is>
          <t>ALLL3</t>
        </is>
      </c>
      <c r="B1323" s="24" t="inlineStr">
        <is>
          <t>Ação</t>
        </is>
      </c>
      <c r="C1323" s="24" t="n"/>
      <c r="D1323" s="24" t="n"/>
      <c r="E1323" s="24" t="n"/>
      <c r="F1323" s="24" t="n"/>
      <c r="G1323" s="29" t="inlineStr">
        <is>
          <t>0,00</t>
        </is>
      </c>
      <c r="H1323" s="29" t="n"/>
      <c r="I1323" s="24" t="n"/>
    </row>
    <row r="1324">
      <c r="A1324" s="26" t="inlineStr">
        <is>
          <t>TMGC12</t>
        </is>
      </c>
      <c r="B1324" s="27" t="inlineStr">
        <is>
          <t>Ação</t>
        </is>
      </c>
      <c r="C1324" s="27" t="n"/>
      <c r="D1324" s="27" t="n"/>
      <c r="E1324" s="27" t="n"/>
      <c r="F1324" s="27" t="n"/>
      <c r="G1324" s="28" t="inlineStr">
        <is>
          <t>0,00</t>
        </is>
      </c>
      <c r="H1324" s="28" t="n"/>
      <c r="I1324" s="27" t="n"/>
    </row>
    <row r="1325">
      <c r="A1325" s="23" t="inlineStr">
        <is>
          <t>ACES4</t>
        </is>
      </c>
      <c r="B1325" s="24" t="inlineStr">
        <is>
          <t>Ação</t>
        </is>
      </c>
      <c r="C1325" s="24" t="n"/>
      <c r="D1325" s="24" t="n"/>
      <c r="E1325" s="24" t="n"/>
      <c r="F1325" s="24" t="n"/>
      <c r="G1325" s="29" t="inlineStr">
        <is>
          <t>0,00</t>
        </is>
      </c>
      <c r="H1325" s="29" t="n"/>
      <c r="I1325" s="24" t="n"/>
    </row>
    <row r="1326">
      <c r="A1326" s="26" t="inlineStr">
        <is>
          <t>ESTC11</t>
        </is>
      </c>
      <c r="B1326" s="27" t="inlineStr">
        <is>
          <t>Ação</t>
        </is>
      </c>
      <c r="C1326" s="27" t="n"/>
      <c r="D1326" s="27" t="n"/>
      <c r="E1326" s="27" t="n"/>
      <c r="F1326" s="27" t="n"/>
      <c r="G1326" s="28" t="inlineStr">
        <is>
          <t>0,00</t>
        </is>
      </c>
      <c r="H1326" s="28" t="n"/>
      <c r="I1326" s="27" t="n"/>
    </row>
    <row r="1327">
      <c r="A1327" s="23" t="inlineStr">
        <is>
          <t>ACES3</t>
        </is>
      </c>
      <c r="B1327" s="24" t="inlineStr">
        <is>
          <t>Ação</t>
        </is>
      </c>
      <c r="C1327" s="24" t="n"/>
      <c r="D1327" s="24" t="n"/>
      <c r="E1327" s="24" t="n"/>
      <c r="F1327" s="24" t="n"/>
      <c r="G1327" s="29" t="inlineStr">
        <is>
          <t>0,00</t>
        </is>
      </c>
      <c r="H1327" s="29" t="n"/>
      <c r="I1327" s="24" t="n"/>
    </row>
    <row r="1328">
      <c r="A1328" s="26" t="inlineStr">
        <is>
          <t>EQPA6</t>
        </is>
      </c>
      <c r="B1328" s="27" t="inlineStr">
        <is>
          <t>Ação</t>
        </is>
      </c>
      <c r="C1328" s="27" t="n"/>
      <c r="D1328" s="27" t="n">
        <v>6.59</v>
      </c>
      <c r="E1328" s="27" t="inlineStr">
        <is>
          <t>04.895.728/0001-80</t>
        </is>
      </c>
      <c r="F1328" s="27" t="n"/>
      <c r="G1328" s="28" t="inlineStr">
        <is>
          <t>19,99</t>
        </is>
      </c>
      <c r="H1328" s="28" t="n"/>
      <c r="I1328" s="27" t="n"/>
    </row>
    <row r="1329">
      <c r="A1329" s="23" t="inlineStr">
        <is>
          <t>KROT11</t>
        </is>
      </c>
      <c r="B1329" s="24" t="inlineStr">
        <is>
          <t>Ação</t>
        </is>
      </c>
      <c r="C1329" s="24" t="n"/>
      <c r="D1329" s="24" t="n"/>
      <c r="E1329" s="24" t="n"/>
      <c r="F1329" s="24" t="n"/>
      <c r="G1329" s="29" t="inlineStr">
        <is>
          <t>0,00</t>
        </is>
      </c>
      <c r="H1329" s="29" t="n"/>
      <c r="I1329" s="24" t="n"/>
    </row>
    <row r="1330">
      <c r="A1330" s="26" t="inlineStr">
        <is>
          <t>CZRS4</t>
        </is>
      </c>
      <c r="B1330" s="27" t="inlineStr">
        <is>
          <t>Ação</t>
        </is>
      </c>
      <c r="C1330" s="27" t="n"/>
      <c r="D1330" s="27" t="n"/>
      <c r="E1330" s="27" t="n"/>
      <c r="F1330" s="27" t="n"/>
      <c r="G1330" s="28" t="inlineStr">
        <is>
          <t>0,00</t>
        </is>
      </c>
      <c r="H1330" s="28" t="n"/>
      <c r="I1330" s="27" t="n"/>
    </row>
    <row r="1331">
      <c r="A1331" s="23" t="inlineStr">
        <is>
          <t>AFLU5</t>
        </is>
      </c>
      <c r="B1331" s="24" t="inlineStr">
        <is>
          <t>Ação</t>
        </is>
      </c>
      <c r="C1331" s="24" t="n"/>
      <c r="D1331" s="24" t="n"/>
      <c r="E1331" s="24" t="n"/>
      <c r="F1331" s="24" t="n"/>
      <c r="G1331" s="29" t="inlineStr">
        <is>
          <t>0,00</t>
        </is>
      </c>
      <c r="H1331" s="29" t="n"/>
      <c r="I1331" s="24" t="n"/>
    </row>
    <row r="1332">
      <c r="A1332" s="26" t="inlineStr">
        <is>
          <t>BMGB11</t>
        </is>
      </c>
      <c r="B1332" s="27" t="inlineStr">
        <is>
          <t>Ação</t>
        </is>
      </c>
      <c r="C1332" s="27" t="n"/>
      <c r="D1332" s="27" t="n"/>
      <c r="E1332" s="27" t="n"/>
      <c r="F1332" s="27" t="n"/>
      <c r="G1332" s="28" t="inlineStr">
        <is>
          <t>0,00</t>
        </is>
      </c>
      <c r="H1332" s="28" t="n"/>
      <c r="I1332" s="27" t="n"/>
    </row>
    <row r="1333">
      <c r="A1333" s="23" t="inlineStr">
        <is>
          <t>VIVO3</t>
        </is>
      </c>
      <c r="B1333" s="24" t="inlineStr">
        <is>
          <t>Ação</t>
        </is>
      </c>
      <c r="C1333" s="24" t="n"/>
      <c r="D1333" s="24" t="n"/>
      <c r="E1333" s="24" t="n"/>
      <c r="F1333" s="24" t="n"/>
      <c r="G1333" s="29" t="inlineStr">
        <is>
          <t>0,00</t>
        </is>
      </c>
      <c r="H1333" s="29" t="n"/>
      <c r="I1333" s="24" t="n"/>
    </row>
    <row r="1334">
      <c r="A1334" s="26" t="inlineStr">
        <is>
          <t>CNFB4</t>
        </is>
      </c>
      <c r="B1334" s="27" t="inlineStr">
        <is>
          <t>Ação</t>
        </is>
      </c>
      <c r="C1334" s="27" t="n"/>
      <c r="D1334" s="27" t="n"/>
      <c r="E1334" s="27" t="n"/>
      <c r="F1334" s="27" t="n"/>
      <c r="G1334" s="28" t="inlineStr">
        <is>
          <t>0,00</t>
        </is>
      </c>
      <c r="H1334" s="28" t="n"/>
      <c r="I1334" s="27" t="n"/>
    </row>
    <row r="1335">
      <c r="A1335" s="23" t="inlineStr">
        <is>
          <t>MBRF3</t>
        </is>
      </c>
      <c r="B1335" s="24" t="inlineStr">
        <is>
          <t>Ação</t>
        </is>
      </c>
      <c r="C1335" s="24" t="n"/>
      <c r="D1335" s="24" t="n">
        <v>18.07</v>
      </c>
      <c r="E1335" s="24" t="inlineStr">
        <is>
          <t>03.853.896/0001-40</t>
        </is>
      </c>
      <c r="F1335" s="24" t="n"/>
      <c r="G1335" s="29" t="inlineStr">
        <is>
          <t>15,29</t>
        </is>
      </c>
      <c r="H1335" s="29" t="n"/>
      <c r="I1335" s="24" t="n"/>
    </row>
    <row r="1336">
      <c r="A1336" s="26" t="inlineStr">
        <is>
          <t>AFLU3</t>
        </is>
      </c>
      <c r="B1336" s="27" t="inlineStr">
        <is>
          <t>Ação</t>
        </is>
      </c>
      <c r="C1336" s="27" t="n"/>
      <c r="D1336" s="27" t="n"/>
      <c r="E1336" s="27" t="n"/>
      <c r="F1336" s="27" t="n"/>
      <c r="G1336" s="28" t="inlineStr">
        <is>
          <t>0,00</t>
        </is>
      </c>
      <c r="H1336" s="28" t="n"/>
      <c r="I1336" s="27" t="n"/>
    </row>
    <row r="1337">
      <c r="A1337" s="23" t="inlineStr">
        <is>
          <t>MRSL4</t>
        </is>
      </c>
      <c r="B1337" s="24" t="inlineStr">
        <is>
          <t>Ação</t>
        </is>
      </c>
      <c r="C1337" s="24" t="n"/>
      <c r="D1337" s="24" t="n"/>
      <c r="E1337" s="24" t="n"/>
      <c r="F1337" s="24" t="n"/>
      <c r="G1337" s="29" t="inlineStr">
        <is>
          <t>0,00</t>
        </is>
      </c>
      <c r="H1337" s="29" t="n"/>
      <c r="I1337" s="24" t="n"/>
    </row>
    <row r="1338">
      <c r="A1338" s="26" t="inlineStr">
        <is>
          <t>CTWR3</t>
        </is>
      </c>
      <c r="B1338" s="27" t="inlineStr">
        <is>
          <t>Ação</t>
        </is>
      </c>
      <c r="C1338" s="27" t="n"/>
      <c r="D1338" s="27" t="n"/>
      <c r="E1338" s="27" t="n"/>
      <c r="F1338" s="27" t="n"/>
      <c r="G1338" s="28" t="inlineStr">
        <is>
          <t>0,00</t>
        </is>
      </c>
      <c r="H1338" s="28" t="n"/>
      <c r="I1338" s="27" t="n"/>
    </row>
    <row r="1339">
      <c r="A1339" s="23" t="inlineStr">
        <is>
          <t>VIVO4</t>
        </is>
      </c>
      <c r="B1339" s="24" t="inlineStr">
        <is>
          <t>Ação</t>
        </is>
      </c>
      <c r="C1339" s="24" t="n"/>
      <c r="D1339" s="24" t="n"/>
      <c r="E1339" s="24" t="n"/>
      <c r="F1339" s="24" t="n"/>
      <c r="G1339" s="29" t="inlineStr">
        <is>
          <t>0,00</t>
        </is>
      </c>
      <c r="H1339" s="29" t="n"/>
      <c r="I1339" s="24" t="n"/>
    </row>
    <row r="1340">
      <c r="A1340" s="26" t="inlineStr">
        <is>
          <t>CRFB3</t>
        </is>
      </c>
      <c r="B1340" s="27" t="inlineStr">
        <is>
          <t>Ação</t>
        </is>
      </c>
      <c r="C1340" s="27" t="n"/>
      <c r="D1340" s="27" t="n"/>
      <c r="E1340" s="27" t="inlineStr">
        <is>
          <t>75.315.333/0001-09</t>
        </is>
      </c>
      <c r="F1340" s="27" t="n"/>
      <c r="G1340" s="28" t="inlineStr">
        <is>
          <t>0,01</t>
        </is>
      </c>
      <c r="H1340" s="28" t="n"/>
      <c r="I1340" s="27" t="n"/>
    </row>
    <row r="1341">
      <c r="A1341" s="23" t="inlineStr">
        <is>
          <t>EKTR3</t>
        </is>
      </c>
      <c r="B1341" s="24" t="inlineStr">
        <is>
          <t>Ação</t>
        </is>
      </c>
      <c r="C1341" s="24" t="n"/>
      <c r="D1341" s="24" t="n">
        <v>48.9</v>
      </c>
      <c r="E1341" s="24" t="inlineStr">
        <is>
          <t>02.328.280/0001-97</t>
        </is>
      </c>
      <c r="F1341" s="24" t="n"/>
      <c r="G1341" s="29" t="inlineStr">
        <is>
          <t>9,39</t>
        </is>
      </c>
      <c r="H1341" s="29" t="n"/>
      <c r="I1341" s="24" t="n"/>
    </row>
    <row r="1342">
      <c r="A1342" s="26" t="inlineStr">
        <is>
          <t>MRSA6B</t>
        </is>
      </c>
      <c r="B1342" s="27" t="inlineStr">
        <is>
          <t>Ação</t>
        </is>
      </c>
      <c r="C1342" s="27" t="n"/>
      <c r="D1342" s="27" t="n">
        <v>44.5</v>
      </c>
      <c r="E1342" s="27" t="inlineStr">
        <is>
          <t>01.417.222/0001-77</t>
        </is>
      </c>
      <c r="F1342" s="27" t="n"/>
      <c r="G1342" s="28" t="inlineStr">
        <is>
          <t>2,35</t>
        </is>
      </c>
      <c r="H1342" s="28" t="n"/>
      <c r="I1342" s="27" t="n"/>
    </row>
    <row r="1343">
      <c r="A1343" s="23" t="inlineStr">
        <is>
          <t>TCSL4</t>
        </is>
      </c>
      <c r="B1343" s="24" t="inlineStr">
        <is>
          <t>Ação</t>
        </is>
      </c>
      <c r="C1343" s="24" t="n"/>
      <c r="D1343" s="24" t="n"/>
      <c r="E1343" s="24" t="n"/>
      <c r="F1343" s="24" t="n"/>
      <c r="G1343" s="29" t="inlineStr">
        <is>
          <t>0,00</t>
        </is>
      </c>
      <c r="H1343" s="29" t="n"/>
      <c r="I1343" s="24" t="n"/>
    </row>
    <row r="1344">
      <c r="A1344" s="26" t="inlineStr">
        <is>
          <t>LUXM3</t>
        </is>
      </c>
      <c r="B1344" s="27" t="inlineStr">
        <is>
          <t>Ação</t>
        </is>
      </c>
      <c r="C1344" s="27" t="n"/>
      <c r="D1344" s="27" t="n"/>
      <c r="E1344" s="27" t="inlineStr">
        <is>
          <t>92.660.570/0001-26</t>
        </is>
      </c>
      <c r="F1344" s="27" t="n"/>
      <c r="G1344" s="28" t="inlineStr">
        <is>
          <t>0,00</t>
        </is>
      </c>
      <c r="H1344" s="28" t="n"/>
      <c r="I1344" s="27" t="n"/>
    </row>
    <row r="1345">
      <c r="A1345" s="23" t="inlineStr">
        <is>
          <t>IGTA3</t>
        </is>
      </c>
      <c r="B1345" s="24" t="inlineStr">
        <is>
          <t>Ação</t>
        </is>
      </c>
      <c r="C1345" s="24" t="n"/>
      <c r="D1345" s="24" t="n"/>
      <c r="E1345" s="24" t="inlineStr">
        <is>
          <t>51.218.147/0001-93</t>
        </is>
      </c>
      <c r="F1345" s="24" t="n"/>
      <c r="G1345" s="29" t="inlineStr">
        <is>
          <t>0,00</t>
        </is>
      </c>
      <c r="H1345" s="29" t="n"/>
      <c r="I1345" s="24" t="n"/>
    </row>
    <row r="1346">
      <c r="A1346" s="26" t="inlineStr">
        <is>
          <t>CPRE3</t>
        </is>
      </c>
      <c r="B1346" s="27" t="inlineStr">
        <is>
          <t>Ação</t>
        </is>
      </c>
      <c r="C1346" s="27" t="n"/>
      <c r="D1346" s="27" t="n"/>
      <c r="E1346" s="27" t="inlineStr">
        <is>
          <t>08.439.659/0001-50</t>
        </is>
      </c>
      <c r="F1346" s="27" t="n"/>
      <c r="G1346" s="28" t="inlineStr">
        <is>
          <t>0,00</t>
        </is>
      </c>
      <c r="H1346" s="28" t="n"/>
      <c r="I1346" s="27" t="n"/>
    </row>
    <row r="1347">
      <c r="A1347" s="23" t="inlineStr">
        <is>
          <t>BMIN3</t>
        </is>
      </c>
      <c r="B1347" s="24" t="inlineStr">
        <is>
          <t>Ação</t>
        </is>
      </c>
      <c r="C1347" s="24" t="n"/>
      <c r="D1347" s="24" t="n">
        <v>22</v>
      </c>
      <c r="E1347" s="24" t="inlineStr">
        <is>
          <t>34.169.557/0001-72</t>
        </is>
      </c>
      <c r="F1347" s="24" t="n"/>
      <c r="G1347" s="29" t="inlineStr">
        <is>
          <t>2,33</t>
        </is>
      </c>
      <c r="H1347" s="29" t="n"/>
      <c r="I1347" s="24" t="n"/>
    </row>
    <row r="1348">
      <c r="A1348" s="26" t="inlineStr">
        <is>
          <t>ENAT3</t>
        </is>
      </c>
      <c r="B1348" s="27" t="inlineStr">
        <is>
          <t>Ação</t>
        </is>
      </c>
      <c r="C1348" s="27" t="n"/>
      <c r="D1348" s="27" t="n"/>
      <c r="E1348" s="27" t="inlineStr">
        <is>
          <t>11.669.021/0001-10</t>
        </is>
      </c>
      <c r="F1348" s="27" t="n"/>
      <c r="G1348" s="28" t="inlineStr">
        <is>
          <t>0,00</t>
        </is>
      </c>
      <c r="H1348" s="28" t="n"/>
      <c r="I1348" s="27" t="n"/>
    </row>
    <row r="1349">
      <c r="A1349" s="23" t="inlineStr">
        <is>
          <t>MRSL3</t>
        </is>
      </c>
      <c r="B1349" s="24" t="inlineStr">
        <is>
          <t>Ação</t>
        </is>
      </c>
      <c r="C1349" s="24" t="n"/>
      <c r="D1349" s="24" t="n"/>
      <c r="E1349" s="24" t="n"/>
      <c r="F1349" s="24" t="n"/>
      <c r="G1349" s="29" t="inlineStr">
        <is>
          <t>0,00</t>
        </is>
      </c>
      <c r="H1349" s="29" t="n"/>
      <c r="I1349" s="24" t="n"/>
    </row>
    <row r="1350">
      <c r="A1350" s="26" t="inlineStr">
        <is>
          <t>TRFO3</t>
        </is>
      </c>
      <c r="B1350" s="27" t="inlineStr">
        <is>
          <t>Ação</t>
        </is>
      </c>
      <c r="C1350" s="27" t="n"/>
      <c r="D1350" s="27" t="n"/>
      <c r="E1350" s="27" t="n"/>
      <c r="F1350" s="27" t="n"/>
      <c r="G1350" s="28" t="inlineStr">
        <is>
          <t>0,00</t>
        </is>
      </c>
      <c r="H1350" s="28" t="n"/>
      <c r="I1350" s="27" t="n"/>
    </row>
    <row r="1351">
      <c r="A1351" s="23" t="inlineStr">
        <is>
          <t>ELPL3</t>
        </is>
      </c>
      <c r="B1351" s="24" t="inlineStr">
        <is>
          <t>Ação</t>
        </is>
      </c>
      <c r="C1351" s="24" t="n"/>
      <c r="D1351" s="24" t="n"/>
      <c r="E1351" s="24" t="inlineStr">
        <is>
          <t>61.695.227/0001-93</t>
        </is>
      </c>
      <c r="F1351" s="24" t="n"/>
      <c r="G1351" s="29" t="inlineStr">
        <is>
          <t>0,00</t>
        </is>
      </c>
      <c r="H1351" s="29" t="n"/>
      <c r="I1351" s="24" t="n"/>
    </row>
    <row r="1352">
      <c r="A1352" s="26" t="inlineStr">
        <is>
          <t>LEVE4</t>
        </is>
      </c>
      <c r="B1352" s="27" t="inlineStr">
        <is>
          <t>Ação</t>
        </is>
      </c>
      <c r="C1352" s="27" t="n"/>
      <c r="D1352" s="27" t="n"/>
      <c r="E1352" s="27" t="n"/>
      <c r="F1352" s="27" t="n"/>
      <c r="G1352" s="28" t="inlineStr">
        <is>
          <t>0,00</t>
        </is>
      </c>
      <c r="H1352" s="28" t="n"/>
      <c r="I1352" s="27" t="n"/>
    </row>
    <row r="1353">
      <c r="A1353" s="23" t="inlineStr">
        <is>
          <t>BESP3</t>
        </is>
      </c>
      <c r="B1353" s="24" t="inlineStr">
        <is>
          <t>Ação</t>
        </is>
      </c>
      <c r="C1353" s="24" t="n"/>
      <c r="D1353" s="24" t="n"/>
      <c r="E1353" s="24" t="n"/>
      <c r="F1353" s="24" t="n"/>
      <c r="G1353" s="29" t="inlineStr">
        <is>
          <t>0,00</t>
        </is>
      </c>
      <c r="H1353" s="29" t="n"/>
      <c r="I1353" s="24" t="n"/>
    </row>
    <row r="1354">
      <c r="A1354" s="26" t="inlineStr">
        <is>
          <t>TCOC4</t>
        </is>
      </c>
      <c r="B1354" s="27" t="inlineStr">
        <is>
          <t>Ação</t>
        </is>
      </c>
      <c r="C1354" s="27" t="n"/>
      <c r="D1354" s="27" t="n"/>
      <c r="E1354" s="27" t="n"/>
      <c r="F1354" s="27" t="n"/>
      <c r="G1354" s="28" t="inlineStr">
        <is>
          <t>0,00</t>
        </is>
      </c>
      <c r="H1354" s="28" t="n"/>
      <c r="I1354" s="27" t="n"/>
    </row>
    <row r="1355">
      <c r="A1355" s="23" t="inlineStr">
        <is>
          <t>WEGE4</t>
        </is>
      </c>
      <c r="B1355" s="24" t="inlineStr">
        <is>
          <t>Ação</t>
        </is>
      </c>
      <c r="C1355" s="24" t="n"/>
      <c r="D1355" s="24" t="n"/>
      <c r="E1355" s="24" t="n"/>
      <c r="F1355" s="24" t="n"/>
      <c r="G1355" s="29" t="inlineStr">
        <is>
          <t>0,00</t>
        </is>
      </c>
      <c r="H1355" s="29" t="n"/>
      <c r="I1355" s="24" t="n"/>
    </row>
    <row r="1356">
      <c r="A1356" s="26" t="inlineStr">
        <is>
          <t>EQPA5</t>
        </is>
      </c>
      <c r="B1356" s="27" t="inlineStr">
        <is>
          <t>Ação</t>
        </is>
      </c>
      <c r="C1356" s="27" t="n"/>
      <c r="D1356" s="27" t="n">
        <v>7.95</v>
      </c>
      <c r="E1356" s="27" t="inlineStr">
        <is>
          <t>04.895.728/0001-80</t>
        </is>
      </c>
      <c r="F1356" s="27" t="n"/>
      <c r="G1356" s="28" t="inlineStr">
        <is>
          <t>16,57</t>
        </is>
      </c>
      <c r="H1356" s="28" t="n"/>
      <c r="I1356" s="27" t="n"/>
    </row>
    <row r="1357">
      <c r="A1357" s="23" t="inlineStr">
        <is>
          <t>TRFO4</t>
        </is>
      </c>
      <c r="B1357" s="24" t="inlineStr">
        <is>
          <t>Ação</t>
        </is>
      </c>
      <c r="C1357" s="24" t="n"/>
      <c r="D1357" s="24" t="n"/>
      <c r="E1357" s="24" t="n"/>
      <c r="F1357" s="24" t="n"/>
      <c r="G1357" s="29" t="inlineStr">
        <is>
          <t>0,00</t>
        </is>
      </c>
      <c r="H1357" s="29" t="n"/>
      <c r="I1357" s="24" t="n"/>
    </row>
    <row r="1358">
      <c r="A1358" s="26" t="inlineStr">
        <is>
          <t>SMLS3</t>
        </is>
      </c>
      <c r="B1358" s="27" t="inlineStr">
        <is>
          <t>Ação</t>
        </is>
      </c>
      <c r="C1358" s="27" t="n"/>
      <c r="D1358" s="27" t="n"/>
      <c r="E1358" s="27" t="inlineStr">
        <is>
          <t>05.730.375/0001-20</t>
        </is>
      </c>
      <c r="F1358" s="27" t="n"/>
      <c r="G1358" s="28" t="inlineStr">
        <is>
          <t>0,00</t>
        </is>
      </c>
      <c r="H1358" s="28" t="n"/>
      <c r="I1358" s="27" t="n"/>
    </row>
    <row r="1359">
      <c r="A1359" s="23" t="inlineStr">
        <is>
          <t>BESP4</t>
        </is>
      </c>
      <c r="B1359" s="24" t="inlineStr">
        <is>
          <t>Ação</t>
        </is>
      </c>
      <c r="C1359" s="24" t="n"/>
      <c r="D1359" s="24" t="n"/>
      <c r="E1359" s="24" t="n"/>
      <c r="F1359" s="24" t="n"/>
      <c r="G1359" s="29" t="inlineStr">
        <is>
          <t>0,00</t>
        </is>
      </c>
      <c r="H1359" s="29" t="n"/>
      <c r="I1359" s="24" t="n"/>
    </row>
    <row r="1360">
      <c r="A1360" s="26" t="inlineStr">
        <is>
          <t>VALE5</t>
        </is>
      </c>
      <c r="B1360" s="27" t="inlineStr">
        <is>
          <t>Ação</t>
        </is>
      </c>
      <c r="C1360" s="27" t="n"/>
      <c r="D1360" s="27" t="n"/>
      <c r="E1360" s="27" t="n"/>
      <c r="F1360" s="27" t="n"/>
      <c r="G1360" s="28" t="inlineStr">
        <is>
          <t>0,00</t>
        </is>
      </c>
      <c r="H1360" s="28" t="n"/>
      <c r="I1360" s="27" t="n"/>
    </row>
    <row r="1361">
      <c r="A1361" s="23" t="inlineStr">
        <is>
          <t>GRNL4</t>
        </is>
      </c>
      <c r="B1361" s="24" t="inlineStr">
        <is>
          <t>Ação</t>
        </is>
      </c>
      <c r="C1361" s="24" t="n"/>
      <c r="D1361" s="24" t="n"/>
      <c r="E1361" s="24" t="n"/>
      <c r="F1361" s="24" t="n"/>
      <c r="G1361" s="29" t="inlineStr">
        <is>
          <t>0,00</t>
        </is>
      </c>
      <c r="H1361" s="29" t="n"/>
      <c r="I1361" s="24" t="n"/>
    </row>
    <row r="1362">
      <c r="A1362" s="26" t="inlineStr">
        <is>
          <t>ELUM3</t>
        </is>
      </c>
      <c r="B1362" s="27" t="inlineStr">
        <is>
          <t>Ação</t>
        </is>
      </c>
      <c r="C1362" s="27" t="n"/>
      <c r="D1362" s="27" t="n"/>
      <c r="E1362" s="27" t="n"/>
      <c r="F1362" s="27" t="n"/>
      <c r="G1362" s="28" t="inlineStr">
        <is>
          <t>0,00</t>
        </is>
      </c>
      <c r="H1362" s="28" t="n"/>
      <c r="I1362" s="27" t="n"/>
    </row>
    <row r="1363">
      <c r="A1363" s="23" t="inlineStr">
        <is>
          <t>CPLE11</t>
        </is>
      </c>
      <c r="B1363" s="24" t="inlineStr">
        <is>
          <t>Ação</t>
        </is>
      </c>
      <c r="C1363" s="24" t="n"/>
      <c r="D1363" s="24" t="n"/>
      <c r="E1363" s="24" t="n"/>
      <c r="F1363" s="24" t="n"/>
      <c r="G1363" s="29" t="inlineStr">
        <is>
          <t>0,00</t>
        </is>
      </c>
      <c r="H1363" s="29" t="n"/>
      <c r="I1363" s="24" t="n"/>
    </row>
    <row r="1364">
      <c r="A1364" s="26" t="inlineStr">
        <is>
          <t>RIPI3</t>
        </is>
      </c>
      <c r="B1364" s="27" t="inlineStr">
        <is>
          <t>Ação</t>
        </is>
      </c>
      <c r="C1364" s="27" t="n"/>
      <c r="D1364" s="27" t="n"/>
      <c r="E1364" s="27" t="n"/>
      <c r="F1364" s="27" t="n"/>
      <c r="G1364" s="28" t="inlineStr">
        <is>
          <t>0,00</t>
        </is>
      </c>
      <c r="H1364" s="28" t="n"/>
      <c r="I1364" s="27" t="n"/>
    </row>
    <row r="1365">
      <c r="A1365" s="23" t="inlineStr">
        <is>
          <t>CZLT33</t>
        </is>
      </c>
      <c r="B1365" s="24" t="inlineStr">
        <is>
          <t>Ação</t>
        </is>
      </c>
      <c r="C1365" s="24" t="n"/>
      <c r="D1365" s="24" t="n"/>
      <c r="E1365" s="24" t="n"/>
      <c r="F1365" s="24" t="n"/>
      <c r="G1365" s="29" t="inlineStr">
        <is>
          <t>0,00</t>
        </is>
      </c>
      <c r="H1365" s="29" t="n"/>
      <c r="I1365" s="24" t="n"/>
    </row>
    <row r="1366">
      <c r="A1366" s="26" t="inlineStr">
        <is>
          <t>RIPI4</t>
        </is>
      </c>
      <c r="B1366" s="27" t="inlineStr">
        <is>
          <t>Ação</t>
        </is>
      </c>
      <c r="C1366" s="27" t="n"/>
      <c r="D1366" s="27" t="n"/>
      <c r="E1366" s="27" t="n"/>
      <c r="F1366" s="27" t="n"/>
      <c r="G1366" s="28" t="inlineStr">
        <is>
          <t>0,00</t>
        </is>
      </c>
      <c r="H1366" s="28" t="n"/>
      <c r="I1366" s="27" t="n"/>
    </row>
    <row r="1367">
      <c r="A1367" s="23" t="inlineStr">
        <is>
          <t>EBCO4</t>
        </is>
      </c>
      <c r="B1367" s="24" t="inlineStr">
        <is>
          <t>Ação</t>
        </is>
      </c>
      <c r="C1367" s="24" t="n"/>
      <c r="D1367" s="24" t="n"/>
      <c r="E1367" s="24" t="n"/>
      <c r="F1367" s="24" t="n"/>
      <c r="G1367" s="29" t="inlineStr">
        <is>
          <t>0,00</t>
        </is>
      </c>
      <c r="H1367" s="29" t="n"/>
      <c r="I1367" s="24" t="n"/>
    </row>
    <row r="1368">
      <c r="A1368" s="26" t="inlineStr">
        <is>
          <t>TEMP3</t>
        </is>
      </c>
      <c r="B1368" s="27" t="inlineStr">
        <is>
          <t>Ação</t>
        </is>
      </c>
      <c r="C1368" s="27" t="n"/>
      <c r="D1368" s="27" t="n"/>
      <c r="E1368" s="27" t="n"/>
      <c r="F1368" s="27" t="n"/>
      <c r="G1368" s="28" t="inlineStr">
        <is>
          <t>0,00</t>
        </is>
      </c>
      <c r="H1368" s="28" t="n"/>
      <c r="I1368" s="27" t="n"/>
    </row>
    <row r="1369">
      <c r="A1369" s="23" t="inlineStr">
        <is>
          <t>NAFG3</t>
        </is>
      </c>
      <c r="B1369" s="24" t="inlineStr">
        <is>
          <t>Ação</t>
        </is>
      </c>
      <c r="C1369" s="24" t="n"/>
      <c r="D1369" s="24" t="n"/>
      <c r="E1369" s="24" t="inlineStr">
        <is>
          <t>61.067.161/0001-97</t>
        </is>
      </c>
      <c r="F1369" s="24" t="n"/>
      <c r="G1369" s="29" t="inlineStr">
        <is>
          <t>0,00</t>
        </is>
      </c>
      <c r="H1369" s="29" t="n"/>
      <c r="I1369" s="24" t="n"/>
    </row>
    <row r="1370">
      <c r="A1370" s="26" t="inlineStr">
        <is>
          <t>NAFG4</t>
        </is>
      </c>
      <c r="B1370" s="27" t="inlineStr">
        <is>
          <t>Ação</t>
        </is>
      </c>
      <c r="C1370" s="27" t="n"/>
      <c r="D1370" s="27" t="n"/>
      <c r="E1370" s="27" t="inlineStr">
        <is>
          <t>61.067.161/0001-97</t>
        </is>
      </c>
      <c r="F1370" s="27" t="n"/>
      <c r="G1370" s="28" t="inlineStr">
        <is>
          <t>0,00</t>
        </is>
      </c>
      <c r="H1370" s="28" t="n"/>
      <c r="I1370" s="27" t="n"/>
    </row>
    <row r="1371">
      <c r="A1371" s="23" t="inlineStr">
        <is>
          <t>BRIT3</t>
        </is>
      </c>
      <c r="B1371" s="24" t="inlineStr">
        <is>
          <t>Ação</t>
        </is>
      </c>
      <c r="C1371" s="24" t="n"/>
      <c r="D1371" s="24" t="n"/>
      <c r="E1371" s="24" t="n"/>
      <c r="F1371" s="24" t="n"/>
      <c r="G1371" s="29" t="inlineStr">
        <is>
          <t>0,00</t>
        </is>
      </c>
      <c r="H1371" s="29" t="n"/>
      <c r="I1371" s="24" t="n"/>
    </row>
    <row r="1372">
      <c r="A1372" s="26" t="inlineStr">
        <is>
          <t>FIBR3</t>
        </is>
      </c>
      <c r="B1372" s="27" t="inlineStr">
        <is>
          <t>Ação</t>
        </is>
      </c>
      <c r="C1372" s="27" t="n"/>
      <c r="D1372" s="27" t="n"/>
      <c r="E1372" s="27" t="n"/>
      <c r="F1372" s="27" t="n"/>
      <c r="G1372" s="28" t="inlineStr">
        <is>
          <t>0,00</t>
        </is>
      </c>
      <c r="H1372" s="28" t="n"/>
      <c r="I1372" s="27" t="n"/>
    </row>
    <row r="1373">
      <c r="A1373" s="23" t="inlineStr">
        <is>
          <t>EBCO3</t>
        </is>
      </c>
      <c r="B1373" s="24" t="inlineStr">
        <is>
          <t>Ação</t>
        </is>
      </c>
      <c r="C1373" s="24" t="n"/>
      <c r="D1373" s="24" t="n"/>
      <c r="E1373" s="24" t="n"/>
      <c r="F1373" s="24" t="n"/>
      <c r="G1373" s="29" t="inlineStr">
        <is>
          <t>0,00</t>
        </is>
      </c>
      <c r="H1373" s="29" t="n"/>
      <c r="I1373" s="24" t="n"/>
    </row>
    <row r="1374">
      <c r="A1374" s="26" t="inlineStr">
        <is>
          <t>MPLU3</t>
        </is>
      </c>
      <c r="B1374" s="27" t="inlineStr">
        <is>
          <t>Ação</t>
        </is>
      </c>
      <c r="C1374" s="27" t="n"/>
      <c r="D1374" s="27" t="n"/>
      <c r="E1374" s="27" t="n"/>
      <c r="F1374" s="27" t="n"/>
      <c r="G1374" s="28" t="inlineStr">
        <is>
          <t>0,00</t>
        </is>
      </c>
      <c r="H1374" s="28" t="n"/>
      <c r="I1374" s="27" t="n"/>
    </row>
    <row r="1375">
      <c r="A1375" s="23" t="inlineStr">
        <is>
          <t>UGPA4</t>
        </is>
      </c>
      <c r="B1375" s="24" t="inlineStr">
        <is>
          <t>Ação</t>
        </is>
      </c>
      <c r="C1375" s="24" t="n"/>
      <c r="D1375" s="24" t="n"/>
      <c r="E1375" s="24" t="n"/>
      <c r="F1375" s="24" t="n"/>
      <c r="G1375" s="29" t="inlineStr">
        <is>
          <t>0,00</t>
        </is>
      </c>
      <c r="H1375" s="29" t="n"/>
      <c r="I1375" s="24" t="n"/>
    </row>
    <row r="1376">
      <c r="A1376" s="26" t="inlineStr">
        <is>
          <t>EEEL4</t>
        </is>
      </c>
      <c r="B1376" s="27" t="inlineStr">
        <is>
          <t>Ação</t>
        </is>
      </c>
      <c r="C1376" s="27" t="n"/>
      <c r="D1376" s="27" t="n"/>
      <c r="E1376" s="27" t="inlineStr">
        <is>
          <t>92.715.812/0001-31</t>
        </is>
      </c>
      <c r="F1376" s="27" t="n"/>
      <c r="G1376" s="28" t="inlineStr">
        <is>
          <t>0,00</t>
        </is>
      </c>
      <c r="H1376" s="28" t="n"/>
      <c r="I1376" s="27" t="n"/>
    </row>
    <row r="1377">
      <c r="A1377" s="23" t="inlineStr">
        <is>
          <t>AMPI3</t>
        </is>
      </c>
      <c r="B1377" s="24" t="inlineStr">
        <is>
          <t>Ação</t>
        </is>
      </c>
      <c r="C1377" s="24" t="n"/>
      <c r="D1377" s="24" t="n"/>
      <c r="E1377" s="24" t="n"/>
      <c r="F1377" s="24" t="n"/>
      <c r="G1377" s="29" t="inlineStr">
        <is>
          <t>0,00</t>
        </is>
      </c>
      <c r="H1377" s="29" t="n"/>
      <c r="I1377" s="24" t="n"/>
    </row>
    <row r="1378">
      <c r="A1378" s="26" t="inlineStr">
        <is>
          <t>BRML3</t>
        </is>
      </c>
      <c r="B1378" s="27" t="inlineStr">
        <is>
          <t>Ação</t>
        </is>
      </c>
      <c r="C1378" s="27" t="n"/>
      <c r="D1378" s="27" t="n"/>
      <c r="E1378" s="27" t="inlineStr">
        <is>
          <t>06.977.745/0001-91</t>
        </is>
      </c>
      <c r="F1378" s="27" t="n"/>
      <c r="G1378" s="28" t="inlineStr">
        <is>
          <t>0,00</t>
        </is>
      </c>
      <c r="H1378" s="28" t="n"/>
      <c r="I1378" s="27" t="n"/>
    </row>
    <row r="1379">
      <c r="A1379" s="23" t="inlineStr">
        <is>
          <t>TMGC7</t>
        </is>
      </c>
      <c r="B1379" s="24" t="inlineStr">
        <is>
          <t>Ação</t>
        </is>
      </c>
      <c r="C1379" s="24" t="n"/>
      <c r="D1379" s="24" t="n"/>
      <c r="E1379" s="24" t="n"/>
      <c r="F1379" s="24" t="n"/>
      <c r="G1379" s="29" t="inlineStr">
        <is>
          <t>0,00</t>
        </is>
      </c>
      <c r="H1379" s="29" t="n"/>
      <c r="I1379" s="24" t="n"/>
    </row>
    <row r="1380">
      <c r="A1380" s="26" t="inlineStr">
        <is>
          <t>EEEL3</t>
        </is>
      </c>
      <c r="B1380" s="27" t="inlineStr">
        <is>
          <t>Ação</t>
        </is>
      </c>
      <c r="C1380" s="27" t="n"/>
      <c r="D1380" s="27" t="n"/>
      <c r="E1380" s="27" t="inlineStr">
        <is>
          <t>92.715.812/0001-31</t>
        </is>
      </c>
      <c r="F1380" s="27" t="n"/>
      <c r="G1380" s="28" t="inlineStr">
        <is>
          <t>0,00</t>
        </is>
      </c>
      <c r="H1380" s="28" t="n"/>
      <c r="I1380" s="27" t="n"/>
    </row>
    <row r="1381">
      <c r="A1381" s="23" t="inlineStr">
        <is>
          <t>ETER4</t>
        </is>
      </c>
      <c r="B1381" s="24" t="inlineStr">
        <is>
          <t>Ação</t>
        </is>
      </c>
      <c r="C1381" s="24" t="n"/>
      <c r="D1381" s="24" t="n"/>
      <c r="E1381" s="24" t="n"/>
      <c r="F1381" s="24" t="n"/>
      <c r="G1381" s="29" t="inlineStr">
        <is>
          <t>0,00</t>
        </is>
      </c>
      <c r="H1381" s="29" t="n"/>
      <c r="I1381" s="24" t="n"/>
    </row>
    <row r="1382">
      <c r="A1382" s="26" t="inlineStr">
        <is>
          <t>AVIL3</t>
        </is>
      </c>
      <c r="B1382" s="27" t="inlineStr">
        <is>
          <t>Ação</t>
        </is>
      </c>
      <c r="C1382" s="27" t="n"/>
      <c r="D1382" s="27" t="n"/>
      <c r="E1382" s="27" t="n"/>
      <c r="F1382" s="27" t="n"/>
      <c r="G1382" s="28" t="inlineStr">
        <is>
          <t>0,00</t>
        </is>
      </c>
      <c r="H1382" s="28" t="n"/>
      <c r="I1382" s="27" t="n"/>
    </row>
    <row r="1383">
      <c r="A1383" s="23" t="inlineStr">
        <is>
          <t>DXTG4</t>
        </is>
      </c>
      <c r="B1383" s="24" t="inlineStr">
        <is>
          <t>Ação</t>
        </is>
      </c>
      <c r="C1383" s="24" t="n"/>
      <c r="D1383" s="24" t="n"/>
      <c r="E1383" s="24" t="n"/>
      <c r="F1383" s="24" t="n"/>
      <c r="G1383" s="29" t="inlineStr">
        <is>
          <t>0,00</t>
        </is>
      </c>
      <c r="H1383" s="29" t="n"/>
      <c r="I1383" s="24" t="n"/>
    </row>
    <row r="1384">
      <c r="A1384" s="26" t="inlineStr">
        <is>
          <t>SFSA4</t>
        </is>
      </c>
      <c r="B1384" s="27" t="inlineStr">
        <is>
          <t>Ação</t>
        </is>
      </c>
      <c r="C1384" s="27" t="n"/>
      <c r="D1384" s="27" t="n"/>
      <c r="E1384" s="27" t="n"/>
      <c r="F1384" s="27" t="n"/>
      <c r="G1384" s="28" t="inlineStr">
        <is>
          <t>0,00</t>
        </is>
      </c>
      <c r="H1384" s="28" t="n"/>
      <c r="I1384" s="27" t="n"/>
    </row>
    <row r="1385">
      <c r="A1385" s="23" t="inlineStr">
        <is>
          <t>GETI3</t>
        </is>
      </c>
      <c r="B1385" s="24" t="inlineStr">
        <is>
          <t>Ação</t>
        </is>
      </c>
      <c r="C1385" s="24" t="n"/>
      <c r="D1385" s="24" t="n"/>
      <c r="E1385" s="24" t="n"/>
      <c r="F1385" s="24" t="n"/>
      <c r="G1385" s="29" t="inlineStr">
        <is>
          <t>0,00</t>
        </is>
      </c>
      <c r="H1385" s="29" t="n"/>
      <c r="I1385" s="24" t="n"/>
    </row>
    <row r="1386">
      <c r="A1386" s="26" t="inlineStr">
        <is>
          <t>GETI4</t>
        </is>
      </c>
      <c r="B1386" s="27" t="inlineStr">
        <is>
          <t>Ação</t>
        </is>
      </c>
      <c r="C1386" s="27" t="n"/>
      <c r="D1386" s="27" t="n"/>
      <c r="E1386" s="27" t="n"/>
      <c r="F1386" s="27" t="n"/>
      <c r="G1386" s="28" t="inlineStr">
        <is>
          <t>0,00</t>
        </is>
      </c>
      <c r="H1386" s="28" t="n"/>
      <c r="I1386" s="27" t="n"/>
    </row>
    <row r="1387">
      <c r="A1387" s="23" t="inlineStr">
        <is>
          <t>EQPA7</t>
        </is>
      </c>
      <c r="B1387" s="24" t="inlineStr">
        <is>
          <t>Ação</t>
        </is>
      </c>
      <c r="C1387" s="24" t="n"/>
      <c r="D1387" s="24" t="n">
        <v>10</v>
      </c>
      <c r="E1387" s="24" t="inlineStr">
        <is>
          <t>04.895.728/0001-80</t>
        </is>
      </c>
      <c r="F1387" s="24" t="n"/>
      <c r="G1387" s="29" t="inlineStr">
        <is>
          <t>13,17</t>
        </is>
      </c>
      <c r="H1387" s="29" t="n"/>
      <c r="I1387" s="24" t="n"/>
    </row>
    <row r="1388">
      <c r="A1388" s="26" t="inlineStr">
        <is>
          <t>RGEG3</t>
        </is>
      </c>
      <c r="B1388" s="27" t="inlineStr">
        <is>
          <t>Ação</t>
        </is>
      </c>
      <c r="C1388" s="27" t="n"/>
      <c r="D1388" s="27" t="n"/>
      <c r="E1388" s="27" t="n"/>
      <c r="F1388" s="27" t="n"/>
      <c r="G1388" s="28" t="inlineStr">
        <is>
          <t>0,00</t>
        </is>
      </c>
      <c r="H1388" s="28" t="n"/>
      <c r="I1388" s="27" t="n"/>
    </row>
    <row r="1389">
      <c r="A1389" s="23" t="inlineStr">
        <is>
          <t>ARCE3</t>
        </is>
      </c>
      <c r="B1389" s="24" t="inlineStr">
        <is>
          <t>Ação</t>
        </is>
      </c>
      <c r="C1389" s="24" t="n"/>
      <c r="D1389" s="24" t="n"/>
      <c r="E1389" s="24" t="n"/>
      <c r="F1389" s="24" t="n"/>
      <c r="G1389" s="29" t="inlineStr">
        <is>
          <t>0,00</t>
        </is>
      </c>
      <c r="H1389" s="29" t="n"/>
      <c r="I1389" s="24" t="n"/>
    </row>
    <row r="1390">
      <c r="A1390" s="26" t="inlineStr">
        <is>
          <t>TMGC11</t>
        </is>
      </c>
      <c r="B1390" s="27" t="inlineStr">
        <is>
          <t>Ação</t>
        </is>
      </c>
      <c r="C1390" s="27" t="n"/>
      <c r="D1390" s="27" t="n"/>
      <c r="E1390" s="27" t="n"/>
      <c r="F1390" s="27" t="n"/>
      <c r="G1390" s="28" t="inlineStr">
        <is>
          <t>0,00</t>
        </is>
      </c>
      <c r="H1390" s="28" t="n"/>
      <c r="I1390" s="27" t="n"/>
    </row>
    <row r="1391">
      <c r="A1391" s="23" t="inlineStr">
        <is>
          <t>TNCP4</t>
        </is>
      </c>
      <c r="B1391" s="24" t="inlineStr">
        <is>
          <t>Ação</t>
        </is>
      </c>
      <c r="C1391" s="24" t="n"/>
      <c r="D1391" s="24" t="n"/>
      <c r="E1391" s="24" t="n"/>
      <c r="F1391" s="24" t="n"/>
      <c r="G1391" s="29" t="inlineStr">
        <is>
          <t>0,00</t>
        </is>
      </c>
      <c r="H1391" s="29" t="n"/>
      <c r="I1391" s="24" t="n"/>
    </row>
    <row r="1392">
      <c r="A1392" s="26" t="inlineStr">
        <is>
          <t>CEPE3</t>
        </is>
      </c>
      <c r="B1392" s="27" t="inlineStr">
        <is>
          <t>Ação</t>
        </is>
      </c>
      <c r="C1392" s="27" t="n"/>
      <c r="D1392" s="27" t="n"/>
      <c r="E1392" s="27" t="inlineStr">
        <is>
          <t>10.835.932/0001-08</t>
        </is>
      </c>
      <c r="F1392" s="27" t="n"/>
      <c r="G1392" s="28" t="inlineStr">
        <is>
          <t>0,00</t>
        </is>
      </c>
      <c r="H1392" s="28" t="n"/>
      <c r="I1392" s="27" t="n"/>
    </row>
    <row r="1393">
      <c r="A1393" s="23" t="inlineStr">
        <is>
          <t>TNCP3</t>
        </is>
      </c>
      <c r="B1393" s="24" t="inlineStr">
        <is>
          <t>Ação</t>
        </is>
      </c>
      <c r="C1393" s="24" t="n"/>
      <c r="D1393" s="24" t="n"/>
      <c r="E1393" s="24" t="n"/>
      <c r="F1393" s="24" t="n"/>
      <c r="G1393" s="29" t="inlineStr">
        <is>
          <t>0,00</t>
        </is>
      </c>
      <c r="H1393" s="29" t="n"/>
      <c r="I1393" s="24" t="n"/>
    </row>
    <row r="1394">
      <c r="A1394" s="26" t="inlineStr">
        <is>
          <t>KSSA3</t>
        </is>
      </c>
      <c r="B1394" s="27" t="inlineStr">
        <is>
          <t>Ação</t>
        </is>
      </c>
      <c r="C1394" s="27" t="n"/>
      <c r="D1394" s="27" t="n"/>
      <c r="E1394" s="27" t="n"/>
      <c r="F1394" s="27" t="n"/>
      <c r="G1394" s="28" t="inlineStr">
        <is>
          <t>0,00</t>
        </is>
      </c>
      <c r="H1394" s="28" t="n"/>
      <c r="I1394" s="27" t="n"/>
    </row>
    <row r="1395">
      <c r="A1395" s="23" t="inlineStr">
        <is>
          <t>ELUM4</t>
        </is>
      </c>
      <c r="B1395" s="24" t="inlineStr">
        <is>
          <t>Ação</t>
        </is>
      </c>
      <c r="C1395" s="24" t="n"/>
      <c r="D1395" s="24" t="n"/>
      <c r="E1395" s="24" t="n"/>
      <c r="F1395" s="24" t="n"/>
      <c r="G1395" s="29" t="inlineStr">
        <is>
          <t>0,00</t>
        </is>
      </c>
      <c r="H1395" s="29" t="n"/>
      <c r="I1395" s="24" t="n"/>
    </row>
    <row r="1396">
      <c r="A1396" s="26" t="inlineStr">
        <is>
          <t>TCOC3</t>
        </is>
      </c>
      <c r="B1396" s="27" t="inlineStr">
        <is>
          <t>Ação</t>
        </is>
      </c>
      <c r="C1396" s="27" t="n"/>
      <c r="D1396" s="27" t="n"/>
      <c r="E1396" s="27" t="n"/>
      <c r="F1396" s="27" t="n"/>
      <c r="G1396" s="28" t="inlineStr">
        <is>
          <t>0,00</t>
        </is>
      </c>
      <c r="H1396" s="28" t="n"/>
      <c r="I1396" s="27" t="n"/>
    </row>
    <row r="1397">
      <c r="A1397" s="23" t="inlineStr">
        <is>
          <t>RDCD3</t>
        </is>
      </c>
      <c r="B1397" s="24" t="inlineStr">
        <is>
          <t>Ação</t>
        </is>
      </c>
      <c r="C1397" s="24" t="n"/>
      <c r="D1397" s="24" t="n"/>
      <c r="E1397" s="24" t="n"/>
      <c r="F1397" s="24" t="n"/>
      <c r="G1397" s="29" t="inlineStr">
        <is>
          <t>0,00</t>
        </is>
      </c>
      <c r="H1397" s="29" t="n"/>
      <c r="I1397" s="24" t="n"/>
    </row>
    <row r="1398">
      <c r="A1398" s="26" t="inlineStr">
        <is>
          <t>BOAS3</t>
        </is>
      </c>
      <c r="B1398" s="27" t="inlineStr">
        <is>
          <t>Ação</t>
        </is>
      </c>
      <c r="C1398" s="27" t="n"/>
      <c r="D1398" s="27" t="n"/>
      <c r="E1398" s="27" t="inlineStr">
        <is>
          <t>11.725.176/0001-27</t>
        </is>
      </c>
      <c r="F1398" s="27" t="n"/>
      <c r="G1398" s="28" t="inlineStr">
        <is>
          <t>0,00</t>
        </is>
      </c>
      <c r="H1398" s="28" t="n"/>
      <c r="I1398" s="27" t="n"/>
    </row>
    <row r="1399">
      <c r="A1399" s="23" t="inlineStr">
        <is>
          <t>TMGC13</t>
        </is>
      </c>
      <c r="B1399" s="24" t="inlineStr">
        <is>
          <t>Ação</t>
        </is>
      </c>
      <c r="C1399" s="24" t="n"/>
      <c r="D1399" s="24" t="n"/>
      <c r="E1399" s="24" t="n"/>
      <c r="F1399" s="24" t="n"/>
      <c r="G1399" s="29" t="inlineStr">
        <is>
          <t>0,00</t>
        </is>
      </c>
      <c r="H1399" s="29" t="n"/>
      <c r="I1399" s="24" t="n"/>
    </row>
    <row r="1400">
      <c r="A1400" s="26" t="inlineStr">
        <is>
          <t>BEMA3</t>
        </is>
      </c>
      <c r="B1400" s="27" t="inlineStr">
        <is>
          <t>Ação</t>
        </is>
      </c>
      <c r="C1400" s="27" t="n"/>
      <c r="D1400" s="27" t="n"/>
      <c r="E1400" s="27" t="n"/>
      <c r="F1400" s="27" t="n"/>
      <c r="G1400" s="28" t="inlineStr">
        <is>
          <t>0,00</t>
        </is>
      </c>
      <c r="H1400" s="28" t="n"/>
      <c r="I1400" s="27" t="n"/>
    </row>
    <row r="1401">
      <c r="A1401" s="23" t="inlineStr">
        <is>
          <t>ILMD3</t>
        </is>
      </c>
      <c r="B1401" s="24" t="inlineStr">
        <is>
          <t>Ação</t>
        </is>
      </c>
      <c r="C1401" s="24" t="n"/>
      <c r="D1401" s="24" t="n"/>
      <c r="E1401" s="24" t="n"/>
      <c r="F1401" s="24" t="n"/>
      <c r="G1401" s="29" t="inlineStr">
        <is>
          <t>0,00</t>
        </is>
      </c>
      <c r="H1401" s="29" t="n"/>
      <c r="I1401" s="24" t="n"/>
    </row>
    <row r="1402">
      <c r="A1402" s="26" t="inlineStr">
        <is>
          <t>CRTP5</t>
        </is>
      </c>
      <c r="B1402" s="27" t="inlineStr">
        <is>
          <t>Ação</t>
        </is>
      </c>
      <c r="C1402" s="27" t="n"/>
      <c r="D1402" s="27" t="n"/>
      <c r="E1402" s="27" t="n"/>
      <c r="F1402" s="27" t="n"/>
      <c r="G1402" s="28" t="inlineStr">
        <is>
          <t>0,00</t>
        </is>
      </c>
      <c r="H1402" s="28" t="n"/>
      <c r="I1402" s="27" t="n"/>
    </row>
    <row r="1403">
      <c r="A1403" s="23" t="inlineStr">
        <is>
          <t>ILMD4</t>
        </is>
      </c>
      <c r="B1403" s="24" t="inlineStr">
        <is>
          <t>Ação</t>
        </is>
      </c>
      <c r="C1403" s="24" t="n"/>
      <c r="D1403" s="24" t="n"/>
      <c r="E1403" s="24" t="n"/>
      <c r="F1403" s="24" t="n"/>
      <c r="G1403" s="29" t="inlineStr">
        <is>
          <t>0,00</t>
        </is>
      </c>
      <c r="H1403" s="29" t="n"/>
      <c r="I1403" s="24" t="n"/>
    </row>
    <row r="1404">
      <c r="A1404" s="26" t="inlineStr">
        <is>
          <t>DURA4</t>
        </is>
      </c>
      <c r="B1404" s="27" t="inlineStr">
        <is>
          <t>Ação</t>
        </is>
      </c>
      <c r="C1404" s="27" t="n"/>
      <c r="D1404" s="27" t="n"/>
      <c r="E1404" s="27" t="n"/>
      <c r="F1404" s="27" t="n"/>
      <c r="G1404" s="28" t="inlineStr">
        <is>
          <t>0,00</t>
        </is>
      </c>
      <c r="H1404" s="28" t="n"/>
      <c r="I1404" s="27" t="n"/>
    </row>
    <row r="1405">
      <c r="A1405" s="23" t="inlineStr">
        <is>
          <t>MGEL3</t>
        </is>
      </c>
      <c r="B1405" s="24" t="inlineStr">
        <is>
          <t>Ação</t>
        </is>
      </c>
      <c r="C1405" s="24" t="n"/>
      <c r="D1405" s="24" t="n"/>
      <c r="E1405" s="24" t="inlineStr">
        <is>
          <t>61.065.298/0001-02</t>
        </is>
      </c>
      <c r="F1405" s="24" t="n"/>
      <c r="G1405" s="29" t="inlineStr">
        <is>
          <t>0,00</t>
        </is>
      </c>
      <c r="H1405" s="29" t="n"/>
      <c r="I1405" s="24" t="n"/>
    </row>
    <row r="1406">
      <c r="A1406" s="26" t="inlineStr">
        <is>
          <t>CALI4</t>
        </is>
      </c>
      <c r="B1406" s="27" t="inlineStr">
        <is>
          <t>Ação</t>
        </is>
      </c>
      <c r="C1406" s="27" t="n"/>
      <c r="D1406" s="27" t="n"/>
      <c r="E1406" s="27" t="inlineStr">
        <is>
          <t>61.022.042/0001-18</t>
        </is>
      </c>
      <c r="F1406" s="27" t="n"/>
      <c r="G1406" s="28" t="inlineStr">
        <is>
          <t>0,00</t>
        </is>
      </c>
      <c r="H1406" s="28" t="n"/>
      <c r="I1406" s="27" t="n"/>
    </row>
    <row r="1407">
      <c r="A1407" s="23" t="inlineStr">
        <is>
          <t>DURA3</t>
        </is>
      </c>
      <c r="B1407" s="24" t="inlineStr">
        <is>
          <t>Ação</t>
        </is>
      </c>
      <c r="C1407" s="24" t="n"/>
      <c r="D1407" s="24" t="n"/>
      <c r="E1407" s="24" t="n"/>
      <c r="F1407" s="24" t="n"/>
      <c r="G1407" s="29" t="inlineStr">
        <is>
          <t>0,00</t>
        </is>
      </c>
      <c r="H1407" s="29" t="n"/>
      <c r="I1407" s="24" t="n"/>
    </row>
    <row r="1408">
      <c r="A1408" s="26" t="inlineStr">
        <is>
          <t>LIPR3</t>
        </is>
      </c>
      <c r="B1408" s="27" t="inlineStr">
        <is>
          <t>Ação</t>
        </is>
      </c>
      <c r="C1408" s="27" t="n"/>
      <c r="D1408" s="27" t="n"/>
      <c r="E1408" s="27" t="inlineStr">
        <is>
          <t>01.104.937/0001-70</t>
        </is>
      </c>
      <c r="F1408" s="27" t="n"/>
      <c r="G1408" s="28" t="inlineStr">
        <is>
          <t>1,99</t>
        </is>
      </c>
      <c r="H1408" s="28" t="n"/>
      <c r="I1408" s="27" t="n"/>
    </row>
    <row r="1409">
      <c r="A1409" s="23" t="inlineStr">
        <is>
          <t>DPPI3</t>
        </is>
      </c>
      <c r="B1409" s="24" t="inlineStr">
        <is>
          <t>Ação</t>
        </is>
      </c>
      <c r="C1409" s="24" t="n"/>
      <c r="D1409" s="24" t="n"/>
      <c r="E1409" s="24" t="n"/>
      <c r="F1409" s="24" t="n"/>
      <c r="G1409" s="29" t="inlineStr">
        <is>
          <t>0,00</t>
        </is>
      </c>
      <c r="H1409" s="29" t="n"/>
      <c r="I1409" s="24" t="n"/>
    </row>
    <row r="1410">
      <c r="A1410" s="26" t="inlineStr">
        <is>
          <t>TIMP3</t>
        </is>
      </c>
      <c r="B1410" s="27" t="inlineStr">
        <is>
          <t>Ação</t>
        </is>
      </c>
      <c r="C1410" s="27" t="n"/>
      <c r="D1410" s="27" t="n"/>
      <c r="E1410" s="27" t="n"/>
      <c r="F1410" s="27" t="n"/>
      <c r="G1410" s="28" t="inlineStr">
        <is>
          <t>0,00</t>
        </is>
      </c>
      <c r="H1410" s="28" t="n"/>
      <c r="I1410" s="27" t="n"/>
    </row>
    <row r="1411">
      <c r="A1411" s="23" t="inlineStr">
        <is>
          <t>BMTO4</t>
        </is>
      </c>
      <c r="B1411" s="24" t="inlineStr">
        <is>
          <t>Ação</t>
        </is>
      </c>
      <c r="C1411" s="24" t="n"/>
      <c r="D1411" s="24" t="n"/>
      <c r="E1411" s="24" t="n"/>
      <c r="F1411" s="24" t="n"/>
      <c r="G1411" s="29" t="inlineStr">
        <is>
          <t>0,00</t>
        </is>
      </c>
      <c r="H1411" s="29" t="n"/>
      <c r="I1411" s="24" t="n"/>
    </row>
    <row r="1412">
      <c r="A1412" s="26" t="inlineStr">
        <is>
          <t>BFIT4</t>
        </is>
      </c>
      <c r="B1412" s="27" t="inlineStr">
        <is>
          <t>Ação</t>
        </is>
      </c>
      <c r="C1412" s="27" t="n"/>
      <c r="D1412" s="27" t="n"/>
      <c r="E1412" s="27" t="n"/>
      <c r="F1412" s="27" t="n"/>
      <c r="G1412" s="28" t="inlineStr">
        <is>
          <t>0,00</t>
        </is>
      </c>
      <c r="H1412" s="28" t="n"/>
      <c r="I1412" s="27" t="n"/>
    </row>
    <row r="1413">
      <c r="A1413" s="23" t="inlineStr">
        <is>
          <t>BMTO3</t>
        </is>
      </c>
      <c r="B1413" s="24" t="inlineStr">
        <is>
          <t>Ação</t>
        </is>
      </c>
      <c r="C1413" s="24" t="n"/>
      <c r="D1413" s="24" t="n"/>
      <c r="E1413" s="24" t="n"/>
      <c r="F1413" s="24" t="n"/>
      <c r="G1413" s="29" t="inlineStr">
        <is>
          <t>0,00</t>
        </is>
      </c>
      <c r="H1413" s="29" t="n"/>
      <c r="I1413" s="24" t="n"/>
    </row>
    <row r="1414">
      <c r="A1414" s="26" t="inlineStr">
        <is>
          <t>UCOP4</t>
        </is>
      </c>
      <c r="B1414" s="27" t="inlineStr">
        <is>
          <t>Ação</t>
        </is>
      </c>
      <c r="C1414" s="27" t="n"/>
      <c r="D1414" s="27" t="n"/>
      <c r="E1414" s="27" t="n"/>
      <c r="F1414" s="27" t="n"/>
      <c r="G1414" s="28" t="inlineStr">
        <is>
          <t>0,00</t>
        </is>
      </c>
      <c r="H1414" s="28" t="n"/>
      <c r="I1414" s="27" t="n"/>
    </row>
    <row r="1415">
      <c r="A1415" s="23" t="inlineStr">
        <is>
          <t>BFIT3</t>
        </is>
      </c>
      <c r="B1415" s="24" t="inlineStr">
        <is>
          <t>Ação</t>
        </is>
      </c>
      <c r="C1415" s="24" t="n"/>
      <c r="D1415" s="24" t="n"/>
      <c r="E1415" s="24" t="n"/>
      <c r="F1415" s="24" t="n"/>
      <c r="G1415" s="29" t="inlineStr">
        <is>
          <t>0,00</t>
        </is>
      </c>
      <c r="H1415" s="29" t="n"/>
      <c r="I1415" s="24" t="n"/>
    </row>
    <row r="1416">
      <c r="A1416" s="26" t="inlineStr">
        <is>
          <t>TMCP3</t>
        </is>
      </c>
      <c r="B1416" s="27" t="inlineStr">
        <is>
          <t>Ação</t>
        </is>
      </c>
      <c r="C1416" s="27" t="n"/>
      <c r="D1416" s="27" t="n"/>
      <c r="E1416" s="27" t="n"/>
      <c r="F1416" s="27" t="n"/>
      <c r="G1416" s="28" t="inlineStr">
        <is>
          <t>0,00</t>
        </is>
      </c>
      <c r="H1416" s="28" t="n"/>
      <c r="I1416" s="27" t="n"/>
    </row>
    <row r="1417">
      <c r="A1417" s="23" t="inlineStr">
        <is>
          <t>SMLE3</t>
        </is>
      </c>
      <c r="B1417" s="24" t="inlineStr">
        <is>
          <t>Ação</t>
        </is>
      </c>
      <c r="C1417" s="24" t="n"/>
      <c r="D1417" s="24" t="n"/>
      <c r="E1417" s="24" t="n"/>
      <c r="F1417" s="24" t="n"/>
      <c r="G1417" s="29" t="inlineStr">
        <is>
          <t>0,00</t>
        </is>
      </c>
      <c r="H1417" s="29" t="n"/>
      <c r="I1417" s="24" t="n"/>
    </row>
    <row r="1418">
      <c r="A1418" s="26" t="inlineStr">
        <is>
          <t>TMCP4</t>
        </is>
      </c>
      <c r="B1418" s="27" t="inlineStr">
        <is>
          <t>Ação</t>
        </is>
      </c>
      <c r="C1418" s="27" t="n"/>
      <c r="D1418" s="27" t="n"/>
      <c r="E1418" s="27" t="n"/>
      <c r="F1418" s="27" t="n"/>
      <c r="G1418" s="28" t="inlineStr">
        <is>
          <t>0,00</t>
        </is>
      </c>
      <c r="H1418" s="28" t="n"/>
      <c r="I1418" s="27" t="n"/>
    </row>
    <row r="1419">
      <c r="A1419" s="23" t="inlineStr">
        <is>
          <t>MERC4</t>
        </is>
      </c>
      <c r="B1419" s="24" t="inlineStr">
        <is>
          <t>Ação</t>
        </is>
      </c>
      <c r="C1419" s="24" t="n"/>
      <c r="D1419" s="24" t="n">
        <v>16.25</v>
      </c>
      <c r="E1419" s="24" t="inlineStr">
        <is>
          <t>33.040.601/0001-87</t>
        </is>
      </c>
      <c r="F1419" s="24" t="n"/>
      <c r="G1419" s="29" t="inlineStr">
        <is>
          <t>3,26</t>
        </is>
      </c>
      <c r="H1419" s="29" t="n"/>
      <c r="I1419" s="24" t="n"/>
    </row>
    <row r="1420">
      <c r="A1420" s="26" t="inlineStr">
        <is>
          <t>MERC3</t>
        </is>
      </c>
      <c r="B1420" s="27" t="inlineStr">
        <is>
          <t>Ação</t>
        </is>
      </c>
      <c r="C1420" s="27" t="n"/>
      <c r="D1420" s="27" t="n">
        <v>15.28</v>
      </c>
      <c r="E1420" s="27" t="inlineStr">
        <is>
          <t>33.040.601/0001-87</t>
        </is>
      </c>
      <c r="F1420" s="27" t="n"/>
      <c r="G1420" s="28" t="inlineStr">
        <is>
          <t>1,19</t>
        </is>
      </c>
      <c r="H1420" s="28" t="n"/>
      <c r="I1420" s="27" t="n"/>
    </row>
    <row r="1421">
      <c r="A1421" s="23" t="inlineStr">
        <is>
          <t>AUTM3</t>
        </is>
      </c>
      <c r="B1421" s="24" t="inlineStr">
        <is>
          <t>Ação</t>
        </is>
      </c>
      <c r="C1421" s="24" t="n"/>
      <c r="D1421" s="24" t="n"/>
      <c r="E1421" s="24" t="n"/>
      <c r="F1421" s="24" t="n"/>
      <c r="G1421" s="29" t="inlineStr">
        <is>
          <t>0,00</t>
        </is>
      </c>
      <c r="H1421" s="29" t="n"/>
      <c r="I1421" s="24" t="n"/>
    </row>
    <row r="1422">
      <c r="A1422" s="26" t="inlineStr">
        <is>
          <t>AEDU11</t>
        </is>
      </c>
      <c r="B1422" s="27" t="inlineStr">
        <is>
          <t>Ação</t>
        </is>
      </c>
      <c r="C1422" s="27" t="n"/>
      <c r="D1422" s="27" t="n"/>
      <c r="E1422" s="27" t="n"/>
      <c r="F1422" s="27" t="n"/>
      <c r="G1422" s="28" t="inlineStr">
        <is>
          <t>0,00</t>
        </is>
      </c>
      <c r="H1422" s="28" t="n"/>
      <c r="I1422" s="27" t="n"/>
    </row>
    <row r="1423">
      <c r="A1423" s="23" t="inlineStr">
        <is>
          <t>JPSA3</t>
        </is>
      </c>
      <c r="B1423" s="24" t="inlineStr">
        <is>
          <t>Ação</t>
        </is>
      </c>
      <c r="C1423" s="24" t="n"/>
      <c r="D1423" s="24" t="n"/>
      <c r="E1423" s="24" t="n"/>
      <c r="F1423" s="24" t="n"/>
      <c r="G1423" s="29" t="inlineStr">
        <is>
          <t>0,00</t>
        </is>
      </c>
      <c r="H1423" s="29" t="n"/>
      <c r="I1423" s="24" t="n"/>
    </row>
    <row r="1424">
      <c r="A1424" s="26" t="inlineStr">
        <is>
          <t>LAME4</t>
        </is>
      </c>
      <c r="B1424" s="27" t="inlineStr">
        <is>
          <t>Ação</t>
        </is>
      </c>
      <c r="C1424" s="27" t="n"/>
      <c r="D1424" s="27" t="n"/>
      <c r="E1424" s="27" t="inlineStr">
        <is>
          <t>00.776.574/0001-56</t>
        </is>
      </c>
      <c r="F1424" s="27" t="n"/>
      <c r="G1424" s="28" t="inlineStr">
        <is>
          <t>0,00</t>
        </is>
      </c>
      <c r="H1424" s="28" t="n"/>
      <c r="I1424" s="27" t="n"/>
    </row>
    <row r="1425">
      <c r="A1425" s="23" t="inlineStr">
        <is>
          <t>LAME3</t>
        </is>
      </c>
      <c r="B1425" s="24" t="inlineStr">
        <is>
          <t>Ação</t>
        </is>
      </c>
      <c r="C1425" s="24" t="n"/>
      <c r="D1425" s="24" t="n"/>
      <c r="E1425" s="24" t="inlineStr">
        <is>
          <t>33.014.556/0001-96</t>
        </is>
      </c>
      <c r="F1425" s="24" t="n"/>
      <c r="G1425" s="29" t="inlineStr">
        <is>
          <t>0,00</t>
        </is>
      </c>
      <c r="H1425" s="29" t="n"/>
      <c r="I1425" s="24" t="n"/>
    </row>
    <row r="1426">
      <c r="A1426" s="26" t="inlineStr">
        <is>
          <t>PEAB4</t>
        </is>
      </c>
      <c r="B1426" s="27" t="inlineStr">
        <is>
          <t>Ação</t>
        </is>
      </c>
      <c r="C1426" s="27" t="n"/>
      <c r="D1426" s="27" t="n">
        <v>40</v>
      </c>
      <c r="E1426" s="27" t="inlineStr">
        <is>
          <t>01.938.783/0001-11</t>
        </is>
      </c>
      <c r="F1426" s="27" t="n"/>
      <c r="G1426" s="28" t="inlineStr">
        <is>
          <t>3,25</t>
        </is>
      </c>
      <c r="H1426" s="28" t="n"/>
      <c r="I1426" s="27" t="n"/>
    </row>
    <row r="1427">
      <c r="A1427" s="23" t="inlineStr">
        <is>
          <t>CRTP3</t>
        </is>
      </c>
      <c r="B1427" s="24" t="inlineStr">
        <is>
          <t>Ação</t>
        </is>
      </c>
      <c r="C1427" s="24" t="n"/>
      <c r="D1427" s="24" t="n"/>
      <c r="E1427" s="24" t="n"/>
      <c r="F1427" s="24" t="n"/>
      <c r="G1427" s="29" t="inlineStr">
        <is>
          <t>0,00</t>
        </is>
      </c>
      <c r="H1427" s="29" t="n"/>
      <c r="I1427" s="24" t="n"/>
    </row>
    <row r="1428">
      <c r="A1428" s="26" t="inlineStr">
        <is>
          <t>BSCT6</t>
        </is>
      </c>
      <c r="B1428" s="27" t="inlineStr">
        <is>
          <t>Ação</t>
        </is>
      </c>
      <c r="C1428" s="27" t="n"/>
      <c r="D1428" s="27" t="n"/>
      <c r="E1428" s="27" t="n"/>
      <c r="F1428" s="27" t="n"/>
      <c r="G1428" s="28" t="inlineStr">
        <is>
          <t>0,00</t>
        </is>
      </c>
      <c r="H1428" s="28" t="n"/>
      <c r="I1428" s="27" t="n"/>
    </row>
    <row r="1429">
      <c r="A1429" s="23" t="inlineStr">
        <is>
          <t>RSIP4</t>
        </is>
      </c>
      <c r="B1429" s="24" t="inlineStr">
        <is>
          <t>Ação</t>
        </is>
      </c>
      <c r="C1429" s="24" t="n"/>
      <c r="D1429" s="24" t="n"/>
      <c r="E1429" s="24" t="n"/>
      <c r="F1429" s="24" t="n"/>
      <c r="G1429" s="29" t="inlineStr">
        <is>
          <t>0,00</t>
        </is>
      </c>
      <c r="H1429" s="29" t="n"/>
      <c r="I1429" s="24" t="n"/>
    </row>
    <row r="1430">
      <c r="A1430" s="26" t="inlineStr">
        <is>
          <t>RSIP3</t>
        </is>
      </c>
      <c r="B1430" s="27" t="inlineStr">
        <is>
          <t>Ação</t>
        </is>
      </c>
      <c r="C1430" s="27" t="n"/>
      <c r="D1430" s="27" t="n"/>
      <c r="E1430" s="27" t="n"/>
      <c r="F1430" s="27" t="n"/>
      <c r="G1430" s="28" t="inlineStr">
        <is>
          <t>0,00</t>
        </is>
      </c>
      <c r="H1430" s="28" t="n"/>
      <c r="I1430" s="27" t="n"/>
    </row>
    <row r="1431">
      <c r="A1431" s="23" t="inlineStr">
        <is>
          <t>ODER4</t>
        </is>
      </c>
      <c r="B1431" s="24" t="inlineStr">
        <is>
          <t>Ação</t>
        </is>
      </c>
      <c r="C1431" s="24" t="n"/>
      <c r="D1431" s="24" t="n">
        <v>100</v>
      </c>
      <c r="E1431" s="24" t="inlineStr">
        <is>
          <t>97.191.902/0001-94</t>
        </is>
      </c>
      <c r="F1431" s="24" t="n"/>
      <c r="G1431" s="29" t="inlineStr">
        <is>
          <t>0,72</t>
        </is>
      </c>
      <c r="H1431" s="29" t="n"/>
      <c r="I1431" s="24" t="n"/>
    </row>
    <row r="1432">
      <c r="A1432" s="26" t="inlineStr">
        <is>
          <t>TVIT3</t>
        </is>
      </c>
      <c r="B1432" s="27" t="inlineStr">
        <is>
          <t>Ação</t>
        </is>
      </c>
      <c r="C1432" s="27" t="n"/>
      <c r="D1432" s="27" t="n"/>
      <c r="E1432" s="27" t="n"/>
      <c r="F1432" s="27" t="n"/>
      <c r="G1432" s="28" t="inlineStr">
        <is>
          <t>0,00</t>
        </is>
      </c>
      <c r="H1432" s="28" t="n"/>
      <c r="I1432" s="27" t="n"/>
    </row>
    <row r="1433">
      <c r="A1433" s="23" t="inlineStr">
        <is>
          <t>VIVT4</t>
        </is>
      </c>
      <c r="B1433" s="24" t="inlineStr">
        <is>
          <t>Ação</t>
        </is>
      </c>
      <c r="C1433" s="24" t="n"/>
      <c r="D1433" s="24" t="n"/>
      <c r="E1433" s="24" t="inlineStr">
        <is>
          <t>02.558.157/0001-62</t>
        </is>
      </c>
      <c r="F1433" s="24" t="n"/>
      <c r="G1433" s="29" t="inlineStr">
        <is>
          <t>0,00</t>
        </is>
      </c>
      <c r="H1433" s="29" t="n"/>
      <c r="I1433" s="24" t="n"/>
    </row>
    <row r="1434">
      <c r="A1434" s="26" t="inlineStr">
        <is>
          <t>TMGC3</t>
        </is>
      </c>
      <c r="B1434" s="27" t="inlineStr">
        <is>
          <t>Ação</t>
        </is>
      </c>
      <c r="C1434" s="27" t="n"/>
      <c r="D1434" s="27" t="n"/>
      <c r="E1434" s="27" t="n"/>
      <c r="F1434" s="27" t="n"/>
      <c r="G1434" s="28" t="inlineStr">
        <is>
          <t>0,00</t>
        </is>
      </c>
      <c r="H1434" s="28" t="n"/>
      <c r="I1434" s="27" t="n"/>
    </row>
    <row r="1435">
      <c r="A1435" s="23" t="inlineStr">
        <is>
          <t>POWE3</t>
        </is>
      </c>
      <c r="B1435" s="24" t="inlineStr">
        <is>
          <t>Ação</t>
        </is>
      </c>
      <c r="C1435" s="24" t="n"/>
      <c r="D1435" s="24" t="n"/>
      <c r="E1435" s="24" t="inlineStr">
        <is>
          <t>26.735.020/0001-02</t>
        </is>
      </c>
      <c r="F1435" s="24" t="n"/>
      <c r="G1435" s="29" t="inlineStr">
        <is>
          <t>0,00</t>
        </is>
      </c>
      <c r="H1435" s="29" t="n"/>
      <c r="I1435" s="24" t="n"/>
    </row>
    <row r="1436">
      <c r="A1436" s="26" t="inlineStr">
        <is>
          <t>TSEP4</t>
        </is>
      </c>
      <c r="B1436" s="27" t="inlineStr">
        <is>
          <t>Ação</t>
        </is>
      </c>
      <c r="C1436" s="27" t="n"/>
      <c r="D1436" s="27" t="n"/>
      <c r="E1436" s="27" t="n"/>
      <c r="F1436" s="27" t="n"/>
      <c r="G1436" s="28" t="inlineStr">
        <is>
          <t>0,00</t>
        </is>
      </c>
      <c r="H1436" s="28" t="n"/>
      <c r="I1436" s="27" t="n"/>
    </row>
    <row r="1437">
      <c r="A1437" s="23" t="inlineStr">
        <is>
          <t>ELEK3</t>
        </is>
      </c>
      <c r="B1437" s="24" t="inlineStr">
        <is>
          <t>Ação</t>
        </is>
      </c>
      <c r="C1437" s="24" t="n"/>
      <c r="D1437" s="24" t="n"/>
      <c r="E1437" s="24" t="inlineStr">
        <is>
          <t>13.788.120/0001-47</t>
        </is>
      </c>
      <c r="F1437" s="24" t="n"/>
      <c r="G1437" s="29" t="inlineStr">
        <is>
          <t>0,00</t>
        </is>
      </c>
      <c r="H1437" s="29" t="n"/>
      <c r="I1437" s="24" t="n"/>
    </row>
    <row r="1438">
      <c r="A1438" s="26" t="inlineStr">
        <is>
          <t>MAGS3</t>
        </is>
      </c>
      <c r="B1438" s="27" t="inlineStr">
        <is>
          <t>Ação</t>
        </is>
      </c>
      <c r="C1438" s="27" t="n"/>
      <c r="D1438" s="27" t="n"/>
      <c r="E1438" s="27" t="n"/>
      <c r="F1438" s="27" t="n"/>
      <c r="G1438" s="28" t="inlineStr">
        <is>
          <t>0,00</t>
        </is>
      </c>
      <c r="H1438" s="28" t="n"/>
      <c r="I1438" s="27" t="n"/>
    </row>
    <row r="1439">
      <c r="A1439" s="23" t="inlineStr">
        <is>
          <t>CEGR3</t>
        </is>
      </c>
      <c r="B1439" s="24" t="inlineStr">
        <is>
          <t>Ação</t>
        </is>
      </c>
      <c r="C1439" s="24" t="n"/>
      <c r="D1439" s="24" t="n">
        <v>55</v>
      </c>
      <c r="E1439" s="24" t="inlineStr">
        <is>
          <t>33.938.119/0001-69</t>
        </is>
      </c>
      <c r="F1439" s="24" t="n"/>
      <c r="G1439" s="29" t="inlineStr">
        <is>
          <t>0,00</t>
        </is>
      </c>
      <c r="H1439" s="29" t="n"/>
      <c r="I1439" s="24" t="n"/>
    </row>
    <row r="1440">
      <c r="A1440" s="26" t="inlineStr">
        <is>
          <t>PNVL4</t>
        </is>
      </c>
      <c r="B1440" s="27" t="inlineStr">
        <is>
          <t>Ação</t>
        </is>
      </c>
      <c r="C1440" s="27" t="n"/>
      <c r="D1440" s="27" t="n"/>
      <c r="E1440" s="27" t="inlineStr">
        <is>
          <t>92.665.611/0001-77</t>
        </is>
      </c>
      <c r="F1440" s="27" t="n"/>
      <c r="G1440" s="28" t="inlineStr">
        <is>
          <t>0,00</t>
        </is>
      </c>
      <c r="H1440" s="28" t="n"/>
      <c r="I1440" s="27" t="n"/>
    </row>
    <row r="1441">
      <c r="A1441" s="23" t="inlineStr">
        <is>
          <t>CRUZ3</t>
        </is>
      </c>
      <c r="B1441" s="24" t="inlineStr">
        <is>
          <t>Ação</t>
        </is>
      </c>
      <c r="C1441" s="24" t="n"/>
      <c r="D1441" s="24" t="n"/>
      <c r="E1441" s="24" t="n"/>
      <c r="F1441" s="24" t="n"/>
      <c r="G1441" s="29" t="inlineStr">
        <is>
          <t>0,00</t>
        </is>
      </c>
      <c r="H1441" s="29" t="n"/>
      <c r="I1441" s="24" t="n"/>
    </row>
    <row r="1442">
      <c r="A1442" s="26" t="inlineStr">
        <is>
          <t>CESP5</t>
        </is>
      </c>
      <c r="B1442" s="27" t="inlineStr">
        <is>
          <t>Ação</t>
        </is>
      </c>
      <c r="C1442" s="27" t="n"/>
      <c r="D1442" s="27" t="n"/>
      <c r="E1442" s="27" t="inlineStr">
        <is>
          <t>60.933.603/0001-78</t>
        </is>
      </c>
      <c r="F1442" s="27" t="n"/>
      <c r="G1442" s="28" t="inlineStr">
        <is>
          <t>0,00</t>
        </is>
      </c>
      <c r="H1442" s="28" t="n"/>
      <c r="I1442" s="27" t="n"/>
    </row>
    <row r="1443">
      <c r="A1443" s="23" t="inlineStr">
        <is>
          <t>TNLP4</t>
        </is>
      </c>
      <c r="B1443" s="24" t="inlineStr">
        <is>
          <t>Ação</t>
        </is>
      </c>
      <c r="C1443" s="24" t="n"/>
      <c r="D1443" s="24" t="n"/>
      <c r="E1443" s="24" t="n"/>
      <c r="F1443" s="24" t="n"/>
      <c r="G1443" s="29" t="inlineStr">
        <is>
          <t>0,00</t>
        </is>
      </c>
      <c r="H1443" s="29" t="n"/>
      <c r="I1443" s="24" t="n"/>
    </row>
    <row r="1444">
      <c r="A1444" s="26" t="inlineStr">
        <is>
          <t>HGTX4</t>
        </is>
      </c>
      <c r="B1444" s="27" t="inlineStr">
        <is>
          <t>Ação</t>
        </is>
      </c>
      <c r="C1444" s="27" t="n"/>
      <c r="D1444" s="27" t="n"/>
      <c r="E1444" s="27" t="n"/>
      <c r="F1444" s="27" t="n"/>
      <c r="G1444" s="28" t="inlineStr">
        <is>
          <t>0,00</t>
        </is>
      </c>
      <c r="H1444" s="28" t="n"/>
      <c r="I1444" s="27" t="n"/>
    </row>
    <row r="1445">
      <c r="A1445" s="23" t="inlineStr">
        <is>
          <t>CESP6</t>
        </is>
      </c>
      <c r="B1445" s="24" t="inlineStr">
        <is>
          <t>Ação</t>
        </is>
      </c>
      <c r="C1445" s="24" t="n"/>
      <c r="D1445" s="24" t="n"/>
      <c r="E1445" s="24" t="inlineStr">
        <is>
          <t>60.933.603/0001-78</t>
        </is>
      </c>
      <c r="F1445" s="24" t="n"/>
      <c r="G1445" s="29" t="inlineStr">
        <is>
          <t>0,00</t>
        </is>
      </c>
      <c r="H1445" s="29" t="n"/>
      <c r="I1445" s="24" t="n"/>
    </row>
    <row r="1446">
      <c r="A1446" s="26" t="inlineStr">
        <is>
          <t>AXIA3</t>
        </is>
      </c>
      <c r="B1446" s="27" t="inlineStr">
        <is>
          <t>Ação</t>
        </is>
      </c>
      <c r="C1446" s="27" t="n"/>
      <c r="D1446" s="27" t="n">
        <v>58.99</v>
      </c>
      <c r="E1446" s="27" t="inlineStr">
        <is>
          <t>00.001.180/0001-26</t>
        </is>
      </c>
      <c r="F1446" s="27" t="n"/>
      <c r="G1446" s="28" t="inlineStr">
        <is>
          <t>7,66</t>
        </is>
      </c>
      <c r="H1446" s="28" t="n"/>
      <c r="I1446" s="27" t="n"/>
    </row>
    <row r="1447">
      <c r="A1447" s="23" t="inlineStr">
        <is>
          <t>CESP3</t>
        </is>
      </c>
      <c r="B1447" s="24" t="inlineStr">
        <is>
          <t>Ação</t>
        </is>
      </c>
      <c r="C1447" s="24" t="n"/>
      <c r="D1447" s="24" t="n"/>
      <c r="E1447" s="24" t="inlineStr">
        <is>
          <t>60.933.603/0001-78</t>
        </is>
      </c>
      <c r="F1447" s="24" t="n"/>
      <c r="G1447" s="29" t="inlineStr">
        <is>
          <t>0,00</t>
        </is>
      </c>
      <c r="H1447" s="29" t="n"/>
      <c r="I1447" s="24" t="n"/>
    </row>
    <row r="1448">
      <c r="A1448" s="26" t="inlineStr">
        <is>
          <t>AMBV4</t>
        </is>
      </c>
      <c r="B1448" s="27" t="inlineStr">
        <is>
          <t>Ação</t>
        </is>
      </c>
      <c r="C1448" s="27" t="n"/>
      <c r="D1448" s="27" t="n"/>
      <c r="E1448" s="27" t="n"/>
      <c r="F1448" s="27" t="n"/>
      <c r="G1448" s="28" t="inlineStr">
        <is>
          <t>0,00</t>
        </is>
      </c>
      <c r="H1448" s="28" t="n"/>
      <c r="I1448" s="27" t="n"/>
    </row>
    <row r="1449">
      <c r="A1449" s="23" t="inlineStr">
        <is>
          <t>AMBV3</t>
        </is>
      </c>
      <c r="B1449" s="24" t="inlineStr">
        <is>
          <t>Ação</t>
        </is>
      </c>
      <c r="C1449" s="24" t="n"/>
      <c r="D1449" s="24" t="n"/>
      <c r="E1449" s="24" t="n"/>
      <c r="F1449" s="24" t="n"/>
      <c r="G1449" s="29" t="inlineStr">
        <is>
          <t>0,00</t>
        </is>
      </c>
      <c r="H1449" s="29" t="n"/>
      <c r="I1449" s="24" t="n"/>
    </row>
    <row r="1450">
      <c r="A1450" s="26" t="inlineStr">
        <is>
          <t>ARTR3</t>
        </is>
      </c>
      <c r="B1450" s="27" t="inlineStr">
        <is>
          <t>Ação</t>
        </is>
      </c>
      <c r="C1450" s="27" t="n"/>
      <c r="D1450" s="27" t="n"/>
      <c r="E1450" s="27" t="n"/>
      <c r="F1450" s="27" t="n"/>
      <c r="G1450" s="28" t="inlineStr">
        <is>
          <t>0,00</t>
        </is>
      </c>
      <c r="H1450" s="28" t="n"/>
      <c r="I1450" s="27" t="n"/>
    </row>
    <row r="1451">
      <c r="A1451" s="23" t="inlineStr">
        <is>
          <t>RPSA4</t>
        </is>
      </c>
      <c r="B1451" s="24" t="inlineStr">
        <is>
          <t>Ação</t>
        </is>
      </c>
      <c r="C1451" s="24" t="n"/>
      <c r="D1451" s="24" t="n"/>
      <c r="E1451" s="24" t="n"/>
      <c r="F1451" s="24" t="n"/>
      <c r="G1451" s="29" t="inlineStr">
        <is>
          <t>0,00</t>
        </is>
      </c>
      <c r="H1451" s="29" t="n"/>
      <c r="I1451" s="24" t="n"/>
    </row>
    <row r="1452">
      <c r="A1452" s="26" t="inlineStr">
        <is>
          <t>JOPA3</t>
        </is>
      </c>
      <c r="B1452" s="27" t="inlineStr">
        <is>
          <t>Ação</t>
        </is>
      </c>
      <c r="C1452" s="27" t="n"/>
      <c r="D1452" s="27" t="n">
        <v>22</v>
      </c>
      <c r="E1452" s="27" t="inlineStr">
        <is>
          <t>87.456.562/0001-22</t>
        </is>
      </c>
      <c r="F1452" s="27" t="n"/>
      <c r="G1452" s="28" t="inlineStr">
        <is>
          <t>2,88</t>
        </is>
      </c>
      <c r="H1452" s="28" t="n"/>
      <c r="I1452" s="27" t="n"/>
    </row>
    <row r="1453">
      <c r="A1453" s="23" t="inlineStr">
        <is>
          <t>SEBB11</t>
        </is>
      </c>
      <c r="B1453" s="24" t="inlineStr">
        <is>
          <t>Ação</t>
        </is>
      </c>
      <c r="C1453" s="24" t="n"/>
      <c r="D1453" s="24" t="n"/>
      <c r="E1453" s="24" t="n"/>
      <c r="F1453" s="24" t="n"/>
      <c r="G1453" s="29" t="inlineStr">
        <is>
          <t>0,00</t>
        </is>
      </c>
      <c r="H1453" s="29" t="n"/>
      <c r="I1453" s="24" t="n"/>
    </row>
    <row r="1454">
      <c r="A1454" s="26" t="inlineStr">
        <is>
          <t>AXIA6</t>
        </is>
      </c>
      <c r="B1454" s="27" t="inlineStr">
        <is>
          <t>Ação</t>
        </is>
      </c>
      <c r="C1454" s="27" t="n"/>
      <c r="D1454" s="27" t="n">
        <v>64.29000000000001</v>
      </c>
      <c r="E1454" s="27" t="inlineStr">
        <is>
          <t>00.001.180/0001-26</t>
        </is>
      </c>
      <c r="F1454" s="27" t="n"/>
      <c r="G1454" s="28" t="inlineStr">
        <is>
          <t>6,37</t>
        </is>
      </c>
      <c r="H1454" s="28" t="n"/>
      <c r="I1454" s="27" t="n"/>
    </row>
    <row r="1455">
      <c r="A1455" s="23" t="inlineStr">
        <is>
          <t>JOPA4</t>
        </is>
      </c>
      <c r="B1455" s="24" t="inlineStr">
        <is>
          <t>Ação</t>
        </is>
      </c>
      <c r="C1455" s="24" t="n"/>
      <c r="D1455" s="24" t="n">
        <v>24</v>
      </c>
      <c r="E1455" s="24" t="inlineStr">
        <is>
          <t>87.456.562/0001-22</t>
        </is>
      </c>
      <c r="F1455" s="24" t="n"/>
      <c r="G1455" s="29" t="inlineStr">
        <is>
          <t>2,90</t>
        </is>
      </c>
      <c r="H1455" s="29" t="n"/>
      <c r="I1455" s="24" t="n"/>
    </row>
    <row r="1456">
      <c r="A1456" s="26" t="inlineStr">
        <is>
          <t>BSCT5</t>
        </is>
      </c>
      <c r="B1456" s="27" t="inlineStr">
        <is>
          <t>Ação</t>
        </is>
      </c>
      <c r="C1456" s="27" t="n"/>
      <c r="D1456" s="27" t="n"/>
      <c r="E1456" s="27" t="n"/>
      <c r="F1456" s="27" t="n"/>
      <c r="G1456" s="28" t="inlineStr">
        <is>
          <t>0,00</t>
        </is>
      </c>
      <c r="H1456" s="28" t="n"/>
      <c r="I1456" s="27" t="n"/>
    </row>
    <row r="1457">
      <c r="A1457" s="23" t="inlineStr">
        <is>
          <t>CASN3</t>
        </is>
      </c>
      <c r="B1457" s="24" t="inlineStr">
        <is>
          <t>Ação</t>
        </is>
      </c>
      <c r="C1457" s="24" t="n"/>
      <c r="D1457" s="24" t="n">
        <v>8.807370000000001</v>
      </c>
      <c r="E1457" s="24" t="inlineStr">
        <is>
          <t>82.508.433/0001-17</t>
        </is>
      </c>
      <c r="F1457" s="24" t="n"/>
      <c r="G1457" s="29" t="inlineStr">
        <is>
          <t>0,54</t>
        </is>
      </c>
      <c r="H1457" s="29" t="n"/>
      <c r="I1457" s="24" t="n"/>
    </row>
    <row r="1458">
      <c r="A1458" s="26" t="inlineStr">
        <is>
          <t>MOSI3</t>
        </is>
      </c>
      <c r="B1458" s="27" t="inlineStr">
        <is>
          <t>Ação</t>
        </is>
      </c>
      <c r="C1458" s="27" t="n"/>
      <c r="D1458" s="27" t="n"/>
      <c r="E1458" s="27" t="inlineStr">
        <is>
          <t>09.083.175/0001-84</t>
        </is>
      </c>
      <c r="F1458" s="27" t="n"/>
      <c r="G1458" s="28" t="inlineStr">
        <is>
          <t>0,00</t>
        </is>
      </c>
      <c r="H1458" s="28" t="n"/>
      <c r="I1458" s="27" t="n"/>
    </row>
    <row r="1459">
      <c r="A1459" s="23" t="inlineStr">
        <is>
          <t>BRGE6</t>
        </is>
      </c>
      <c r="B1459" s="24" t="inlineStr">
        <is>
          <t>Ação</t>
        </is>
      </c>
      <c r="C1459" s="24" t="n"/>
      <c r="D1459" s="24" t="n">
        <v>12.92</v>
      </c>
      <c r="E1459" s="24" t="inlineStr">
        <is>
          <t>17.193.806/0001-46</t>
        </is>
      </c>
      <c r="F1459" s="24" t="n"/>
      <c r="G1459" s="29" t="inlineStr">
        <is>
          <t>0,00</t>
        </is>
      </c>
      <c r="H1459" s="29" t="n"/>
      <c r="I1459" s="24" t="n"/>
    </row>
    <row r="1460">
      <c r="A1460" s="26" t="inlineStr">
        <is>
          <t>CREM3</t>
        </is>
      </c>
      <c r="B1460" s="27" t="inlineStr">
        <is>
          <t>Ação</t>
        </is>
      </c>
      <c r="C1460" s="27" t="n"/>
      <c r="D1460" s="27" t="n"/>
      <c r="E1460" s="27" t="inlineStr">
        <is>
          <t>82.641.325/0001-18</t>
        </is>
      </c>
      <c r="F1460" s="27" t="n"/>
      <c r="G1460" s="28" t="inlineStr">
        <is>
          <t>0,00</t>
        </is>
      </c>
      <c r="H1460" s="28" t="n"/>
      <c r="I1460" s="27" t="n"/>
    </row>
    <row r="1461">
      <c r="A1461" s="23" t="inlineStr">
        <is>
          <t>BRGE7</t>
        </is>
      </c>
      <c r="B1461" s="24" t="inlineStr">
        <is>
          <t>Ação</t>
        </is>
      </c>
      <c r="C1461" s="24" t="n"/>
      <c r="D1461" s="24" t="n">
        <v>13.07</v>
      </c>
      <c r="E1461" s="24" t="inlineStr">
        <is>
          <t>17.193.806/0001-46</t>
        </is>
      </c>
      <c r="F1461" s="24" t="n"/>
      <c r="G1461" s="29" t="inlineStr">
        <is>
          <t>0,00</t>
        </is>
      </c>
      <c r="H1461" s="29" t="n"/>
      <c r="I1461" s="24" t="n"/>
    </row>
    <row r="1462">
      <c r="A1462" s="26" t="inlineStr">
        <is>
          <t>TSEP3</t>
        </is>
      </c>
      <c r="B1462" s="27" t="inlineStr">
        <is>
          <t>Ação</t>
        </is>
      </c>
      <c r="C1462" s="27" t="n"/>
      <c r="D1462" s="27" t="n"/>
      <c r="E1462" s="27" t="n"/>
      <c r="F1462" s="27" t="n"/>
      <c r="G1462" s="28" t="inlineStr">
        <is>
          <t>0,00</t>
        </is>
      </c>
      <c r="H1462" s="28" t="n"/>
      <c r="I1462" s="27" t="n"/>
    </row>
    <row r="1463">
      <c r="A1463" s="23" t="inlineStr">
        <is>
          <t>BRGE8</t>
        </is>
      </c>
      <c r="B1463" s="24" t="inlineStr">
        <is>
          <t>Ação</t>
        </is>
      </c>
      <c r="C1463" s="24" t="n"/>
      <c r="D1463" s="24" t="n">
        <v>13.17</v>
      </c>
      <c r="E1463" s="24" t="inlineStr">
        <is>
          <t>17.193.806/0001-46</t>
        </is>
      </c>
      <c r="F1463" s="24" t="n"/>
      <c r="G1463" s="29" t="inlineStr">
        <is>
          <t>0,00</t>
        </is>
      </c>
      <c r="H1463" s="29" t="n"/>
      <c r="I1463" s="24" t="n"/>
    </row>
    <row r="1464">
      <c r="A1464" s="26" t="inlineStr">
        <is>
          <t>BRGE11</t>
        </is>
      </c>
      <c r="B1464" s="27" t="inlineStr">
        <is>
          <t>Ação</t>
        </is>
      </c>
      <c r="C1464" s="27" t="n"/>
      <c r="D1464" s="27" t="n">
        <v>13.18</v>
      </c>
      <c r="E1464" s="27" t="inlineStr">
        <is>
          <t>17.193.806/0001-46</t>
        </is>
      </c>
      <c r="F1464" s="27" t="n"/>
      <c r="G1464" s="28" t="inlineStr">
        <is>
          <t>0,00</t>
        </is>
      </c>
      <c r="H1464" s="28" t="n"/>
      <c r="I1464" s="27" t="n"/>
    </row>
    <row r="1465">
      <c r="A1465" s="23" t="inlineStr">
        <is>
          <t>BRGE5</t>
        </is>
      </c>
      <c r="B1465" s="24" t="inlineStr">
        <is>
          <t>Ação</t>
        </is>
      </c>
      <c r="C1465" s="24" t="n"/>
      <c r="D1465" s="24" t="n">
        <v>13.18</v>
      </c>
      <c r="E1465" s="24" t="inlineStr">
        <is>
          <t>17.193.806/0001-46</t>
        </is>
      </c>
      <c r="F1465" s="24" t="n"/>
      <c r="G1465" s="29" t="inlineStr">
        <is>
          <t>0,00</t>
        </is>
      </c>
      <c r="H1465" s="29" t="n"/>
      <c r="I1465" s="24" t="n"/>
    </row>
    <row r="1466">
      <c r="A1466" s="26" t="inlineStr">
        <is>
          <t>ELEK4</t>
        </is>
      </c>
      <c r="B1466" s="27" t="inlineStr">
        <is>
          <t>Ação</t>
        </is>
      </c>
      <c r="C1466" s="27" t="n"/>
      <c r="D1466" s="27" t="n"/>
      <c r="E1466" s="27" t="inlineStr">
        <is>
          <t>13.788.120/0001-47</t>
        </is>
      </c>
      <c r="F1466" s="27" t="n"/>
      <c r="G1466" s="28" t="inlineStr">
        <is>
          <t>0,00</t>
        </is>
      </c>
      <c r="H1466" s="28" t="n"/>
      <c r="I1466" s="27" t="n"/>
    </row>
    <row r="1467">
      <c r="A1467" s="23" t="inlineStr">
        <is>
          <t>BRGE12</t>
        </is>
      </c>
      <c r="B1467" s="24" t="inlineStr">
        <is>
          <t>Ação</t>
        </is>
      </c>
      <c r="C1467" s="24" t="n"/>
      <c r="D1467" s="24" t="n">
        <v>13.47</v>
      </c>
      <c r="E1467" s="24" t="inlineStr">
        <is>
          <t>17.193.806/0001-46</t>
        </is>
      </c>
      <c r="F1467" s="24" t="n"/>
      <c r="G1467" s="29" t="inlineStr">
        <is>
          <t>0,00</t>
        </is>
      </c>
      <c r="H1467" s="29" t="n"/>
      <c r="I1467" s="24" t="n"/>
    </row>
    <row r="1468">
      <c r="A1468" s="26" t="inlineStr">
        <is>
          <t>BRGE3</t>
        </is>
      </c>
      <c r="B1468" s="27" t="inlineStr">
        <is>
          <t>Ação</t>
        </is>
      </c>
      <c r="C1468" s="27" t="n"/>
      <c r="D1468" s="27" t="n">
        <v>13.5</v>
      </c>
      <c r="E1468" s="27" t="inlineStr">
        <is>
          <t>17.193.806/0001-46</t>
        </is>
      </c>
      <c r="F1468" s="27" t="n"/>
      <c r="G1468" s="28" t="inlineStr">
        <is>
          <t>0,00</t>
        </is>
      </c>
      <c r="H1468" s="28" t="n"/>
      <c r="I1468" s="27" t="n"/>
    </row>
    <row r="1469">
      <c r="A1469" s="23" t="inlineStr">
        <is>
          <t>ELET5</t>
        </is>
      </c>
      <c r="B1469" s="24" t="inlineStr">
        <is>
          <t>Ação</t>
        </is>
      </c>
      <c r="C1469" s="24" t="n"/>
      <c r="D1469" s="24" t="n"/>
      <c r="E1469" s="24" t="n"/>
      <c r="F1469" s="24" t="n"/>
      <c r="G1469" s="29" t="inlineStr">
        <is>
          <t>0,00</t>
        </is>
      </c>
      <c r="H1469" s="29" t="n"/>
      <c r="I1469" s="24" t="n"/>
    </row>
    <row r="1470">
      <c r="A1470" s="26" t="inlineStr">
        <is>
          <t>CTIP3</t>
        </is>
      </c>
      <c r="B1470" s="27" t="inlineStr">
        <is>
          <t>Ação</t>
        </is>
      </c>
      <c r="C1470" s="27" t="n"/>
      <c r="D1470" s="27" t="n"/>
      <c r="E1470" s="27" t="n"/>
      <c r="F1470" s="27" t="n"/>
      <c r="G1470" s="28" t="inlineStr">
        <is>
          <t>0,00</t>
        </is>
      </c>
      <c r="H1470" s="28" t="n"/>
      <c r="I1470" s="27" t="n"/>
    </row>
    <row r="1471">
      <c r="A1471" s="23" t="inlineStr">
        <is>
          <t>TNLP3</t>
        </is>
      </c>
      <c r="B1471" s="24" t="inlineStr">
        <is>
          <t>Ação</t>
        </is>
      </c>
      <c r="C1471" s="24" t="n"/>
      <c r="D1471" s="24" t="n"/>
      <c r="E1471" s="24" t="n"/>
      <c r="F1471" s="24" t="n"/>
      <c r="G1471" s="29" t="inlineStr">
        <is>
          <t>0,00</t>
        </is>
      </c>
      <c r="H1471" s="29" t="n"/>
      <c r="I1471" s="24" t="n"/>
    </row>
    <row r="1472">
      <c r="A1472" s="26" t="inlineStr">
        <is>
          <t>PRGA4</t>
        </is>
      </c>
      <c r="B1472" s="27" t="inlineStr">
        <is>
          <t>Ação</t>
        </is>
      </c>
      <c r="C1472" s="27" t="n"/>
      <c r="D1472" s="27" t="n"/>
      <c r="E1472" s="27" t="n"/>
      <c r="F1472" s="27" t="n"/>
      <c r="G1472" s="28" t="inlineStr">
        <is>
          <t>0,00</t>
        </is>
      </c>
      <c r="H1472" s="28" t="n"/>
      <c r="I1472" s="27" t="n"/>
    </row>
    <row r="1473">
      <c r="A1473" s="23" t="inlineStr">
        <is>
          <t>EMBJ3</t>
        </is>
      </c>
      <c r="B1473" s="24" t="inlineStr">
        <is>
          <t>Ação</t>
        </is>
      </c>
      <c r="C1473" s="24" t="n"/>
      <c r="D1473" s="24" t="n">
        <v>80.14</v>
      </c>
      <c r="E1473" s="24" t="inlineStr">
        <is>
          <t>07.689.002/0001-89</t>
        </is>
      </c>
      <c r="F1473" s="24" t="n"/>
      <c r="G1473" s="29" t="inlineStr">
        <is>
          <t>0,36</t>
        </is>
      </c>
      <c r="H1473" s="29" t="n"/>
      <c r="I1473" s="24" t="n"/>
    </row>
    <row r="1474">
      <c r="A1474" s="26" t="inlineStr">
        <is>
          <t>VIGR3</t>
        </is>
      </c>
      <c r="B1474" s="27" t="inlineStr">
        <is>
          <t>Ação</t>
        </is>
      </c>
      <c r="C1474" s="27" t="n"/>
      <c r="D1474" s="27" t="n"/>
      <c r="E1474" s="27" t="n"/>
      <c r="F1474" s="27" t="n"/>
      <c r="G1474" s="28" t="inlineStr">
        <is>
          <t>0,00</t>
        </is>
      </c>
      <c r="H1474" s="28" t="n"/>
      <c r="I1474" s="27" t="n"/>
    </row>
    <row r="1475">
      <c r="A1475" s="23" t="inlineStr">
        <is>
          <t>ELCA4</t>
        </is>
      </c>
      <c r="B1475" s="24" t="inlineStr">
        <is>
          <t>Ação</t>
        </is>
      </c>
      <c r="C1475" s="24" t="n"/>
      <c r="D1475" s="24" t="n"/>
      <c r="E1475" s="24" t="n"/>
      <c r="F1475" s="24" t="n"/>
      <c r="G1475" s="29" t="inlineStr">
        <is>
          <t>0,00</t>
        </is>
      </c>
      <c r="H1475" s="29" t="n"/>
      <c r="I1475" s="24" t="n"/>
    </row>
    <row r="1476">
      <c r="A1476" s="26" t="inlineStr">
        <is>
          <t>PARD3</t>
        </is>
      </c>
      <c r="B1476" s="27" t="inlineStr">
        <is>
          <t>Ação</t>
        </is>
      </c>
      <c r="C1476" s="27" t="n"/>
      <c r="D1476" s="27" t="n"/>
      <c r="E1476" s="27" t="inlineStr">
        <is>
          <t>19.378.769/0001-76</t>
        </is>
      </c>
      <c r="F1476" s="27" t="n"/>
      <c r="G1476" s="28" t="inlineStr">
        <is>
          <t>0,00</t>
        </is>
      </c>
      <c r="H1476" s="28" t="n"/>
      <c r="I1476" s="27" t="n"/>
    </row>
    <row r="1477">
      <c r="A1477" s="23" t="inlineStr">
        <is>
          <t>CRIV4</t>
        </is>
      </c>
      <c r="B1477" s="24" t="inlineStr">
        <is>
          <t>Ação</t>
        </is>
      </c>
      <c r="C1477" s="24" t="n"/>
      <c r="D1477" s="24" t="n">
        <v>6.74</v>
      </c>
      <c r="E1477" s="24" t="inlineStr">
        <is>
          <t>17.167.412/0001-13</t>
        </is>
      </c>
      <c r="F1477" s="24" t="n"/>
      <c r="G1477" s="29" t="inlineStr">
        <is>
          <t>0,00</t>
        </is>
      </c>
      <c r="H1477" s="29" t="n"/>
      <c r="I1477" s="24" t="n"/>
    </row>
    <row r="1478">
      <c r="A1478" s="26" t="inlineStr">
        <is>
          <t>ALSC3</t>
        </is>
      </c>
      <c r="B1478" s="27" t="inlineStr">
        <is>
          <t>Ação</t>
        </is>
      </c>
      <c r="C1478" s="27" t="n"/>
      <c r="D1478" s="27" t="n"/>
      <c r="E1478" s="27" t="n"/>
      <c r="F1478" s="27" t="n"/>
      <c r="G1478" s="28" t="inlineStr">
        <is>
          <t>0,00</t>
        </is>
      </c>
      <c r="H1478" s="28" t="n"/>
      <c r="I1478" s="27" t="n"/>
    </row>
    <row r="1479">
      <c r="A1479" s="23" t="inlineStr">
        <is>
          <t>CRIV3</t>
        </is>
      </c>
      <c r="B1479" s="24" t="inlineStr">
        <is>
          <t>Ação</t>
        </is>
      </c>
      <c r="C1479" s="24" t="n"/>
      <c r="D1479" s="24" t="n">
        <v>6.98</v>
      </c>
      <c r="E1479" s="24" t="inlineStr">
        <is>
          <t>17.167.412/0001-13</t>
        </is>
      </c>
      <c r="F1479" s="24" t="n"/>
      <c r="G1479" s="29" t="inlineStr">
        <is>
          <t>0,00</t>
        </is>
      </c>
      <c r="H1479" s="29" t="n"/>
      <c r="I1479" s="24" t="n"/>
    </row>
    <row r="1480">
      <c r="A1480" s="26" t="inlineStr">
        <is>
          <t>ELMD3</t>
        </is>
      </c>
      <c r="B1480" s="27" t="inlineStr">
        <is>
          <t>Ação</t>
        </is>
      </c>
      <c r="C1480" s="27" t="n"/>
      <c r="D1480" s="27" t="n"/>
      <c r="E1480" s="27" t="inlineStr">
        <is>
          <t>09.347.516/0001-81</t>
        </is>
      </c>
      <c r="F1480" s="27" t="n"/>
      <c r="G1480" s="28" t="inlineStr">
        <is>
          <t>0,64</t>
        </is>
      </c>
      <c r="H1480" s="28" t="n"/>
      <c r="I1480" s="27" t="n"/>
    </row>
    <row r="1481">
      <c r="A1481" s="23" t="inlineStr">
        <is>
          <t>RHDS3</t>
        </is>
      </c>
      <c r="B1481" s="24" t="inlineStr">
        <is>
          <t>Ação</t>
        </is>
      </c>
      <c r="C1481" s="24" t="n"/>
      <c r="D1481" s="24" t="n"/>
      <c r="E1481" s="24" t="n"/>
      <c r="F1481" s="24" t="n"/>
      <c r="G1481" s="29" t="inlineStr">
        <is>
          <t>0,00</t>
        </is>
      </c>
      <c r="H1481" s="29" t="n"/>
      <c r="I1481" s="24" t="n"/>
    </row>
    <row r="1482">
      <c r="A1482" s="26" t="inlineStr">
        <is>
          <t>RAIA3</t>
        </is>
      </c>
      <c r="B1482" s="27" t="inlineStr">
        <is>
          <t>Ação</t>
        </is>
      </c>
      <c r="C1482" s="27" t="n"/>
      <c r="D1482" s="27" t="n"/>
      <c r="E1482" s="27" t="n"/>
      <c r="F1482" s="27" t="n"/>
      <c r="G1482" s="28" t="inlineStr">
        <is>
          <t>0,00</t>
        </is>
      </c>
      <c r="H1482" s="28" t="n"/>
      <c r="I1482" s="27" t="n"/>
    </row>
    <row r="1483">
      <c r="A1483" s="23" t="inlineStr">
        <is>
          <t>LCAM3</t>
        </is>
      </c>
      <c r="B1483" s="24" t="inlineStr">
        <is>
          <t>Ação</t>
        </is>
      </c>
      <c r="C1483" s="24" t="n"/>
      <c r="D1483" s="24" t="n"/>
      <c r="E1483" s="24" t="inlineStr">
        <is>
          <t>10.215.988/0001-60</t>
        </is>
      </c>
      <c r="F1483" s="24" t="n"/>
      <c r="G1483" s="29" t="inlineStr">
        <is>
          <t>0,00</t>
        </is>
      </c>
      <c r="H1483" s="29" t="n"/>
      <c r="I1483" s="24" t="n"/>
    </row>
    <row r="1484">
      <c r="A1484" s="26" t="inlineStr">
        <is>
          <t>IMCH3</t>
        </is>
      </c>
      <c r="B1484" s="27" t="inlineStr">
        <is>
          <t>Ação</t>
        </is>
      </c>
      <c r="C1484" s="27" t="n"/>
      <c r="D1484" s="27" t="n"/>
      <c r="E1484" s="27" t="n"/>
      <c r="F1484" s="27" t="n"/>
      <c r="G1484" s="28" t="inlineStr">
        <is>
          <t>0,00</t>
        </is>
      </c>
      <c r="H1484" s="28" t="n"/>
      <c r="I1484" s="27" t="n"/>
    </row>
    <row r="1485">
      <c r="A1485" s="23" t="inlineStr">
        <is>
          <t>PTQS4</t>
        </is>
      </c>
      <c r="B1485" s="24" t="inlineStr">
        <is>
          <t>Ação</t>
        </is>
      </c>
      <c r="C1485" s="24" t="n"/>
      <c r="D1485" s="24" t="n"/>
      <c r="E1485" s="24" t="n"/>
      <c r="F1485" s="24" t="n"/>
      <c r="G1485" s="29" t="inlineStr">
        <is>
          <t>0,00</t>
        </is>
      </c>
      <c r="H1485" s="29" t="n"/>
      <c r="I1485" s="24" t="n"/>
    </row>
    <row r="1486">
      <c r="A1486" s="26" t="inlineStr">
        <is>
          <t>UOLL4</t>
        </is>
      </c>
      <c r="B1486" s="27" t="inlineStr">
        <is>
          <t>Ação</t>
        </is>
      </c>
      <c r="C1486" s="27" t="n"/>
      <c r="D1486" s="27" t="n"/>
      <c r="E1486" s="27" t="n"/>
      <c r="F1486" s="27" t="n"/>
      <c r="G1486" s="28" t="inlineStr">
        <is>
          <t>0,00</t>
        </is>
      </c>
      <c r="H1486" s="28" t="n"/>
      <c r="I1486" s="27" t="n"/>
    </row>
    <row r="1487">
      <c r="A1487" s="23" t="inlineStr">
        <is>
          <t>HETA3</t>
        </is>
      </c>
      <c r="B1487" s="24" t="inlineStr">
        <is>
          <t>Ação</t>
        </is>
      </c>
      <c r="C1487" s="24" t="n"/>
      <c r="D1487" s="24" t="n">
        <v>96</v>
      </c>
      <c r="E1487" s="24" t="inlineStr">
        <is>
          <t>92.749.225/0001-63</t>
        </is>
      </c>
      <c r="F1487" s="24" t="n"/>
      <c r="G1487" s="29" t="inlineStr">
        <is>
          <t>0,00</t>
        </is>
      </c>
      <c r="H1487" s="29" t="n"/>
      <c r="I1487" s="24" t="n"/>
    </row>
    <row r="1488">
      <c r="A1488" s="26" t="inlineStr">
        <is>
          <t>ELCA3</t>
        </is>
      </c>
      <c r="B1488" s="27" t="inlineStr">
        <is>
          <t>Ação</t>
        </is>
      </c>
      <c r="C1488" s="27" t="n"/>
      <c r="D1488" s="27" t="n"/>
      <c r="E1488" s="27" t="n"/>
      <c r="F1488" s="27" t="n"/>
      <c r="G1488" s="28" t="inlineStr">
        <is>
          <t>0,00</t>
        </is>
      </c>
      <c r="H1488" s="28" t="n"/>
      <c r="I1488" s="27" t="n"/>
    </row>
    <row r="1489">
      <c r="A1489" s="23" t="inlineStr">
        <is>
          <t>MYPK4</t>
        </is>
      </c>
      <c r="B1489" s="24" t="inlineStr">
        <is>
          <t>Ação</t>
        </is>
      </c>
      <c r="C1489" s="24" t="n"/>
      <c r="D1489" s="24" t="n"/>
      <c r="E1489" s="24" t="n"/>
      <c r="F1489" s="24" t="n"/>
      <c r="G1489" s="29" t="inlineStr">
        <is>
          <t>0,00</t>
        </is>
      </c>
      <c r="H1489" s="29" t="n"/>
      <c r="I1489" s="24" t="n"/>
    </row>
    <row r="1490">
      <c r="A1490" s="26" t="inlineStr">
        <is>
          <t>PLTO6</t>
        </is>
      </c>
      <c r="B1490" s="27" t="inlineStr">
        <is>
          <t>Ação</t>
        </is>
      </c>
      <c r="C1490" s="27" t="n"/>
      <c r="D1490" s="27" t="n"/>
      <c r="E1490" s="27" t="n"/>
      <c r="F1490" s="27" t="n"/>
      <c r="G1490" s="28" t="inlineStr">
        <is>
          <t>0,00</t>
        </is>
      </c>
      <c r="H1490" s="28" t="n"/>
      <c r="I1490" s="27" t="n"/>
    </row>
    <row r="1491">
      <c r="A1491" s="23" t="inlineStr">
        <is>
          <t>GUAR4</t>
        </is>
      </c>
      <c r="B1491" s="24" t="inlineStr">
        <is>
          <t>Ação</t>
        </is>
      </c>
      <c r="C1491" s="24" t="n"/>
      <c r="D1491" s="24" t="n"/>
      <c r="E1491" s="24" t="n"/>
      <c r="F1491" s="24" t="n"/>
      <c r="G1491" s="29" t="inlineStr">
        <is>
          <t>0,00</t>
        </is>
      </c>
      <c r="H1491" s="29" t="n"/>
      <c r="I1491" s="24" t="n"/>
    </row>
    <row r="1492">
      <c r="A1492" s="26" t="inlineStr">
        <is>
          <t>SULA11</t>
        </is>
      </c>
      <c r="B1492" s="27" t="inlineStr">
        <is>
          <t>Ação</t>
        </is>
      </c>
      <c r="C1492" s="27" t="n"/>
      <c r="D1492" s="27" t="n"/>
      <c r="E1492" s="27" t="inlineStr">
        <is>
          <t>29.978.814/0001-87</t>
        </is>
      </c>
      <c r="F1492" s="27" t="n"/>
      <c r="G1492" s="28" t="inlineStr">
        <is>
          <t>0,00</t>
        </is>
      </c>
      <c r="H1492" s="28" t="n"/>
      <c r="I1492" s="27" t="n"/>
    </row>
    <row r="1493">
      <c r="A1493" s="23" t="inlineStr">
        <is>
          <t>SULA3</t>
        </is>
      </c>
      <c r="B1493" s="24" t="inlineStr">
        <is>
          <t>Ação</t>
        </is>
      </c>
      <c r="C1493" s="24" t="n"/>
      <c r="D1493" s="24" t="n"/>
      <c r="E1493" s="24" t="inlineStr">
        <is>
          <t>29.978.814/0001-87</t>
        </is>
      </c>
      <c r="F1493" s="24" t="n"/>
      <c r="G1493" s="29" t="inlineStr">
        <is>
          <t>0,00</t>
        </is>
      </c>
      <c r="H1493" s="29" t="n"/>
      <c r="I1493" s="24" t="n"/>
    </row>
    <row r="1494">
      <c r="A1494" s="26" t="inlineStr">
        <is>
          <t>PLTO5</t>
        </is>
      </c>
      <c r="B1494" s="27" t="inlineStr">
        <is>
          <t>Ação</t>
        </is>
      </c>
      <c r="C1494" s="27" t="n"/>
      <c r="D1494" s="27" t="n"/>
      <c r="E1494" s="27" t="n"/>
      <c r="F1494" s="27" t="n"/>
      <c r="G1494" s="28" t="inlineStr">
        <is>
          <t>0,00</t>
        </is>
      </c>
      <c r="H1494" s="28" t="n"/>
      <c r="I1494" s="27" t="n"/>
    </row>
    <row r="1495">
      <c r="A1495" s="23" t="inlineStr">
        <is>
          <t>FFTL3</t>
        </is>
      </c>
      <c r="B1495" s="24" t="inlineStr">
        <is>
          <t>Ação</t>
        </is>
      </c>
      <c r="C1495" s="24" t="n"/>
      <c r="D1495" s="24" t="n"/>
      <c r="E1495" s="24" t="n"/>
      <c r="F1495" s="24" t="n"/>
      <c r="G1495" s="29" t="inlineStr">
        <is>
          <t>0,00</t>
        </is>
      </c>
      <c r="H1495" s="29" t="n"/>
      <c r="I1495" s="24" t="n"/>
    </row>
    <row r="1496">
      <c r="A1496" s="26" t="inlineStr">
        <is>
          <t>FFTL4</t>
        </is>
      </c>
      <c r="B1496" s="27" t="inlineStr">
        <is>
          <t>Ação</t>
        </is>
      </c>
      <c r="C1496" s="27" t="n"/>
      <c r="D1496" s="27" t="n"/>
      <c r="E1496" s="27" t="n"/>
      <c r="F1496" s="27" t="n"/>
      <c r="G1496" s="28" t="inlineStr">
        <is>
          <t>0,00</t>
        </is>
      </c>
      <c r="H1496" s="28" t="n"/>
      <c r="I1496" s="27" t="n"/>
    </row>
    <row r="1497">
      <c r="A1497" s="23" t="inlineStr">
        <is>
          <t>SULA4</t>
        </is>
      </c>
      <c r="B1497" s="24" t="inlineStr">
        <is>
          <t>Ação</t>
        </is>
      </c>
      <c r="C1497" s="24" t="n"/>
      <c r="D1497" s="24" t="n"/>
      <c r="E1497" s="24" t="inlineStr">
        <is>
          <t>29.978.814/0001-87</t>
        </is>
      </c>
      <c r="F1497" s="24" t="n"/>
      <c r="G1497" s="29" t="inlineStr">
        <is>
          <t>0,00</t>
        </is>
      </c>
      <c r="H1497" s="29" t="n"/>
      <c r="I1497" s="24" t="n"/>
    </row>
    <row r="1498">
      <c r="A1498" s="26" t="inlineStr">
        <is>
          <t>BSEV3</t>
        </is>
      </c>
      <c r="B1498" s="27" t="inlineStr">
        <is>
          <t>Ação</t>
        </is>
      </c>
      <c r="C1498" s="27" t="n"/>
      <c r="D1498" s="27" t="n"/>
      <c r="E1498" s="27" t="inlineStr">
        <is>
          <t>15.527.906/0001-36</t>
        </is>
      </c>
      <c r="F1498" s="27" t="n"/>
      <c r="G1498" s="28" t="inlineStr">
        <is>
          <t>0,00</t>
        </is>
      </c>
      <c r="H1498" s="28" t="n"/>
      <c r="I1498" s="27" t="n"/>
    </row>
    <row r="1499">
      <c r="A1499" s="23" t="inlineStr">
        <is>
          <t>GVTT3</t>
        </is>
      </c>
      <c r="B1499" s="24" t="inlineStr">
        <is>
          <t>Ação</t>
        </is>
      </c>
      <c r="C1499" s="24" t="n"/>
      <c r="D1499" s="24" t="n"/>
      <c r="E1499" s="24" t="n"/>
      <c r="F1499" s="24" t="n"/>
      <c r="G1499" s="29" t="inlineStr">
        <is>
          <t>0,00</t>
        </is>
      </c>
      <c r="H1499" s="29" t="n"/>
      <c r="I1499" s="24" t="n"/>
    </row>
    <row r="1500">
      <c r="A1500" s="26" t="inlineStr">
        <is>
          <t>CSAB3</t>
        </is>
      </c>
      <c r="B1500" s="27" t="inlineStr">
        <is>
          <t>Ação</t>
        </is>
      </c>
      <c r="C1500" s="27" t="n"/>
      <c r="D1500" s="27" t="n"/>
      <c r="E1500" s="27" t="inlineStr">
        <is>
          <t>15.144.017/0001-90</t>
        </is>
      </c>
      <c r="F1500" s="27" t="n"/>
      <c r="G1500" s="28" t="inlineStr">
        <is>
          <t>0,00</t>
        </is>
      </c>
      <c r="H1500" s="28" t="n"/>
      <c r="I1500" s="27" t="n"/>
    </row>
    <row r="1501">
      <c r="A1501" s="23" t="inlineStr">
        <is>
          <t>AEDU3</t>
        </is>
      </c>
      <c r="B1501" s="24" t="inlineStr">
        <is>
          <t>Ação</t>
        </is>
      </c>
      <c r="C1501" s="24" t="n"/>
      <c r="D1501" s="24" t="n"/>
      <c r="E1501" s="24" t="n"/>
      <c r="F1501" s="24" t="n"/>
      <c r="G1501" s="29" t="inlineStr">
        <is>
          <t>0,00</t>
        </is>
      </c>
      <c r="H1501" s="29" t="n"/>
      <c r="I1501" s="24" t="n"/>
    </row>
    <row r="1502">
      <c r="A1502" s="26" t="inlineStr">
        <is>
          <t>SUBA3</t>
        </is>
      </c>
      <c r="B1502" s="27" t="inlineStr">
        <is>
          <t>Ação</t>
        </is>
      </c>
      <c r="C1502" s="27" t="n"/>
      <c r="D1502" s="27" t="n"/>
      <c r="E1502" s="27" t="n"/>
      <c r="F1502" s="27" t="n"/>
      <c r="G1502" s="28" t="inlineStr">
        <is>
          <t>0,00</t>
        </is>
      </c>
      <c r="H1502" s="28" t="n"/>
      <c r="I1502" s="27" t="n"/>
    </row>
    <row r="1503">
      <c r="A1503" s="23" t="inlineStr">
        <is>
          <t>BRIV4</t>
        </is>
      </c>
      <c r="B1503" s="24" t="inlineStr">
        <is>
          <t>Ação</t>
        </is>
      </c>
      <c r="C1503" s="24" t="n"/>
      <c r="D1503" s="24" t="n">
        <v>12.54</v>
      </c>
      <c r="E1503" s="24" t="inlineStr">
        <is>
          <t>60.770.336/0001-65</t>
        </is>
      </c>
      <c r="F1503" s="24" t="n"/>
      <c r="G1503" s="29" t="inlineStr">
        <is>
          <t>0,00</t>
        </is>
      </c>
      <c r="H1503" s="29" t="n"/>
      <c r="I1503" s="24" t="n"/>
    </row>
    <row r="1504">
      <c r="A1504" s="26" t="inlineStr">
        <is>
          <t>DAGB33</t>
        </is>
      </c>
      <c r="B1504" s="27" t="inlineStr">
        <is>
          <t>Ação</t>
        </is>
      </c>
      <c r="C1504" s="27" t="n"/>
      <c r="D1504" s="27" t="n"/>
      <c r="E1504" s="27" t="n"/>
      <c r="F1504" s="27" t="n"/>
      <c r="G1504" s="28" t="inlineStr">
        <is>
          <t>0,00</t>
        </is>
      </c>
      <c r="H1504" s="28" t="n"/>
      <c r="I1504" s="27" t="n"/>
    </row>
    <row r="1505">
      <c r="A1505" s="23" t="inlineStr">
        <is>
          <t>BRIV3</t>
        </is>
      </c>
      <c r="B1505" s="24" t="inlineStr">
        <is>
          <t>Ação</t>
        </is>
      </c>
      <c r="C1505" s="24" t="n"/>
      <c r="D1505" s="24" t="n">
        <v>12.86</v>
      </c>
      <c r="E1505" s="24" t="inlineStr">
        <is>
          <t>60.770.336/0001-65</t>
        </is>
      </c>
      <c r="F1505" s="24" t="n"/>
      <c r="G1505" s="29" t="inlineStr">
        <is>
          <t>0,00</t>
        </is>
      </c>
      <c r="H1505" s="29" t="n"/>
      <c r="I1505" s="24" t="n"/>
    </row>
    <row r="1506">
      <c r="A1506" s="26" t="inlineStr">
        <is>
          <t>CTPC3</t>
        </is>
      </c>
      <c r="B1506" s="27" t="inlineStr">
        <is>
          <t>Ação</t>
        </is>
      </c>
      <c r="C1506" s="27" t="n"/>
      <c r="D1506" s="27" t="n"/>
      <c r="E1506" s="27" t="n"/>
      <c r="F1506" s="27" t="n"/>
      <c r="G1506" s="28" t="inlineStr">
        <is>
          <t>0,00</t>
        </is>
      </c>
      <c r="H1506" s="28" t="n"/>
      <c r="I1506" s="27" t="n"/>
    </row>
    <row r="1507">
      <c r="A1507" s="23" t="inlineStr">
        <is>
          <t>MLFT4</t>
        </is>
      </c>
      <c r="B1507" s="24" t="inlineStr">
        <is>
          <t>Ação</t>
        </is>
      </c>
      <c r="C1507" s="24" t="n"/>
      <c r="D1507" s="24" t="n"/>
      <c r="E1507" s="24" t="n"/>
      <c r="F1507" s="24" t="n"/>
      <c r="G1507" s="29" t="inlineStr">
        <is>
          <t>0,00</t>
        </is>
      </c>
      <c r="H1507" s="29" t="n"/>
      <c r="I1507" s="24" t="n"/>
    </row>
    <row r="1508">
      <c r="A1508" s="26" t="inlineStr">
        <is>
          <t>RLOG3</t>
        </is>
      </c>
      <c r="B1508" s="27" t="inlineStr">
        <is>
          <t>Ação</t>
        </is>
      </c>
      <c r="C1508" s="27" t="n"/>
      <c r="D1508" s="27" t="n"/>
      <c r="E1508" s="27" t="inlineStr">
        <is>
          <t>17.346.997/0001-39</t>
        </is>
      </c>
      <c r="F1508" s="27" t="n"/>
      <c r="G1508" s="28" t="inlineStr">
        <is>
          <t>0,00</t>
        </is>
      </c>
      <c r="H1508" s="28" t="n"/>
      <c r="I1508" s="27" t="n"/>
    </row>
    <row r="1509">
      <c r="A1509" s="23" t="inlineStr">
        <is>
          <t>DOHL3</t>
        </is>
      </c>
      <c r="B1509" s="24" t="inlineStr">
        <is>
          <t>Ação</t>
        </is>
      </c>
      <c r="C1509" s="24" t="n"/>
      <c r="D1509" s="24" t="n">
        <v>6.51</v>
      </c>
      <c r="E1509" s="24" t="inlineStr">
        <is>
          <t>84.683.408/0001-03</t>
        </is>
      </c>
      <c r="F1509" s="24" t="n"/>
      <c r="G1509" s="29" t="inlineStr">
        <is>
          <t>0,15</t>
        </is>
      </c>
      <c r="H1509" s="29" t="n"/>
      <c r="I1509" s="24" t="n"/>
    </row>
    <row r="1510">
      <c r="A1510" s="26" t="inlineStr">
        <is>
          <t>CSAB4</t>
        </is>
      </c>
      <c r="B1510" s="27" t="inlineStr">
        <is>
          <t>Ação</t>
        </is>
      </c>
      <c r="C1510" s="27" t="n"/>
      <c r="D1510" s="27" t="n"/>
      <c r="E1510" s="27" t="inlineStr">
        <is>
          <t>15.144.017/0001-90</t>
        </is>
      </c>
      <c r="F1510" s="27" t="n"/>
      <c r="G1510" s="28" t="inlineStr">
        <is>
          <t>0,00</t>
        </is>
      </c>
      <c r="H1510" s="28" t="n"/>
      <c r="I1510" s="27" t="n"/>
    </row>
    <row r="1511">
      <c r="A1511" s="23" t="inlineStr">
        <is>
          <t>HGTX3</t>
        </is>
      </c>
      <c r="B1511" s="24" t="inlineStr">
        <is>
          <t>Ação</t>
        </is>
      </c>
      <c r="C1511" s="24" t="n"/>
      <c r="D1511" s="24" t="n"/>
      <c r="E1511" s="24" t="inlineStr">
        <is>
          <t>78.876.950/0001-71</t>
        </is>
      </c>
      <c r="F1511" s="24" t="n"/>
      <c r="G1511" s="29" t="inlineStr">
        <is>
          <t>0,00</t>
        </is>
      </c>
      <c r="H1511" s="29" t="n"/>
      <c r="I1511" s="24" t="n"/>
    </row>
    <row r="1512">
      <c r="A1512" s="26" t="inlineStr">
        <is>
          <t>PQUN4</t>
        </is>
      </c>
      <c r="B1512" s="27" t="inlineStr">
        <is>
          <t>Ação</t>
        </is>
      </c>
      <c r="C1512" s="27" t="n"/>
      <c r="D1512" s="27" t="n"/>
      <c r="E1512" s="27" t="n"/>
      <c r="F1512" s="27" t="n"/>
      <c r="G1512" s="28" t="inlineStr">
        <is>
          <t>0,00</t>
        </is>
      </c>
      <c r="H1512" s="28" t="n"/>
      <c r="I1512" s="27" t="n"/>
    </row>
    <row r="1513">
      <c r="A1513" s="23" t="inlineStr">
        <is>
          <t>PQUN3</t>
        </is>
      </c>
      <c r="B1513" s="24" t="inlineStr">
        <is>
          <t>Ação</t>
        </is>
      </c>
      <c r="C1513" s="24" t="n"/>
      <c r="D1513" s="24" t="n"/>
      <c r="E1513" s="24" t="n"/>
      <c r="F1513" s="24" t="n"/>
      <c r="G1513" s="29" t="inlineStr">
        <is>
          <t>0,00</t>
        </is>
      </c>
      <c r="H1513" s="29" t="n"/>
      <c r="I1513" s="24" t="n"/>
    </row>
    <row r="1514">
      <c r="A1514" s="26" t="inlineStr">
        <is>
          <t>TMAR6</t>
        </is>
      </c>
      <c r="B1514" s="27" t="inlineStr">
        <is>
          <t>Ação</t>
        </is>
      </c>
      <c r="C1514" s="27" t="n"/>
      <c r="D1514" s="27" t="n"/>
      <c r="E1514" s="27" t="n"/>
      <c r="F1514" s="27" t="n"/>
      <c r="G1514" s="28" t="inlineStr">
        <is>
          <t>0,00</t>
        </is>
      </c>
      <c r="H1514" s="28" t="n"/>
      <c r="I1514" s="27" t="n"/>
    </row>
    <row r="1515">
      <c r="A1515" s="23" t="inlineStr">
        <is>
          <t>TMAR5</t>
        </is>
      </c>
      <c r="B1515" s="24" t="inlineStr">
        <is>
          <t>Ação</t>
        </is>
      </c>
      <c r="C1515" s="24" t="n"/>
      <c r="D1515" s="24" t="n"/>
      <c r="E1515" s="24" t="n"/>
      <c r="F1515" s="24" t="n"/>
      <c r="G1515" s="29" t="inlineStr">
        <is>
          <t>0,00</t>
        </is>
      </c>
      <c r="H1515" s="29" t="n"/>
      <c r="I1515" s="24" t="n"/>
    </row>
    <row r="1516">
      <c r="A1516" s="26" t="inlineStr">
        <is>
          <t>NETC3</t>
        </is>
      </c>
      <c r="B1516" s="27" t="inlineStr">
        <is>
          <t>Ação</t>
        </is>
      </c>
      <c r="C1516" s="27" t="n"/>
      <c r="D1516" s="27" t="n"/>
      <c r="E1516" s="27" t="n"/>
      <c r="F1516" s="27" t="n"/>
      <c r="G1516" s="28" t="inlineStr">
        <is>
          <t>0,00</t>
        </is>
      </c>
      <c r="H1516" s="28" t="n"/>
      <c r="I1516" s="27" t="n"/>
    </row>
    <row r="1517">
      <c r="A1517" s="23" t="inlineStr">
        <is>
          <t>NETC4</t>
        </is>
      </c>
      <c r="B1517" s="24" t="inlineStr">
        <is>
          <t>Ação</t>
        </is>
      </c>
      <c r="C1517" s="24" t="n"/>
      <c r="D1517" s="24" t="n"/>
      <c r="E1517" s="24" t="n"/>
      <c r="F1517" s="24" t="n"/>
      <c r="G1517" s="29" t="inlineStr">
        <is>
          <t>0,00</t>
        </is>
      </c>
      <c r="H1517" s="29" t="n"/>
      <c r="I1517" s="24" t="n"/>
    </row>
    <row r="1518">
      <c r="A1518" s="26" t="inlineStr">
        <is>
          <t>TMAR3</t>
        </is>
      </c>
      <c r="B1518" s="27" t="inlineStr">
        <is>
          <t>Ação</t>
        </is>
      </c>
      <c r="C1518" s="27" t="n"/>
      <c r="D1518" s="27" t="n"/>
      <c r="E1518" s="27" t="n"/>
      <c r="F1518" s="27" t="n"/>
      <c r="G1518" s="28" t="inlineStr">
        <is>
          <t>0,00</t>
        </is>
      </c>
      <c r="H1518" s="28" t="n"/>
      <c r="I1518" s="27" t="n"/>
    </row>
    <row r="1519">
      <c r="A1519" s="23" t="inlineStr">
        <is>
          <t>ROMI4</t>
        </is>
      </c>
      <c r="B1519" s="24" t="inlineStr">
        <is>
          <t>Ação</t>
        </is>
      </c>
      <c r="C1519" s="24" t="n"/>
      <c r="D1519" s="24" t="n"/>
      <c r="E1519" s="24" t="n"/>
      <c r="F1519" s="24" t="n"/>
      <c r="G1519" s="29" t="inlineStr">
        <is>
          <t>0,00</t>
        </is>
      </c>
      <c r="H1519" s="29" t="n"/>
      <c r="I1519" s="24" t="n"/>
    </row>
    <row r="1520">
      <c r="A1520" s="26" t="inlineStr">
        <is>
          <t>BIDI3</t>
        </is>
      </c>
      <c r="B1520" s="27" t="inlineStr">
        <is>
          <t>Ação</t>
        </is>
      </c>
      <c r="C1520" s="27" t="n"/>
      <c r="D1520" s="27" t="n"/>
      <c r="E1520" s="27" t="inlineStr">
        <is>
          <t>00.416.968/0001-01</t>
        </is>
      </c>
      <c r="F1520" s="27" t="n"/>
      <c r="G1520" s="28" t="inlineStr">
        <is>
          <t>0,00</t>
        </is>
      </c>
      <c r="H1520" s="28" t="n"/>
      <c r="I1520" s="27" t="n"/>
    </row>
    <row r="1521">
      <c r="A1521" s="23" t="inlineStr">
        <is>
          <t>BIDI4</t>
        </is>
      </c>
      <c r="B1521" s="24" t="inlineStr">
        <is>
          <t>Ação</t>
        </is>
      </c>
      <c r="C1521" s="24" t="n"/>
      <c r="D1521" s="24" t="n"/>
      <c r="E1521" s="24" t="inlineStr">
        <is>
          <t>00.416.968/0001-01</t>
        </is>
      </c>
      <c r="F1521" s="24" t="n"/>
      <c r="G1521" s="29" t="inlineStr">
        <is>
          <t>0,00</t>
        </is>
      </c>
      <c r="H1521" s="29" t="n"/>
      <c r="I1521" s="24" t="n"/>
    </row>
    <row r="1522">
      <c r="A1522" s="26" t="inlineStr">
        <is>
          <t>BIDI11</t>
        </is>
      </c>
      <c r="B1522" s="27" t="inlineStr">
        <is>
          <t>Ação</t>
        </is>
      </c>
      <c r="C1522" s="27" t="n"/>
      <c r="D1522" s="27" t="n"/>
      <c r="E1522" s="27" t="inlineStr">
        <is>
          <t>00.416.968/0001-01</t>
        </is>
      </c>
      <c r="F1522" s="27" t="n"/>
      <c r="G1522" s="28" t="inlineStr">
        <is>
          <t>0,00</t>
        </is>
      </c>
      <c r="H1522" s="28" t="n"/>
      <c r="I1522" s="27" t="n"/>
    </row>
    <row r="1523">
      <c r="A1523" s="23" t="inlineStr">
        <is>
          <t>ELEV3</t>
        </is>
      </c>
      <c r="B1523" s="24" t="inlineStr">
        <is>
          <t>Ação</t>
        </is>
      </c>
      <c r="C1523" s="24" t="n"/>
      <c r="D1523" s="24" t="n"/>
      <c r="E1523" s="24" t="n"/>
      <c r="F1523" s="24" t="n"/>
      <c r="G1523" s="29" t="inlineStr">
        <is>
          <t>0,00</t>
        </is>
      </c>
      <c r="H1523" s="29" t="n"/>
      <c r="I1523" s="24" t="n"/>
    </row>
    <row r="1524">
      <c r="A1524" s="26" t="inlineStr">
        <is>
          <t>RHDS4</t>
        </is>
      </c>
      <c r="B1524" s="27" t="inlineStr">
        <is>
          <t>Ação</t>
        </is>
      </c>
      <c r="C1524" s="27" t="n"/>
      <c r="D1524" s="27" t="n"/>
      <c r="E1524" s="27" t="n"/>
      <c r="F1524" s="27" t="n"/>
      <c r="G1524" s="28" t="inlineStr">
        <is>
          <t>0,00</t>
        </is>
      </c>
      <c r="H1524" s="28" t="n"/>
      <c r="I1524" s="27" t="n"/>
    </row>
    <row r="1525">
      <c r="A1525" s="23" t="inlineStr">
        <is>
          <t>PRBC4</t>
        </is>
      </c>
      <c r="B1525" s="24" t="inlineStr">
        <is>
          <t>Ação</t>
        </is>
      </c>
      <c r="C1525" s="24" t="n"/>
      <c r="D1525" s="24" t="n"/>
      <c r="E1525" s="24" t="n"/>
      <c r="F1525" s="24" t="n"/>
      <c r="G1525" s="29" t="inlineStr">
        <is>
          <t>0,00</t>
        </is>
      </c>
      <c r="H1525" s="29" t="n"/>
      <c r="I1525" s="24" t="n"/>
    </row>
    <row r="1526">
      <c r="A1526" s="26" t="inlineStr">
        <is>
          <t>UBBR4</t>
        </is>
      </c>
      <c r="B1526" s="27" t="inlineStr">
        <is>
          <t>Ação</t>
        </is>
      </c>
      <c r="C1526" s="27" t="n"/>
      <c r="D1526" s="27" t="n"/>
      <c r="E1526" s="27" t="n"/>
      <c r="F1526" s="27" t="n"/>
      <c r="G1526" s="28" t="inlineStr">
        <is>
          <t>0,00</t>
        </is>
      </c>
      <c r="H1526" s="28" t="n"/>
      <c r="I1526" s="27" t="n"/>
    </row>
    <row r="1527">
      <c r="A1527" s="23" t="inlineStr">
        <is>
          <t>UBBR11</t>
        </is>
      </c>
      <c r="B1527" s="24" t="inlineStr">
        <is>
          <t>Ação</t>
        </is>
      </c>
      <c r="C1527" s="24" t="n"/>
      <c r="D1527" s="24" t="n"/>
      <c r="E1527" s="24" t="n"/>
      <c r="F1527" s="24" t="n"/>
      <c r="G1527" s="29" t="inlineStr">
        <is>
          <t>0,00</t>
        </is>
      </c>
      <c r="H1527" s="29" t="n"/>
      <c r="I1527" s="24" t="n"/>
    </row>
    <row r="1528">
      <c r="A1528" s="26" t="inlineStr">
        <is>
          <t>UBBR3</t>
        </is>
      </c>
      <c r="B1528" s="27" t="inlineStr">
        <is>
          <t>Ação</t>
        </is>
      </c>
      <c r="C1528" s="27" t="n"/>
      <c r="D1528" s="27" t="n"/>
      <c r="E1528" s="27" t="n"/>
      <c r="F1528" s="27" t="n"/>
      <c r="G1528" s="28" t="inlineStr">
        <is>
          <t>0,00</t>
        </is>
      </c>
      <c r="H1528" s="28" t="n"/>
      <c r="I1528" s="27" t="n"/>
    </row>
    <row r="1529">
      <c r="A1529" s="23" t="inlineStr">
        <is>
          <t>BBTG12</t>
        </is>
      </c>
      <c r="B1529" s="24" t="inlineStr">
        <is>
          <t>Ação</t>
        </is>
      </c>
      <c r="C1529" s="24" t="n"/>
      <c r="D1529" s="24" t="n"/>
      <c r="E1529" s="24" t="n"/>
      <c r="F1529" s="24" t="n"/>
      <c r="G1529" s="29" t="inlineStr">
        <is>
          <t>0,00</t>
        </is>
      </c>
      <c r="H1529" s="29" t="n"/>
      <c r="I1529" s="24" t="n"/>
    </row>
    <row r="1530">
      <c r="A1530" s="26" t="inlineStr">
        <is>
          <t>AEFI11</t>
        </is>
      </c>
      <c r="B1530" s="27" t="inlineStr">
        <is>
          <t>FII</t>
        </is>
      </c>
      <c r="C1530" s="27" t="n"/>
      <c r="D1530" s="27" t="n">
        <v>174.9</v>
      </c>
      <c r="E1530" s="27" t="n"/>
      <c r="F1530" s="27" t="n"/>
      <c r="G1530" s="28" t="inlineStr">
        <is>
          <t>0,00</t>
        </is>
      </c>
      <c r="H1530" s="28" t="n"/>
      <c r="I1530" s="27" t="n"/>
    </row>
    <row r="1531">
      <c r="A1531" s="23" t="inlineStr">
        <is>
          <t>AFCR11</t>
        </is>
      </c>
      <c r="B1531" s="24" t="inlineStr">
        <is>
          <t>FII</t>
        </is>
      </c>
      <c r="C1531" s="24" t="n"/>
      <c r="D1531" s="24" t="n">
        <v>103.15</v>
      </c>
      <c r="E1531" s="24" t="n"/>
      <c r="F1531" s="24" t="n"/>
      <c r="G1531" s="29" t="inlineStr">
        <is>
          <t>0,00</t>
        </is>
      </c>
      <c r="H1531" s="29" t="n"/>
      <c r="I1531" s="24" t="n"/>
    </row>
    <row r="1532">
      <c r="A1532" s="26" t="inlineStr">
        <is>
          <t>AFOF11</t>
        </is>
      </c>
      <c r="B1532" s="27" t="inlineStr">
        <is>
          <t>FII</t>
        </is>
      </c>
      <c r="C1532" s="27" t="n"/>
      <c r="D1532" s="27" t="n">
        <v>91.59999999999999</v>
      </c>
      <c r="E1532" s="27" t="n"/>
      <c r="F1532" s="27" t="n"/>
      <c r="G1532" s="28" t="inlineStr">
        <is>
          <t>0,00</t>
        </is>
      </c>
      <c r="H1532" s="28" t="n"/>
      <c r="I1532" s="27" t="n"/>
    </row>
    <row r="1533">
      <c r="A1533" s="23" t="inlineStr">
        <is>
          <t>AGCX11</t>
        </is>
      </c>
      <c r="B1533" s="24" t="inlineStr">
        <is>
          <t>FII</t>
        </is>
      </c>
      <c r="C1533" s="24" t="n"/>
      <c r="D1533" s="24" t="n">
        <v>1235.5</v>
      </c>
      <c r="E1533" s="24" t="n"/>
      <c r="F1533" s="24" t="n"/>
      <c r="G1533" s="29" t="inlineStr">
        <is>
          <t>0,00</t>
        </is>
      </c>
      <c r="H1533" s="29" t="n"/>
      <c r="I1533" s="24" t="n"/>
    </row>
    <row r="1534">
      <c r="A1534" s="26" t="inlineStr">
        <is>
          <t>ALZM11</t>
        </is>
      </c>
      <c r="B1534" s="27" t="inlineStr">
        <is>
          <t>FII</t>
        </is>
      </c>
      <c r="C1534" s="27" t="n"/>
      <c r="D1534" s="27" t="n">
        <v>6.4</v>
      </c>
      <c r="E1534" s="27" t="inlineStr">
        <is>
          <t>34.847.063/0001-08</t>
        </is>
      </c>
      <c r="F1534" s="27" t="n"/>
      <c r="G1534" s="28" t="inlineStr">
        <is>
          <t>0,00</t>
        </is>
      </c>
      <c r="H1534" s="28" t="n"/>
      <c r="I1534" s="27" t="n"/>
    </row>
    <row r="1535">
      <c r="A1535" s="23" t="inlineStr">
        <is>
          <t>ALZT11</t>
        </is>
      </c>
      <c r="B1535" s="24" t="inlineStr">
        <is>
          <t>FII</t>
        </is>
      </c>
      <c r="C1535" s="24" t="n"/>
      <c r="D1535" s="24" t="n"/>
      <c r="E1535" s="24" t="n"/>
      <c r="F1535" s="24" t="n"/>
      <c r="G1535" s="29" t="inlineStr">
        <is>
          <t>0,00</t>
        </is>
      </c>
      <c r="H1535" s="29" t="n"/>
      <c r="I1535" s="24" t="n"/>
    </row>
    <row r="1536">
      <c r="A1536" s="26" t="inlineStr">
        <is>
          <t>ARCT11</t>
        </is>
      </c>
      <c r="B1536" s="27" t="inlineStr">
        <is>
          <t>FII</t>
        </is>
      </c>
      <c r="C1536" s="27" t="n"/>
      <c r="D1536" s="27" t="n"/>
      <c r="E1536" s="27" t="n"/>
      <c r="F1536" s="27" t="n"/>
      <c r="G1536" s="28" t="inlineStr">
        <is>
          <t>0,00</t>
        </is>
      </c>
      <c r="H1536" s="28" t="n"/>
      <c r="I1536" s="27" t="n"/>
    </row>
    <row r="1537">
      <c r="A1537" s="23" t="inlineStr">
        <is>
          <t>ASMT11</t>
        </is>
      </c>
      <c r="B1537" s="24" t="inlineStr">
        <is>
          <t>FII</t>
        </is>
      </c>
      <c r="C1537" s="24" t="n"/>
      <c r="D1537" s="24" t="n"/>
      <c r="E1537" s="24" t="n"/>
      <c r="F1537" s="24" t="n"/>
      <c r="G1537" s="29" t="inlineStr">
        <is>
          <t>0,00</t>
        </is>
      </c>
      <c r="H1537" s="29" t="n"/>
      <c r="I1537" s="24" t="n"/>
    </row>
    <row r="1538">
      <c r="A1538" s="26" t="inlineStr">
        <is>
          <t>BBGO11</t>
        </is>
      </c>
      <c r="B1538" s="27" t="inlineStr">
        <is>
          <t>FII</t>
        </is>
      </c>
      <c r="C1538" s="27" t="n"/>
      <c r="D1538" s="27" t="n">
        <v>77.47</v>
      </c>
      <c r="E1538" s="27" t="n"/>
      <c r="F1538" s="27" t="n"/>
      <c r="G1538" s="28" t="inlineStr">
        <is>
          <t>0,00</t>
        </is>
      </c>
      <c r="H1538" s="28" t="n"/>
      <c r="I1538" s="27" t="n"/>
    </row>
    <row r="1539">
      <c r="A1539" s="23" t="inlineStr">
        <is>
          <t>BBPO11</t>
        </is>
      </c>
      <c r="B1539" s="24" t="inlineStr">
        <is>
          <t>FII</t>
        </is>
      </c>
      <c r="C1539" s="24" t="n"/>
      <c r="D1539" s="24" t="n">
        <v>96.75</v>
      </c>
      <c r="E1539" s="24" t="n"/>
      <c r="F1539" s="24" t="n"/>
      <c r="G1539" s="29" t="inlineStr">
        <is>
          <t>0,00</t>
        </is>
      </c>
      <c r="H1539" s="29" t="n"/>
      <c r="I1539" s="24" t="n"/>
    </row>
    <row r="1540">
      <c r="A1540" s="26" t="inlineStr">
        <is>
          <t>BBVJ11</t>
        </is>
      </c>
      <c r="B1540" s="27" t="inlineStr">
        <is>
          <t>FII</t>
        </is>
      </c>
      <c r="C1540" s="27" t="n"/>
      <c r="D1540" s="27" t="n">
        <v>62.99</v>
      </c>
      <c r="E1540" s="27" t="n"/>
      <c r="F1540" s="27" t="n"/>
      <c r="G1540" s="28" t="inlineStr">
        <is>
          <t>0,00</t>
        </is>
      </c>
      <c r="H1540" s="28" t="n"/>
      <c r="I1540" s="27" t="n"/>
    </row>
    <row r="1541">
      <c r="A1541" s="23" t="inlineStr">
        <is>
          <t>BCFF11</t>
        </is>
      </c>
      <c r="B1541" s="24" t="inlineStr">
        <is>
          <t>FII</t>
        </is>
      </c>
      <c r="C1541" s="24" t="n"/>
      <c r="D1541" s="24" t="n"/>
      <c r="E1541" s="24" t="inlineStr">
        <is>
          <t>11.026.627/0001-38</t>
        </is>
      </c>
      <c r="F1541" s="24" t="n"/>
      <c r="G1541" s="29" t="inlineStr">
        <is>
          <t>0,00</t>
        </is>
      </c>
      <c r="H1541" s="29" t="n"/>
      <c r="I1541" s="24" t="n"/>
    </row>
    <row r="1542">
      <c r="A1542" s="26" t="inlineStr">
        <is>
          <t>BFCC11</t>
        </is>
      </c>
      <c r="B1542" s="27" t="inlineStr">
        <is>
          <t>FII</t>
        </is>
      </c>
      <c r="C1542" s="27" t="n"/>
      <c r="D1542" s="27" t="n">
        <v>102.06</v>
      </c>
      <c r="E1542" s="27" t="n"/>
      <c r="F1542" s="27" t="n"/>
      <c r="G1542" s="28" t="inlineStr">
        <is>
          <t>0,00</t>
        </is>
      </c>
      <c r="H1542" s="28" t="n"/>
      <c r="I1542" s="27" t="n"/>
    </row>
    <row r="1543">
      <c r="A1543" s="23" t="inlineStr">
        <is>
          <t>BICR11</t>
        </is>
      </c>
      <c r="B1543" s="24" t="inlineStr">
        <is>
          <t>FII</t>
        </is>
      </c>
      <c r="C1543" s="24" t="n"/>
      <c r="D1543" s="24" t="n"/>
      <c r="E1543" s="24" t="inlineStr">
        <is>
          <t>34.007.109/0001-72</t>
        </is>
      </c>
      <c r="F1543" s="24" t="n"/>
      <c r="G1543" s="29" t="inlineStr">
        <is>
          <t>0,00</t>
        </is>
      </c>
      <c r="H1543" s="29" t="n"/>
      <c r="I1543" s="24" t="n"/>
    </row>
    <row r="1544">
      <c r="A1544" s="26" t="inlineStr">
        <is>
          <t>BLCP11</t>
        </is>
      </c>
      <c r="B1544" s="27" t="inlineStr">
        <is>
          <t>FII</t>
        </is>
      </c>
      <c r="C1544" s="27" t="n"/>
      <c r="D1544" s="27" t="n"/>
      <c r="E1544" s="27" t="inlineStr">
        <is>
          <t>35.652.060/0001-73</t>
        </is>
      </c>
      <c r="F1544" s="27" t="n"/>
      <c r="G1544" s="28" t="inlineStr">
        <is>
          <t>0,00</t>
        </is>
      </c>
      <c r="H1544" s="28" t="n"/>
      <c r="I1544" s="27" t="n"/>
    </row>
    <row r="1545">
      <c r="A1545" s="23" t="inlineStr">
        <is>
          <t>BLMC11</t>
        </is>
      </c>
      <c r="B1545" s="24" t="inlineStr">
        <is>
          <t>FII</t>
        </is>
      </c>
      <c r="C1545" s="24" t="n"/>
      <c r="D1545" s="24" t="n"/>
      <c r="E1545" s="24" t="inlineStr">
        <is>
          <t>38.294.221/0001-92</t>
        </is>
      </c>
      <c r="F1545" s="24" t="n"/>
      <c r="G1545" s="29" t="inlineStr">
        <is>
          <t>0,00</t>
        </is>
      </c>
      <c r="H1545" s="29" t="n"/>
      <c r="I1545" s="24" t="n"/>
    </row>
    <row r="1546">
      <c r="A1546" s="26" t="inlineStr">
        <is>
          <t>BLMR11</t>
        </is>
      </c>
      <c r="B1546" s="27" t="inlineStr">
        <is>
          <t>FII</t>
        </is>
      </c>
      <c r="C1546" s="27" t="n"/>
      <c r="D1546" s="27" t="n"/>
      <c r="E1546" s="27" t="inlineStr">
        <is>
          <t>36.368.869/0001-30</t>
        </is>
      </c>
      <c r="F1546" s="27" t="n"/>
      <c r="G1546" s="28" t="inlineStr">
        <is>
          <t>0,00</t>
        </is>
      </c>
      <c r="H1546" s="28" t="n"/>
      <c r="I1546" s="27" t="n"/>
    </row>
    <row r="1547">
      <c r="A1547" s="23" t="inlineStr">
        <is>
          <t>BLUR11</t>
        </is>
      </c>
      <c r="B1547" s="24" t="inlineStr">
        <is>
          <t>FII</t>
        </is>
      </c>
      <c r="C1547" s="24" t="n"/>
      <c r="D1547" s="24" t="n">
        <v>76.03</v>
      </c>
      <c r="E1547" s="24" t="inlineStr">
        <is>
          <t>38.051.307/0001-94</t>
        </is>
      </c>
      <c r="F1547" s="24" t="n"/>
      <c r="G1547" s="29" t="inlineStr">
        <is>
          <t>3,30</t>
        </is>
      </c>
      <c r="H1547" s="29" t="n"/>
      <c r="I1547" s="24" t="n"/>
    </row>
    <row r="1548">
      <c r="A1548" s="26" t="inlineStr">
        <is>
          <t>BPRP11</t>
        </is>
      </c>
      <c r="B1548" s="27" t="inlineStr">
        <is>
          <t>FII</t>
        </is>
      </c>
      <c r="C1548" s="27" t="n"/>
      <c r="D1548" s="27" t="n"/>
      <c r="E1548" s="27" t="inlineStr">
        <is>
          <t>29.800.650/0001-01</t>
        </is>
      </c>
      <c r="F1548" s="27" t="n"/>
      <c r="G1548" s="28" t="inlineStr">
        <is>
          <t>0,00</t>
        </is>
      </c>
      <c r="H1548" s="28" t="n"/>
      <c r="I1548" s="27" t="n"/>
    </row>
    <row r="1549">
      <c r="A1549" s="23" t="inlineStr">
        <is>
          <t>BREV11</t>
        </is>
      </c>
      <c r="B1549" s="24" t="inlineStr">
        <is>
          <t>FII</t>
        </is>
      </c>
      <c r="C1549" s="24" t="n"/>
      <c r="D1549" s="24" t="n">
        <v>105</v>
      </c>
      <c r="E1549" s="24" t="inlineStr">
        <is>
          <t>26.195.121/0001-20</t>
        </is>
      </c>
      <c r="F1549" s="24" t="n"/>
      <c r="G1549" s="29" t="inlineStr">
        <is>
          <t>0,00</t>
        </is>
      </c>
      <c r="H1549" s="29" t="n"/>
      <c r="I1549" s="24" t="n"/>
    </row>
    <row r="1550">
      <c r="A1550" s="26" t="inlineStr">
        <is>
          <t>BRLA11</t>
        </is>
      </c>
      <c r="B1550" s="27" t="inlineStr">
        <is>
          <t>FII</t>
        </is>
      </c>
      <c r="C1550" s="27" t="n"/>
      <c r="D1550" s="27" t="n"/>
      <c r="E1550" s="27" t="n"/>
      <c r="F1550" s="27" t="n"/>
      <c r="G1550" s="28" t="inlineStr">
        <is>
          <t>0,00</t>
        </is>
      </c>
      <c r="H1550" s="28" t="n"/>
      <c r="I1550" s="27" t="n"/>
    </row>
    <row r="1551">
      <c r="A1551" s="23" t="inlineStr">
        <is>
          <t>BTCR11</t>
        </is>
      </c>
      <c r="B1551" s="24" t="inlineStr">
        <is>
          <t>FII</t>
        </is>
      </c>
      <c r="C1551" s="24" t="n"/>
      <c r="D1551" s="24" t="n"/>
      <c r="E1551" s="24" t="inlineStr">
        <is>
          <t>29.787.928/0001-40</t>
        </is>
      </c>
      <c r="F1551" s="24" t="n"/>
      <c r="G1551" s="29" t="inlineStr">
        <is>
          <t>0,00</t>
        </is>
      </c>
      <c r="H1551" s="29" t="n"/>
      <c r="I1551" s="24" t="n"/>
    </row>
    <row r="1552">
      <c r="A1552" s="26" t="inlineStr">
        <is>
          <t>CCRF11</t>
        </is>
      </c>
      <c r="B1552" s="27" t="inlineStr">
        <is>
          <t>FII</t>
        </is>
      </c>
      <c r="C1552" s="27" t="n"/>
      <c r="D1552" s="27" t="n">
        <v>92.5</v>
      </c>
      <c r="E1552" s="27" t="inlineStr">
        <is>
          <t>40.011.268/0001-43</t>
        </is>
      </c>
      <c r="F1552" s="27" t="n"/>
      <c r="G1552" s="28" t="inlineStr">
        <is>
          <t>0,00</t>
        </is>
      </c>
      <c r="H1552" s="28" t="n"/>
      <c r="I1552" s="27" t="n"/>
    </row>
    <row r="1553">
      <c r="A1553" s="23" t="inlineStr">
        <is>
          <t>COPP11</t>
        </is>
      </c>
      <c r="B1553" s="24" t="inlineStr">
        <is>
          <t>FII</t>
        </is>
      </c>
      <c r="C1553" s="24" t="n"/>
      <c r="D1553" s="24" t="n"/>
      <c r="E1553" s="24" t="inlineStr">
        <is>
          <t>48.916.699/0001-60</t>
        </is>
      </c>
      <c r="F1553" s="24" t="n"/>
      <c r="G1553" s="29" t="inlineStr">
        <is>
          <t>0,00</t>
        </is>
      </c>
      <c r="H1553" s="29" t="n"/>
      <c r="I1553" s="24" t="n"/>
    </row>
    <row r="1554">
      <c r="A1554" s="26" t="inlineStr">
        <is>
          <t>CORM11</t>
        </is>
      </c>
      <c r="B1554" s="27" t="inlineStr">
        <is>
          <t>FII</t>
        </is>
      </c>
      <c r="C1554" s="27" t="n"/>
      <c r="D1554" s="27" t="n"/>
      <c r="E1554" s="27" t="n"/>
      <c r="F1554" s="27" t="n"/>
      <c r="G1554" s="28" t="inlineStr">
        <is>
          <t>0,00</t>
        </is>
      </c>
      <c r="H1554" s="28" t="n"/>
      <c r="I1554" s="27" t="n"/>
    </row>
    <row r="1555">
      <c r="A1555" s="23" t="inlineStr">
        <is>
          <t>CPFF11</t>
        </is>
      </c>
      <c r="B1555" s="24" t="inlineStr">
        <is>
          <t>FII</t>
        </is>
      </c>
      <c r="C1555" s="24" t="n"/>
      <c r="D1555" s="24" t="n">
        <v>69.90000000000001</v>
      </c>
      <c r="E1555" s="24" t="inlineStr">
        <is>
          <t>34.081.611/0001-23</t>
        </is>
      </c>
      <c r="F1555" s="24" t="n"/>
      <c r="G1555" s="29" t="inlineStr">
        <is>
          <t>0,00</t>
        </is>
      </c>
      <c r="H1555" s="29" t="n"/>
      <c r="I1555" s="24" t="n"/>
    </row>
    <row r="1556">
      <c r="A1556" s="26" t="inlineStr">
        <is>
          <t>CPTR11</t>
        </is>
      </c>
      <c r="B1556" s="27" t="inlineStr">
        <is>
          <t>FII</t>
        </is>
      </c>
      <c r="C1556" s="27" t="n"/>
      <c r="D1556" s="27" t="n">
        <v>8.789999999999999</v>
      </c>
      <c r="E1556" s="27" t="n"/>
      <c r="F1556" s="27" t="n"/>
      <c r="G1556" s="28" t="inlineStr">
        <is>
          <t>0,00</t>
        </is>
      </c>
      <c r="H1556" s="28" t="n"/>
      <c r="I1556" s="27" t="n"/>
    </row>
    <row r="1557">
      <c r="A1557" s="23" t="inlineStr">
        <is>
          <t>CRAA11</t>
        </is>
      </c>
      <c r="B1557" s="24" t="inlineStr">
        <is>
          <t>FII</t>
        </is>
      </c>
      <c r="C1557" s="24" t="n"/>
      <c r="D1557" s="24" t="n">
        <v>106</v>
      </c>
      <c r="E1557" s="24" t="n"/>
      <c r="F1557" s="24" t="n"/>
      <c r="G1557" s="29" t="inlineStr">
        <is>
          <t>0,00</t>
        </is>
      </c>
      <c r="H1557" s="29" t="n"/>
      <c r="I1557" s="24" t="n"/>
    </row>
    <row r="1558">
      <c r="A1558" s="26" t="inlineStr">
        <is>
          <t>CVBI11</t>
        </is>
      </c>
      <c r="B1558" s="27" t="inlineStr">
        <is>
          <t>FII</t>
        </is>
      </c>
      <c r="C1558" s="27" t="n"/>
      <c r="D1558" s="27" t="n"/>
      <c r="E1558" s="27" t="n"/>
      <c r="F1558" s="27" t="n"/>
      <c r="G1558" s="28" t="inlineStr">
        <is>
          <t>0,00</t>
        </is>
      </c>
      <c r="H1558" s="28" t="n"/>
      <c r="I1558" s="27" t="n"/>
    </row>
    <row r="1559">
      <c r="A1559" s="23" t="inlineStr">
        <is>
          <t>DCRA11</t>
        </is>
      </c>
      <c r="B1559" s="24" t="inlineStr">
        <is>
          <t>FII</t>
        </is>
      </c>
      <c r="C1559" s="24" t="n"/>
      <c r="D1559" s="24" t="n">
        <v>7.7</v>
      </c>
      <c r="E1559" s="24" t="n"/>
      <c r="F1559" s="24" t="n"/>
      <c r="G1559" s="29" t="inlineStr">
        <is>
          <t>0,00</t>
        </is>
      </c>
      <c r="H1559" s="29" t="n"/>
      <c r="I1559" s="24" t="n"/>
    </row>
    <row r="1560">
      <c r="A1560" s="26" t="inlineStr">
        <is>
          <t>DMAC11</t>
        </is>
      </c>
      <c r="B1560" s="27" t="inlineStr">
        <is>
          <t>FII</t>
        </is>
      </c>
      <c r="C1560" s="27" t="n"/>
      <c r="D1560" s="27" t="n">
        <v>13</v>
      </c>
      <c r="E1560" s="27" t="inlineStr">
        <is>
          <t>30.579.348/0001-46</t>
        </is>
      </c>
      <c r="F1560" s="27" t="n"/>
      <c r="G1560" s="28" t="inlineStr">
        <is>
          <t>0,00</t>
        </is>
      </c>
      <c r="H1560" s="28" t="n"/>
      <c r="I1560" s="27" t="n"/>
    </row>
    <row r="1561">
      <c r="A1561" s="23" t="inlineStr">
        <is>
          <t>DOMC11</t>
        </is>
      </c>
      <c r="B1561" s="24" t="inlineStr">
        <is>
          <t>FII</t>
        </is>
      </c>
      <c r="C1561" s="24" t="n"/>
      <c r="D1561" s="24" t="n">
        <v>439</v>
      </c>
      <c r="E1561" s="24" t="inlineStr">
        <is>
          <t>17.374.696/0001-19</t>
        </is>
      </c>
      <c r="F1561" s="24" t="n"/>
      <c r="G1561" s="29" t="inlineStr">
        <is>
          <t>0,00</t>
        </is>
      </c>
      <c r="H1561" s="29" t="n"/>
      <c r="I1561" s="24" t="n"/>
    </row>
    <row r="1562">
      <c r="A1562" s="26" t="inlineStr">
        <is>
          <t>DRIT11</t>
        </is>
      </c>
      <c r="B1562" s="27" t="inlineStr">
        <is>
          <t>FII</t>
        </is>
      </c>
      <c r="C1562" s="27" t="n"/>
      <c r="D1562" s="27" t="n">
        <v>8.68</v>
      </c>
      <c r="E1562" s="27" t="inlineStr">
        <is>
          <t>10.456.810/0001-00</t>
        </is>
      </c>
      <c r="F1562" s="27" t="n"/>
      <c r="G1562" s="28" t="inlineStr">
        <is>
          <t>17,05</t>
        </is>
      </c>
      <c r="H1562" s="28" t="n"/>
      <c r="I1562" s="27" t="n"/>
    </row>
    <row r="1563">
      <c r="A1563" s="23" t="inlineStr">
        <is>
          <t>EGAF11</t>
        </is>
      </c>
      <c r="B1563" s="24" t="inlineStr">
        <is>
          <t>FII</t>
        </is>
      </c>
      <c r="C1563" s="24" t="n"/>
      <c r="D1563" s="24" t="n">
        <v>98.29000000000001</v>
      </c>
      <c r="E1563" s="24" t="n"/>
      <c r="F1563" s="24" t="n"/>
      <c r="G1563" s="29" t="inlineStr">
        <is>
          <t>0,00</t>
        </is>
      </c>
      <c r="H1563" s="29" t="n"/>
      <c r="I1563" s="24" t="n"/>
    </row>
    <row r="1564">
      <c r="A1564" s="26" t="inlineStr">
        <is>
          <t>ELDO11B</t>
        </is>
      </c>
      <c r="B1564" s="27" t="inlineStr">
        <is>
          <t>FII</t>
        </is>
      </c>
      <c r="C1564" s="27" t="n"/>
      <c r="D1564" s="27" t="n"/>
      <c r="E1564" s="27" t="n"/>
      <c r="F1564" s="27" t="n"/>
      <c r="G1564" s="28" t="inlineStr">
        <is>
          <t>0,00</t>
        </is>
      </c>
      <c r="H1564" s="28" t="n"/>
      <c r="I1564" s="27" t="n"/>
    </row>
    <row r="1565">
      <c r="A1565" s="23" t="inlineStr">
        <is>
          <t>EQIN11</t>
        </is>
      </c>
      <c r="B1565" s="24" t="inlineStr">
        <is>
          <t>FII</t>
        </is>
      </c>
      <c r="C1565" s="24" t="n"/>
      <c r="D1565" s="24" t="n"/>
      <c r="E1565" s="24" t="n"/>
      <c r="F1565" s="24" t="n"/>
      <c r="G1565" s="29" t="inlineStr">
        <is>
          <t>0,00</t>
        </is>
      </c>
      <c r="H1565" s="29" t="n"/>
      <c r="I1565" s="24" t="n"/>
    </row>
    <row r="1566">
      <c r="A1566" s="26" t="inlineStr">
        <is>
          <t>EVBI11</t>
        </is>
      </c>
      <c r="B1566" s="27" t="inlineStr">
        <is>
          <t>FII</t>
        </is>
      </c>
      <c r="C1566" s="27" t="n"/>
      <c r="D1566" s="27" t="n"/>
      <c r="E1566" s="27" t="n"/>
      <c r="F1566" s="27" t="n"/>
      <c r="G1566" s="28" t="inlineStr">
        <is>
          <t>0,00</t>
        </is>
      </c>
      <c r="H1566" s="28" t="n"/>
      <c r="I1566" s="27" t="n"/>
    </row>
    <row r="1567">
      <c r="A1567" s="23" t="inlineStr">
        <is>
          <t>FEXC11</t>
        </is>
      </c>
      <c r="B1567" s="24" t="inlineStr">
        <is>
          <t>FII</t>
        </is>
      </c>
      <c r="C1567" s="24" t="n"/>
      <c r="D1567" s="24" t="n"/>
      <c r="E1567" s="24" t="n"/>
      <c r="F1567" s="24" t="n"/>
      <c r="G1567" s="29" t="inlineStr">
        <is>
          <t>0,00</t>
        </is>
      </c>
      <c r="H1567" s="29" t="n"/>
      <c r="I1567" s="24" t="n"/>
    </row>
    <row r="1568">
      <c r="A1568" s="26" t="inlineStr">
        <is>
          <t>FFCI11</t>
        </is>
      </c>
      <c r="B1568" s="27" t="inlineStr">
        <is>
          <t>FII</t>
        </is>
      </c>
      <c r="C1568" s="27" t="n"/>
      <c r="D1568" s="27" t="n">
        <v>182.03</v>
      </c>
      <c r="E1568" s="27" t="n"/>
      <c r="F1568" s="27" t="n"/>
      <c r="G1568" s="28" t="inlineStr">
        <is>
          <t>0,00</t>
        </is>
      </c>
      <c r="H1568" s="28" t="n"/>
      <c r="I1568" s="27" t="n"/>
    </row>
    <row r="1569">
      <c r="A1569" s="23" t="inlineStr">
        <is>
          <t>FGAA11</t>
        </is>
      </c>
      <c r="B1569" s="24" t="inlineStr">
        <is>
          <t>FII</t>
        </is>
      </c>
      <c r="C1569" s="24" t="n"/>
      <c r="D1569" s="24" t="n">
        <v>9.369999999999999</v>
      </c>
      <c r="E1569" s="24" t="n"/>
      <c r="F1569" s="24" t="n"/>
      <c r="G1569" s="29" t="inlineStr">
        <is>
          <t>0,00</t>
        </is>
      </c>
      <c r="H1569" s="29" t="n"/>
      <c r="I1569" s="24" t="n"/>
    </row>
    <row r="1570">
      <c r="A1570" s="26" t="inlineStr">
        <is>
          <t>FIXX11</t>
        </is>
      </c>
      <c r="B1570" s="27" t="inlineStr">
        <is>
          <t>FII</t>
        </is>
      </c>
      <c r="C1570" s="27" t="n"/>
      <c r="D1570" s="27" t="n">
        <v>95.59</v>
      </c>
      <c r="E1570" s="27" t="n"/>
      <c r="F1570" s="27" t="n"/>
      <c r="G1570" s="28" t="inlineStr">
        <is>
          <t>0,00</t>
        </is>
      </c>
      <c r="H1570" s="28" t="n"/>
      <c r="I1570" s="27" t="n"/>
    </row>
    <row r="1571">
      <c r="A1571" s="23" t="inlineStr">
        <is>
          <t>FLFL11</t>
        </is>
      </c>
      <c r="B1571" s="24" t="inlineStr">
        <is>
          <t>FII</t>
        </is>
      </c>
      <c r="C1571" s="24" t="n"/>
      <c r="D1571" s="24" t="n">
        <v>100</v>
      </c>
      <c r="E1571" s="24" t="inlineStr">
        <is>
          <t>50.808.042/0001-21</t>
        </is>
      </c>
      <c r="F1571" s="24" t="n"/>
      <c r="G1571" s="29" t="inlineStr">
        <is>
          <t>0,00</t>
        </is>
      </c>
      <c r="H1571" s="29" t="n"/>
      <c r="I1571" s="24" t="n"/>
    </row>
    <row r="1572">
      <c r="A1572" s="26" t="inlineStr">
        <is>
          <t>FRBR11</t>
        </is>
      </c>
      <c r="B1572" s="27" t="inlineStr">
        <is>
          <t>FII</t>
        </is>
      </c>
      <c r="C1572" s="27" t="n"/>
      <c r="D1572" s="27" t="n"/>
      <c r="E1572" s="27" t="n"/>
      <c r="F1572" s="27" t="n"/>
      <c r="G1572" s="28" t="inlineStr">
        <is>
          <t>0,00</t>
        </is>
      </c>
      <c r="H1572" s="28" t="n"/>
      <c r="I1572" s="27" t="n"/>
    </row>
    <row r="1573">
      <c r="A1573" s="23" t="inlineStr">
        <is>
          <t>FTCA11</t>
        </is>
      </c>
      <c r="B1573" s="24" t="inlineStr">
        <is>
          <t>FII</t>
        </is>
      </c>
      <c r="C1573" s="24" t="n"/>
      <c r="D1573" s="24" t="n">
        <v>9.550000000000001</v>
      </c>
      <c r="E1573" s="24" t="n"/>
      <c r="F1573" s="24" t="n"/>
      <c r="G1573" s="29" t="inlineStr">
        <is>
          <t>0,00</t>
        </is>
      </c>
      <c r="H1573" s="29" t="n"/>
      <c r="I1573" s="24" t="n"/>
    </row>
    <row r="1574">
      <c r="A1574" s="26" t="inlineStr">
        <is>
          <t>FVBI11</t>
        </is>
      </c>
      <c r="B1574" s="27" t="inlineStr">
        <is>
          <t>FII</t>
        </is>
      </c>
      <c r="C1574" s="27" t="n"/>
      <c r="D1574" s="27" t="n"/>
      <c r="E1574" s="27" t="inlineStr">
        <is>
          <t>13.022.993/0001-44</t>
        </is>
      </c>
      <c r="F1574" s="27" t="n"/>
      <c r="G1574" s="28" t="inlineStr">
        <is>
          <t>0,00</t>
        </is>
      </c>
      <c r="H1574" s="28" t="n"/>
      <c r="I1574" s="27" t="n"/>
    </row>
    <row r="1575">
      <c r="A1575" s="23" t="inlineStr">
        <is>
          <t>FZDA11</t>
        </is>
      </c>
      <c r="B1575" s="24" t="inlineStr">
        <is>
          <t>FII</t>
        </is>
      </c>
      <c r="C1575" s="24" t="n"/>
      <c r="D1575" s="24" t="n">
        <v>130</v>
      </c>
      <c r="E1575" s="24" t="n"/>
      <c r="F1575" s="24" t="n"/>
      <c r="G1575" s="29" t="inlineStr">
        <is>
          <t>0,00</t>
        </is>
      </c>
      <c r="H1575" s="29" t="n"/>
      <c r="I1575" s="24" t="n"/>
    </row>
    <row r="1576">
      <c r="A1576" s="26" t="inlineStr">
        <is>
          <t>FZDB11</t>
        </is>
      </c>
      <c r="B1576" s="27" t="inlineStr">
        <is>
          <t>FII</t>
        </is>
      </c>
      <c r="C1576" s="27" t="n"/>
      <c r="D1576" s="27" t="n">
        <v>146.84</v>
      </c>
      <c r="E1576" s="27" t="n"/>
      <c r="F1576" s="27" t="n"/>
      <c r="G1576" s="28" t="inlineStr">
        <is>
          <t>0,00</t>
        </is>
      </c>
      <c r="H1576" s="28" t="n"/>
      <c r="I1576" s="27" t="n"/>
    </row>
    <row r="1577">
      <c r="A1577" s="23" t="inlineStr">
        <is>
          <t>GALG11</t>
        </is>
      </c>
      <c r="B1577" s="24" t="inlineStr">
        <is>
          <t>FII</t>
        </is>
      </c>
      <c r="C1577" s="24" t="n"/>
      <c r="D1577" s="24" t="n">
        <v>9.08</v>
      </c>
      <c r="E1577" s="24" t="n"/>
      <c r="F1577" s="24" t="n"/>
      <c r="G1577" s="29" t="inlineStr">
        <is>
          <t>0,00</t>
        </is>
      </c>
      <c r="H1577" s="29" t="n"/>
      <c r="I1577" s="24" t="n"/>
    </row>
    <row r="1578">
      <c r="A1578" s="26" t="inlineStr">
        <is>
          <t>GCFF11</t>
        </is>
      </c>
      <c r="B1578" s="27" t="inlineStr">
        <is>
          <t>FII</t>
        </is>
      </c>
      <c r="C1578" s="27" t="n"/>
      <c r="D1578" s="27" t="n"/>
      <c r="E1578" s="27" t="inlineStr">
        <is>
          <t>35.652.154/0001-42</t>
        </is>
      </c>
      <c r="F1578" s="27" t="n"/>
      <c r="G1578" s="28" t="inlineStr">
        <is>
          <t>0,00</t>
        </is>
      </c>
      <c r="H1578" s="28" t="n"/>
      <c r="I1578" s="27" t="n"/>
    </row>
    <row r="1579">
      <c r="A1579" s="23" t="inlineStr">
        <is>
          <t>GCRA11</t>
        </is>
      </c>
      <c r="B1579" s="24" t="inlineStr">
        <is>
          <t>FII</t>
        </is>
      </c>
      <c r="C1579" s="24" t="n"/>
      <c r="D1579" s="24" t="n">
        <v>56.88</v>
      </c>
      <c r="E1579" s="24" t="n"/>
      <c r="F1579" s="24" t="n"/>
      <c r="G1579" s="29" t="inlineStr">
        <is>
          <t>0,00</t>
        </is>
      </c>
      <c r="H1579" s="29" t="n"/>
      <c r="I1579" s="24" t="n"/>
    </row>
    <row r="1580">
      <c r="A1580" s="26" t="inlineStr">
        <is>
          <t>GESE11B</t>
        </is>
      </c>
      <c r="B1580" s="27" t="inlineStr">
        <is>
          <t>FII</t>
        </is>
      </c>
      <c r="C1580" s="27" t="n"/>
      <c r="D1580" s="27" t="n"/>
      <c r="E1580" s="27" t="inlineStr">
        <is>
          <t>17.007.528/0001-95</t>
        </is>
      </c>
      <c r="F1580" s="27" t="n"/>
      <c r="G1580" s="28" t="inlineStr">
        <is>
          <t>0,00</t>
        </is>
      </c>
      <c r="H1580" s="28" t="n"/>
      <c r="I1580" s="27" t="n"/>
    </row>
    <row r="1581">
      <c r="A1581" s="23" t="inlineStr">
        <is>
          <t>GRLV11</t>
        </is>
      </c>
      <c r="B1581" s="24" t="inlineStr">
        <is>
          <t>FII</t>
        </is>
      </c>
      <c r="C1581" s="24" t="n"/>
      <c r="D1581" s="24" t="n">
        <v>145.5</v>
      </c>
      <c r="E1581" s="24" t="inlineStr">
        <is>
          <t>17.143.998/0001-86</t>
        </is>
      </c>
      <c r="F1581" s="24" t="n"/>
      <c r="G1581" s="29" t="inlineStr">
        <is>
          <t>0,00</t>
        </is>
      </c>
      <c r="H1581" s="29" t="n"/>
      <c r="I1581" s="24" t="n"/>
    </row>
    <row r="1582">
      <c r="A1582" s="26" t="inlineStr">
        <is>
          <t>GTLG11</t>
        </is>
      </c>
      <c r="B1582" s="27" t="inlineStr">
        <is>
          <t>FII</t>
        </is>
      </c>
      <c r="C1582" s="27" t="n"/>
      <c r="D1582" s="27" t="n">
        <v>63.99</v>
      </c>
      <c r="E1582" s="27" t="inlineStr">
        <is>
          <t>36.200.677/0001-10</t>
        </is>
      </c>
      <c r="F1582" s="27" t="n"/>
      <c r="G1582" s="28" t="inlineStr">
        <is>
          <t>0,00</t>
        </is>
      </c>
      <c r="H1582" s="28" t="n"/>
      <c r="I1582" s="27" t="n"/>
    </row>
    <row r="1583">
      <c r="A1583" s="23" t="inlineStr">
        <is>
          <t>GURB11</t>
        </is>
      </c>
      <c r="B1583" s="24" t="inlineStr">
        <is>
          <t>FII</t>
        </is>
      </c>
      <c r="C1583" s="24" t="n"/>
      <c r="D1583" s="24" t="n"/>
      <c r="E1583" s="24" t="inlineStr">
        <is>
          <t>36.501.210/0001-00</t>
        </is>
      </c>
      <c r="F1583" s="24" t="n"/>
      <c r="G1583" s="29" t="inlineStr">
        <is>
          <t>0,00</t>
        </is>
      </c>
      <c r="H1583" s="29" t="n"/>
      <c r="I1583" s="24" t="n"/>
    </row>
    <row r="1584">
      <c r="A1584" s="26" t="inlineStr">
        <is>
          <t>GWIR11</t>
        </is>
      </c>
      <c r="B1584" s="27" t="inlineStr">
        <is>
          <t>FII</t>
        </is>
      </c>
      <c r="C1584" s="27" t="n"/>
      <c r="D1584" s="27" t="n">
        <v>175.99</v>
      </c>
      <c r="E1584" s="27" t="n"/>
      <c r="F1584" s="27" t="n"/>
      <c r="G1584" s="28" t="inlineStr">
        <is>
          <t>0,00</t>
        </is>
      </c>
      <c r="H1584" s="28" t="n"/>
      <c r="I1584" s="27" t="n"/>
    </row>
    <row r="1585">
      <c r="A1585" s="23" t="inlineStr">
        <is>
          <t>HBRH11</t>
        </is>
      </c>
      <c r="B1585" s="24" t="inlineStr">
        <is>
          <t>FII</t>
        </is>
      </c>
      <c r="C1585" s="24" t="n"/>
      <c r="D1585" s="24" t="n"/>
      <c r="E1585" s="24" t="inlineStr">
        <is>
          <t>30.871.698/0001-81</t>
        </is>
      </c>
      <c r="F1585" s="24" t="n"/>
      <c r="G1585" s="29" t="inlineStr">
        <is>
          <t>1,79</t>
        </is>
      </c>
      <c r="H1585" s="29" t="n"/>
      <c r="I1585" s="24" t="n"/>
    </row>
    <row r="1586">
      <c r="A1586" s="26" t="inlineStr">
        <is>
          <t>HBTT11</t>
        </is>
      </c>
      <c r="B1586" s="27" t="inlineStr">
        <is>
          <t>FII</t>
        </is>
      </c>
      <c r="C1586" s="27" t="n"/>
      <c r="D1586" s="27" t="n"/>
      <c r="E1586" s="27" t="inlineStr">
        <is>
          <t>26.846.202/0001-42</t>
        </is>
      </c>
      <c r="F1586" s="27" t="n"/>
      <c r="G1586" s="28" t="inlineStr">
        <is>
          <t>0,00</t>
        </is>
      </c>
      <c r="H1586" s="28" t="n"/>
      <c r="I1586" s="27" t="n"/>
    </row>
    <row r="1587">
      <c r="A1587" s="23" t="inlineStr">
        <is>
          <t>HGAG11</t>
        </is>
      </c>
      <c r="B1587" s="24" t="inlineStr">
        <is>
          <t>FII</t>
        </is>
      </c>
      <c r="C1587" s="24" t="n"/>
      <c r="D1587" s="24" t="n">
        <v>11.37</v>
      </c>
      <c r="E1587" s="24" t="n"/>
      <c r="F1587" s="24" t="n"/>
      <c r="G1587" s="29" t="inlineStr">
        <is>
          <t>0,00</t>
        </is>
      </c>
      <c r="H1587" s="29" t="n"/>
      <c r="I1587" s="24" t="n"/>
    </row>
    <row r="1588">
      <c r="A1588" s="26" t="inlineStr">
        <is>
          <t>HGJH11</t>
        </is>
      </c>
      <c r="B1588" s="27" t="inlineStr">
        <is>
          <t>FII</t>
        </is>
      </c>
      <c r="C1588" s="27" t="n"/>
      <c r="D1588" s="27" t="n">
        <v>191.29</v>
      </c>
      <c r="E1588" s="27" t="n"/>
      <c r="F1588" s="27" t="n"/>
      <c r="G1588" s="28" t="inlineStr">
        <is>
          <t>0,00</t>
        </is>
      </c>
      <c r="H1588" s="28" t="n"/>
      <c r="I1588" s="27" t="n"/>
    </row>
    <row r="1589">
      <c r="A1589" s="23" t="inlineStr">
        <is>
          <t>HIRE11</t>
        </is>
      </c>
      <c r="B1589" s="24" t="inlineStr">
        <is>
          <t>FII</t>
        </is>
      </c>
      <c r="C1589" s="24" t="n"/>
      <c r="D1589" s="24" t="n">
        <v>100.36</v>
      </c>
      <c r="E1589" s="24" t="n"/>
      <c r="F1589" s="24" t="n"/>
      <c r="G1589" s="29" t="inlineStr">
        <is>
          <t>0,00</t>
        </is>
      </c>
      <c r="H1589" s="29" t="n"/>
      <c r="I1589" s="24" t="n"/>
    </row>
    <row r="1590">
      <c r="A1590" s="26" t="inlineStr">
        <is>
          <t>HJCT11</t>
        </is>
      </c>
      <c r="B1590" s="27" t="inlineStr">
        <is>
          <t>FII</t>
        </is>
      </c>
      <c r="C1590" s="27" t="n"/>
      <c r="D1590" s="27" t="n">
        <v>115</v>
      </c>
      <c r="E1590" s="27" t="n"/>
      <c r="F1590" s="27" t="n"/>
      <c r="G1590" s="28" t="inlineStr">
        <is>
          <t>0,00</t>
        </is>
      </c>
      <c r="H1590" s="28" t="n"/>
      <c r="I1590" s="27" t="n"/>
    </row>
    <row r="1591">
      <c r="A1591" s="23" t="inlineStr">
        <is>
          <t>HMOC11</t>
        </is>
      </c>
      <c r="B1591" s="24" t="inlineStr">
        <is>
          <t>FII</t>
        </is>
      </c>
      <c r="C1591" s="24" t="n"/>
      <c r="D1591" s="24" t="n">
        <v>226.95</v>
      </c>
      <c r="E1591" s="24" t="inlineStr">
        <is>
          <t>14.733.211/0001-48</t>
        </is>
      </c>
      <c r="F1591" s="24" t="n"/>
      <c r="G1591" s="29" t="inlineStr">
        <is>
          <t>0,00</t>
        </is>
      </c>
      <c r="H1591" s="29" t="n"/>
      <c r="I1591" s="24" t="n"/>
    </row>
    <row r="1592">
      <c r="A1592" s="26" t="inlineStr">
        <is>
          <t>IAAG11</t>
        </is>
      </c>
      <c r="B1592" s="27" t="inlineStr">
        <is>
          <t>FII</t>
        </is>
      </c>
      <c r="C1592" s="27" t="n"/>
      <c r="D1592" s="27" t="n">
        <v>8.57</v>
      </c>
      <c r="E1592" s="27" t="n"/>
      <c r="F1592" s="27" t="n"/>
      <c r="G1592" s="28" t="inlineStr">
        <is>
          <t>0,00</t>
        </is>
      </c>
      <c r="H1592" s="28" t="n"/>
      <c r="I1592" s="27" t="n"/>
    </row>
    <row r="1593">
      <c r="A1593" s="23" t="inlineStr">
        <is>
          <t>IAGR11</t>
        </is>
      </c>
      <c r="B1593" s="24" t="inlineStr">
        <is>
          <t>FII</t>
        </is>
      </c>
      <c r="C1593" s="24" t="n"/>
      <c r="D1593" s="24" t="n">
        <v>4.36</v>
      </c>
      <c r="E1593" s="24" t="n"/>
      <c r="F1593" s="24" t="n"/>
      <c r="G1593" s="29" t="inlineStr">
        <is>
          <t>0,00</t>
        </is>
      </c>
      <c r="H1593" s="29" t="n"/>
      <c r="I1593" s="24" t="n"/>
    </row>
    <row r="1594">
      <c r="A1594" s="26" t="inlineStr">
        <is>
          <t>IBFF11</t>
        </is>
      </c>
      <c r="B1594" s="27" t="inlineStr">
        <is>
          <t>FII</t>
        </is>
      </c>
      <c r="C1594" s="27" t="n"/>
      <c r="D1594" s="27" t="n">
        <v>66.40000000000001</v>
      </c>
      <c r="E1594" s="27" t="inlineStr">
        <is>
          <t>33.721.517/0001-29</t>
        </is>
      </c>
      <c r="F1594" s="27" t="n"/>
      <c r="G1594" s="28" t="inlineStr">
        <is>
          <t>0,00</t>
        </is>
      </c>
      <c r="H1594" s="28" t="n"/>
      <c r="I1594" s="27" t="n"/>
    </row>
    <row r="1595">
      <c r="A1595" s="23" t="inlineStr">
        <is>
          <t>IDFI11</t>
        </is>
      </c>
      <c r="B1595" s="24" t="inlineStr">
        <is>
          <t>FII</t>
        </is>
      </c>
      <c r="C1595" s="24" t="n"/>
      <c r="D1595" s="24" t="n">
        <v>2</v>
      </c>
      <c r="E1595" s="24" t="inlineStr">
        <is>
          <t>32.774.914/0001-04</t>
        </is>
      </c>
      <c r="F1595" s="24" t="n"/>
      <c r="G1595" s="29" t="inlineStr">
        <is>
          <t>0,00</t>
        </is>
      </c>
      <c r="H1595" s="29" t="n"/>
      <c r="I1595" s="24" t="n"/>
    </row>
    <row r="1596">
      <c r="A1596" s="26" t="inlineStr">
        <is>
          <t>IDGR11</t>
        </is>
      </c>
      <c r="B1596" s="27" t="inlineStr">
        <is>
          <t>FII</t>
        </is>
      </c>
      <c r="C1596" s="27" t="n"/>
      <c r="D1596" s="27" t="n"/>
      <c r="E1596" s="27" t="inlineStr">
        <is>
          <t>44.177.538/0001-41</t>
        </is>
      </c>
      <c r="F1596" s="27" t="n"/>
      <c r="G1596" s="28" t="inlineStr">
        <is>
          <t>0,00</t>
        </is>
      </c>
      <c r="H1596" s="28" t="n"/>
      <c r="I1596" s="27" t="n"/>
    </row>
    <row r="1597">
      <c r="A1597" s="23" t="inlineStr">
        <is>
          <t>IFID11</t>
        </is>
      </c>
      <c r="B1597" s="24" t="inlineStr">
        <is>
          <t>FII</t>
        </is>
      </c>
      <c r="C1597" s="24" t="n"/>
      <c r="D1597" s="24" t="n"/>
      <c r="E1597" s="24" t="n"/>
      <c r="F1597" s="24" t="n"/>
      <c r="G1597" s="29" t="inlineStr">
        <is>
          <t>0,00</t>
        </is>
      </c>
      <c r="H1597" s="29" t="n"/>
      <c r="I1597" s="24" t="n"/>
    </row>
    <row r="1598">
      <c r="A1598" s="26" t="inlineStr">
        <is>
          <t>IFIE11</t>
        </is>
      </c>
      <c r="B1598" s="27" t="inlineStr">
        <is>
          <t>FII</t>
        </is>
      </c>
      <c r="C1598" s="27" t="n"/>
      <c r="D1598" s="27" t="n"/>
      <c r="E1598" s="27" t="n"/>
      <c r="F1598" s="27" t="n"/>
      <c r="G1598" s="28" t="inlineStr">
        <is>
          <t>0,00</t>
        </is>
      </c>
      <c r="H1598" s="28" t="n"/>
      <c r="I1598" s="27" t="n"/>
    </row>
    <row r="1599">
      <c r="A1599" s="23" t="inlineStr">
        <is>
          <t>JGPX11</t>
        </is>
      </c>
      <c r="B1599" s="24" t="inlineStr">
        <is>
          <t>FII</t>
        </is>
      </c>
      <c r="C1599" s="24" t="n"/>
      <c r="D1599" s="24" t="n">
        <v>71</v>
      </c>
      <c r="E1599" s="24" t="n"/>
      <c r="F1599" s="24" t="n"/>
      <c r="G1599" s="29" t="inlineStr">
        <is>
          <t>0,00</t>
        </is>
      </c>
      <c r="H1599" s="29" t="n"/>
      <c r="I1599" s="24" t="n"/>
    </row>
    <row r="1600">
      <c r="A1600" s="26" t="inlineStr">
        <is>
          <t>JRDM11</t>
        </is>
      </c>
      <c r="B1600" s="27" t="inlineStr">
        <is>
          <t>FII</t>
        </is>
      </c>
      <c r="C1600" s="27" t="n"/>
      <c r="D1600" s="27" t="n"/>
      <c r="E1600" s="27" t="inlineStr">
        <is>
          <t>14.879.856/0001-93</t>
        </is>
      </c>
      <c r="F1600" s="27" t="n"/>
      <c r="G1600" s="28" t="inlineStr">
        <is>
          <t>0,00</t>
        </is>
      </c>
      <c r="H1600" s="28" t="n"/>
      <c r="I1600" s="27" t="n"/>
    </row>
    <row r="1601">
      <c r="A1601" s="23" t="inlineStr">
        <is>
          <t>KDOL11</t>
        </is>
      </c>
      <c r="B1601" s="24" t="inlineStr">
        <is>
          <t>FII</t>
        </is>
      </c>
      <c r="C1601" s="24" t="n"/>
      <c r="D1601" s="24" t="n">
        <v>89.65000000000001</v>
      </c>
      <c r="E1601" s="24" t="n"/>
      <c r="F1601" s="24" t="n"/>
      <c r="G1601" s="29" t="inlineStr">
        <is>
          <t>0,00</t>
        </is>
      </c>
      <c r="H1601" s="29" t="n"/>
      <c r="I1601" s="24" t="n"/>
    </row>
    <row r="1602">
      <c r="A1602" s="26" t="inlineStr">
        <is>
          <t>KINP11</t>
        </is>
      </c>
      <c r="B1602" s="27" t="inlineStr">
        <is>
          <t>FII</t>
        </is>
      </c>
      <c r="C1602" s="27" t="n"/>
      <c r="D1602" s="27" t="n"/>
      <c r="E1602" s="27" t="inlineStr">
        <is>
          <t>24.070.076/0001-51</t>
        </is>
      </c>
      <c r="F1602" s="27" t="n"/>
      <c r="G1602" s="28" t="inlineStr">
        <is>
          <t>0,00</t>
        </is>
      </c>
      <c r="H1602" s="28" t="n"/>
      <c r="I1602" s="27" t="n"/>
    </row>
    <row r="1603">
      <c r="A1603" s="23" t="inlineStr">
        <is>
          <t>KNCA11</t>
        </is>
      </c>
      <c r="B1603" s="24" t="inlineStr">
        <is>
          <t>FII</t>
        </is>
      </c>
      <c r="C1603" s="24" t="n"/>
      <c r="D1603" s="24" t="n">
        <v>96.3</v>
      </c>
      <c r="E1603" s="24" t="n"/>
      <c r="F1603" s="24" t="n"/>
      <c r="G1603" s="29" t="inlineStr">
        <is>
          <t>0,00</t>
        </is>
      </c>
      <c r="H1603" s="29" t="n"/>
      <c r="I1603" s="24" t="n"/>
    </row>
    <row r="1604">
      <c r="A1604" s="26" t="inlineStr">
        <is>
          <t>KOPA11</t>
        </is>
      </c>
      <c r="B1604" s="27" t="inlineStr">
        <is>
          <t>FII</t>
        </is>
      </c>
      <c r="C1604" s="27" t="n"/>
      <c r="D1604" s="27" t="n">
        <v>588</v>
      </c>
      <c r="E1604" s="27" t="n"/>
      <c r="F1604" s="27" t="n"/>
      <c r="G1604" s="28" t="inlineStr">
        <is>
          <t>0,00</t>
        </is>
      </c>
      <c r="H1604" s="28" t="n"/>
      <c r="I1604" s="27" t="n"/>
    </row>
    <row r="1605">
      <c r="A1605" s="23" t="inlineStr">
        <is>
          <t>LAFI11</t>
        </is>
      </c>
      <c r="B1605" s="24" t="inlineStr">
        <is>
          <t>FII</t>
        </is>
      </c>
      <c r="C1605" s="24" t="n"/>
      <c r="D1605" s="24" t="n">
        <v>118.06</v>
      </c>
      <c r="E1605" s="24" t="n"/>
      <c r="F1605" s="24" t="n"/>
      <c r="G1605" s="29" t="inlineStr">
        <is>
          <t>0,00</t>
        </is>
      </c>
      <c r="H1605" s="29" t="n"/>
      <c r="I1605" s="24" t="n"/>
    </row>
    <row r="1606">
      <c r="A1606" s="26" t="inlineStr">
        <is>
          <t>LATR11B</t>
        </is>
      </c>
      <c r="B1606" s="27" t="inlineStr">
        <is>
          <t>FII</t>
        </is>
      </c>
      <c r="C1606" s="27" t="n"/>
      <c r="D1606" s="27" t="n"/>
      <c r="E1606" s="27" t="inlineStr">
        <is>
          <t>17.209.378/0001-00</t>
        </is>
      </c>
      <c r="F1606" s="27" t="n"/>
      <c r="G1606" s="28" t="inlineStr">
        <is>
          <t>0,00</t>
        </is>
      </c>
      <c r="H1606" s="28" t="n"/>
      <c r="I1606" s="27" t="n"/>
    </row>
    <row r="1607">
      <c r="A1607" s="23" t="inlineStr">
        <is>
          <t>LGCP11</t>
        </is>
      </c>
      <c r="B1607" s="24" t="inlineStr">
        <is>
          <t>FII</t>
        </is>
      </c>
      <c r="C1607" s="24" t="n"/>
      <c r="D1607" s="24" t="n"/>
      <c r="E1607" s="24" t="n"/>
      <c r="F1607" s="24" t="n"/>
      <c r="G1607" s="29" t="inlineStr">
        <is>
          <t>0,00</t>
        </is>
      </c>
      <c r="H1607" s="29" t="n"/>
      <c r="I1607" s="24" t="n"/>
    </row>
    <row r="1608">
      <c r="A1608" s="26" t="inlineStr">
        <is>
          <t>LMAI11</t>
        </is>
      </c>
      <c r="B1608" s="27" t="inlineStr">
        <is>
          <t>FII</t>
        </is>
      </c>
      <c r="C1608" s="27" t="n"/>
      <c r="D1608" s="27" t="n">
        <v>37</v>
      </c>
      <c r="E1608" s="27" t="inlineStr">
        <is>
          <t>17.374.696/0001-19</t>
        </is>
      </c>
      <c r="F1608" s="27" t="n"/>
      <c r="G1608" s="28" t="inlineStr">
        <is>
          <t>14,52</t>
        </is>
      </c>
      <c r="H1608" s="28" t="n"/>
      <c r="I1608" s="27" t="n"/>
    </row>
    <row r="1609">
      <c r="A1609" s="23" t="inlineStr">
        <is>
          <t>LOFT11B</t>
        </is>
      </c>
      <c r="B1609" s="24" t="inlineStr">
        <is>
          <t>FII</t>
        </is>
      </c>
      <c r="C1609" s="24" t="n"/>
      <c r="D1609" s="24" t="n">
        <v>29.9</v>
      </c>
      <c r="E1609" s="24" t="inlineStr">
        <is>
          <t>19.722.048/0001-31</t>
        </is>
      </c>
      <c r="F1609" s="24" t="n"/>
      <c r="G1609" s="29" t="inlineStr">
        <is>
          <t>0,00</t>
        </is>
      </c>
      <c r="H1609" s="29" t="n"/>
      <c r="I1609" s="24" t="n"/>
    </row>
    <row r="1610">
      <c r="A1610" s="26" t="inlineStr">
        <is>
          <t>LSAG11</t>
        </is>
      </c>
      <c r="B1610" s="27" t="inlineStr">
        <is>
          <t>FII</t>
        </is>
      </c>
      <c r="C1610" s="27" t="n"/>
      <c r="D1610" s="27" t="n">
        <v>83</v>
      </c>
      <c r="E1610" s="27" t="n"/>
      <c r="F1610" s="27" t="n"/>
      <c r="G1610" s="28" t="inlineStr">
        <is>
          <t>0,00</t>
        </is>
      </c>
      <c r="H1610" s="28" t="n"/>
      <c r="I1610" s="27" t="n"/>
    </row>
    <row r="1611">
      <c r="A1611" s="23" t="inlineStr">
        <is>
          <t>LSOP11</t>
        </is>
      </c>
      <c r="B1611" s="24" t="inlineStr">
        <is>
          <t>FII</t>
        </is>
      </c>
      <c r="C1611" s="24" t="n"/>
      <c r="D1611" s="24" t="n">
        <v>10.35</v>
      </c>
      <c r="E1611" s="24" t="n"/>
      <c r="F1611" s="24" t="n"/>
      <c r="G1611" s="29" t="inlineStr">
        <is>
          <t>0,00</t>
        </is>
      </c>
      <c r="H1611" s="29" t="n"/>
      <c r="I1611" s="24" t="n"/>
    </row>
    <row r="1612">
      <c r="A1612" s="26" t="inlineStr">
        <is>
          <t>LSPA11</t>
        </is>
      </c>
      <c r="B1612" s="27" t="inlineStr">
        <is>
          <t>FII</t>
        </is>
      </c>
      <c r="C1612" s="27" t="n"/>
      <c r="D1612" s="27" t="n">
        <v>24.01</v>
      </c>
      <c r="E1612" s="27" t="inlineStr">
        <is>
          <t>31.847.293/0001-70</t>
        </is>
      </c>
      <c r="F1612" s="27" t="n"/>
      <c r="G1612" s="28" t="inlineStr">
        <is>
          <t>0,00</t>
        </is>
      </c>
      <c r="H1612" s="28" t="n"/>
      <c r="I1612" s="27" t="n"/>
    </row>
    <row r="1613">
      <c r="A1613" s="23" t="inlineStr">
        <is>
          <t>LUGG11</t>
        </is>
      </c>
      <c r="B1613" s="24" t="inlineStr">
        <is>
          <t>FII</t>
        </is>
      </c>
      <c r="C1613" s="24" t="n"/>
      <c r="D1613" s="24" t="n"/>
      <c r="E1613" s="24" t="n"/>
      <c r="F1613" s="24" t="n"/>
      <c r="G1613" s="29" t="inlineStr">
        <is>
          <t>0,00</t>
        </is>
      </c>
      <c r="H1613" s="29" t="n"/>
      <c r="I1613" s="24" t="n"/>
    </row>
    <row r="1614">
      <c r="A1614" s="26" t="inlineStr">
        <is>
          <t>MALL11</t>
        </is>
      </c>
      <c r="B1614" s="27" t="inlineStr">
        <is>
          <t>FII</t>
        </is>
      </c>
      <c r="C1614" s="27" t="n"/>
      <c r="D1614" s="27" t="n"/>
      <c r="E1614" s="27" t="n"/>
      <c r="F1614" s="27" t="n"/>
      <c r="G1614" s="28" t="inlineStr">
        <is>
          <t>0,00</t>
        </is>
      </c>
      <c r="H1614" s="28" t="n"/>
      <c r="I1614" s="27" t="n"/>
    </row>
    <row r="1615">
      <c r="A1615" s="23" t="inlineStr">
        <is>
          <t>MATV11</t>
        </is>
      </c>
      <c r="B1615" s="24" t="inlineStr">
        <is>
          <t>FII</t>
        </is>
      </c>
      <c r="C1615" s="24" t="n"/>
      <c r="D1615" s="24" t="n">
        <v>86.63</v>
      </c>
      <c r="E1615" s="24" t="inlineStr">
        <is>
          <t>41.076.678/0001-35</t>
        </is>
      </c>
      <c r="F1615" s="24" t="n"/>
      <c r="G1615" s="29" t="inlineStr">
        <is>
          <t>0,00</t>
        </is>
      </c>
      <c r="H1615" s="29" t="n"/>
      <c r="I1615" s="24" t="n"/>
    </row>
    <row r="1616">
      <c r="A1616" s="26" t="inlineStr">
        <is>
          <t>MBRF11</t>
        </is>
      </c>
      <c r="B1616" s="27" t="inlineStr">
        <is>
          <t>FII</t>
        </is>
      </c>
      <c r="C1616" s="27" t="n"/>
      <c r="D1616" s="27" t="n">
        <v>369.4</v>
      </c>
      <c r="E1616" s="27" t="n"/>
      <c r="F1616" s="27" t="n"/>
      <c r="G1616" s="28" t="inlineStr">
        <is>
          <t>0,00</t>
        </is>
      </c>
      <c r="H1616" s="28" t="n"/>
      <c r="I1616" s="27" t="n"/>
    </row>
    <row r="1617">
      <c r="A1617" s="23" t="inlineStr">
        <is>
          <t>MCHF11</t>
        </is>
      </c>
      <c r="B1617" s="24" t="inlineStr">
        <is>
          <t>FII</t>
        </is>
      </c>
      <c r="C1617" s="24" t="n"/>
      <c r="D1617" s="24" t="n"/>
      <c r="E1617" s="24" t="inlineStr">
        <is>
          <t>36.642.139/0001-86</t>
        </is>
      </c>
      <c r="F1617" s="24" t="n"/>
      <c r="G1617" s="29" t="inlineStr">
        <is>
          <t>0,00</t>
        </is>
      </c>
      <c r="H1617" s="29" t="n"/>
      <c r="I1617" s="24" t="n"/>
    </row>
    <row r="1618">
      <c r="A1618" s="26" t="inlineStr">
        <is>
          <t>MCHY11</t>
        </is>
      </c>
      <c r="B1618" s="27" t="inlineStr">
        <is>
          <t>FII</t>
        </is>
      </c>
      <c r="C1618" s="27" t="n"/>
      <c r="D1618" s="27" t="n"/>
      <c r="E1618" s="27" t="n"/>
      <c r="F1618" s="27" t="n"/>
      <c r="G1618" s="28" t="inlineStr">
        <is>
          <t>0,00</t>
        </is>
      </c>
      <c r="H1618" s="28" t="n"/>
      <c r="I1618" s="27" t="n"/>
    </row>
    <row r="1619">
      <c r="A1619" s="23" t="inlineStr">
        <is>
          <t>MFAI11</t>
        </is>
      </c>
      <c r="B1619" s="24" t="inlineStr">
        <is>
          <t>FII</t>
        </is>
      </c>
      <c r="C1619" s="24" t="n"/>
      <c r="D1619" s="24" t="n"/>
      <c r="E1619" s="24" t="inlineStr">
        <is>
          <t>32.397.369/0001-76</t>
        </is>
      </c>
      <c r="F1619" s="24" t="n"/>
      <c r="G1619" s="29" t="inlineStr">
        <is>
          <t>0,00</t>
        </is>
      </c>
      <c r="H1619" s="29" t="n"/>
      <c r="I1619" s="24" t="n"/>
    </row>
    <row r="1620">
      <c r="A1620" s="26" t="inlineStr">
        <is>
          <t>MFCR11</t>
        </is>
      </c>
      <c r="B1620" s="27" t="inlineStr">
        <is>
          <t>FII</t>
        </is>
      </c>
      <c r="C1620" s="27" t="n"/>
      <c r="D1620" s="27" t="n">
        <v>24.6</v>
      </c>
      <c r="E1620" s="27" t="inlineStr">
        <is>
          <t>45.403.337/0001-88</t>
        </is>
      </c>
      <c r="F1620" s="27" t="n"/>
      <c r="G1620" s="28" t="inlineStr">
        <is>
          <t>0,00</t>
        </is>
      </c>
      <c r="H1620" s="28" t="n"/>
      <c r="I1620" s="27" t="n"/>
    </row>
    <row r="1621">
      <c r="A1621" s="23" t="inlineStr">
        <is>
          <t>MGCR11</t>
        </is>
      </c>
      <c r="B1621" s="24" t="inlineStr">
        <is>
          <t>FII</t>
        </is>
      </c>
      <c r="C1621" s="24" t="n"/>
      <c r="D1621" s="24" t="n">
        <v>9.4</v>
      </c>
      <c r="E1621" s="24" t="inlineStr">
        <is>
          <t>35.652.204/0001-91</t>
        </is>
      </c>
      <c r="F1621" s="24" t="n"/>
      <c r="G1621" s="29" t="inlineStr">
        <is>
          <t>0,00</t>
        </is>
      </c>
      <c r="H1621" s="29" t="n"/>
      <c r="I1621" s="24" t="n"/>
    </row>
    <row r="1622">
      <c r="A1622" s="26" t="inlineStr">
        <is>
          <t>MGFF11</t>
        </is>
      </c>
      <c r="B1622" s="27" t="inlineStr">
        <is>
          <t>FII</t>
        </is>
      </c>
      <c r="C1622" s="27" t="n"/>
      <c r="D1622" s="27" t="n"/>
      <c r="E1622" s="27" t="inlineStr">
        <is>
          <t>29.216.463/0001-77</t>
        </is>
      </c>
      <c r="F1622" s="27" t="n"/>
      <c r="G1622" s="28" t="inlineStr">
        <is>
          <t>0,00</t>
        </is>
      </c>
      <c r="H1622" s="28" t="n"/>
      <c r="I1622" s="27" t="n"/>
    </row>
    <row r="1623">
      <c r="A1623" s="23" t="inlineStr">
        <is>
          <t>MGIM11</t>
        </is>
      </c>
      <c r="B1623" s="24" t="inlineStr">
        <is>
          <t>FII</t>
        </is>
      </c>
      <c r="C1623" s="24" t="n"/>
      <c r="D1623" s="24" t="n">
        <v>101.5</v>
      </c>
      <c r="E1623" s="24" t="inlineStr">
        <is>
          <t>36.642.099/0001-72</t>
        </is>
      </c>
      <c r="F1623" s="24" t="n"/>
      <c r="G1623" s="29" t="inlineStr">
        <is>
          <t>0,00</t>
        </is>
      </c>
      <c r="H1623" s="29" t="n"/>
      <c r="I1623" s="24" t="n"/>
    </row>
    <row r="1624">
      <c r="A1624" s="26" t="inlineStr">
        <is>
          <t>MGLG11</t>
        </is>
      </c>
      <c r="B1624" s="27" t="inlineStr">
        <is>
          <t>FII</t>
        </is>
      </c>
      <c r="C1624" s="27" t="n"/>
      <c r="D1624" s="27" t="n"/>
      <c r="E1624" s="27" t="n"/>
      <c r="F1624" s="27" t="n"/>
      <c r="G1624" s="28" t="inlineStr">
        <is>
          <t>0,00</t>
        </is>
      </c>
      <c r="H1624" s="28" t="n"/>
      <c r="I1624" s="27" t="n"/>
    </row>
    <row r="1625">
      <c r="A1625" s="23" t="inlineStr">
        <is>
          <t>MINT11</t>
        </is>
      </c>
      <c r="B1625" s="24" t="inlineStr">
        <is>
          <t>FII</t>
        </is>
      </c>
      <c r="C1625" s="24" t="n"/>
      <c r="D1625" s="24" t="n"/>
      <c r="E1625" s="24" t="inlineStr">
        <is>
          <t>19.872.887/0001-36</t>
        </is>
      </c>
      <c r="F1625" s="24" t="n"/>
      <c r="G1625" s="29" t="inlineStr">
        <is>
          <t>0,00</t>
        </is>
      </c>
      <c r="H1625" s="29" t="n"/>
      <c r="I1625" s="24" t="n"/>
    </row>
    <row r="1626">
      <c r="A1626" s="26" t="inlineStr">
        <is>
          <t>MORC11</t>
        </is>
      </c>
      <c r="B1626" s="27" t="inlineStr">
        <is>
          <t>FII</t>
        </is>
      </c>
      <c r="C1626" s="27" t="n"/>
      <c r="D1626" s="27" t="n"/>
      <c r="E1626" s="27" t="inlineStr">
        <is>
          <t>40.102.474/0001-69</t>
        </is>
      </c>
      <c r="F1626" s="27" t="n"/>
      <c r="G1626" s="28" t="inlineStr">
        <is>
          <t>0,00</t>
        </is>
      </c>
      <c r="H1626" s="28" t="n"/>
      <c r="I1626" s="27" t="n"/>
    </row>
    <row r="1627">
      <c r="A1627" s="23" t="inlineStr">
        <is>
          <t>MORE11</t>
        </is>
      </c>
      <c r="B1627" s="24" t="inlineStr">
        <is>
          <t>FII</t>
        </is>
      </c>
      <c r="C1627" s="24" t="n"/>
      <c r="D1627" s="24" t="n"/>
      <c r="E1627" s="24" t="inlineStr">
        <is>
          <t>34.197.727/0001-22</t>
        </is>
      </c>
      <c r="F1627" s="24" t="n"/>
      <c r="G1627" s="29" t="inlineStr">
        <is>
          <t>0,00</t>
        </is>
      </c>
      <c r="H1627" s="29" t="n"/>
      <c r="I1627" s="24" t="n"/>
    </row>
    <row r="1628">
      <c r="A1628" s="26" t="inlineStr">
        <is>
          <t>NCHB11B</t>
        </is>
      </c>
      <c r="B1628" s="27" t="inlineStr">
        <is>
          <t>FII</t>
        </is>
      </c>
      <c r="C1628" s="27" t="n"/>
      <c r="D1628" s="27" t="n">
        <v>131.268</v>
      </c>
      <c r="E1628" s="27" t="n"/>
      <c r="F1628" s="27" t="n"/>
      <c r="G1628" s="28" t="inlineStr">
        <is>
          <t>0,00</t>
        </is>
      </c>
      <c r="H1628" s="28" t="n"/>
      <c r="I1628" s="27" t="n"/>
    </row>
    <row r="1629">
      <c r="A1629" s="23" t="inlineStr">
        <is>
          <t>NCRA11</t>
        </is>
      </c>
      <c r="B1629" s="24" t="inlineStr">
        <is>
          <t>FII</t>
        </is>
      </c>
      <c r="C1629" s="24" t="n"/>
      <c r="D1629" s="24" t="n"/>
      <c r="E1629" s="24" t="n"/>
      <c r="F1629" s="24" t="n"/>
      <c r="G1629" s="29" t="inlineStr">
        <is>
          <t>0,00</t>
        </is>
      </c>
      <c r="H1629" s="29" t="n"/>
      <c r="I1629" s="24" t="n"/>
    </row>
    <row r="1630">
      <c r="A1630" s="26" t="inlineStr">
        <is>
          <t>NEXG11</t>
        </is>
      </c>
      <c r="B1630" s="27" t="inlineStr">
        <is>
          <t>FII</t>
        </is>
      </c>
      <c r="C1630" s="27" t="n"/>
      <c r="D1630" s="27" t="n">
        <v>129</v>
      </c>
      <c r="E1630" s="27" t="n"/>
      <c r="F1630" s="27" t="n"/>
      <c r="G1630" s="28" t="inlineStr">
        <is>
          <t>0,00</t>
        </is>
      </c>
      <c r="H1630" s="28" t="n"/>
      <c r="I1630" s="27" t="n"/>
    </row>
    <row r="1631">
      <c r="A1631" s="23" t="inlineStr">
        <is>
          <t>NPAR11</t>
        </is>
      </c>
      <c r="B1631" s="24" t="inlineStr">
        <is>
          <t>FII</t>
        </is>
      </c>
      <c r="C1631" s="24" t="n"/>
      <c r="D1631" s="24" t="n"/>
      <c r="E1631" s="24" t="inlineStr">
        <is>
          <t>52.966.340/0001-75</t>
        </is>
      </c>
      <c r="F1631" s="24" t="n"/>
      <c r="G1631" s="29" t="inlineStr">
        <is>
          <t>0,00</t>
        </is>
      </c>
      <c r="H1631" s="29" t="n"/>
      <c r="I1631" s="24" t="n"/>
    </row>
    <row r="1632">
      <c r="A1632" s="26" t="inlineStr">
        <is>
          <t>OGHY11</t>
        </is>
      </c>
      <c r="B1632" s="27" t="inlineStr">
        <is>
          <t>FII</t>
        </is>
      </c>
      <c r="C1632" s="27" t="n"/>
      <c r="D1632" s="27" t="n">
        <v>8.720000000000001</v>
      </c>
      <c r="E1632" s="27" t="inlineStr">
        <is>
          <t>47.240.631/0001-41</t>
        </is>
      </c>
      <c r="F1632" s="27" t="n"/>
      <c r="G1632" s="28" t="inlineStr">
        <is>
          <t>0,00</t>
        </is>
      </c>
      <c r="H1632" s="28" t="n"/>
      <c r="I1632" s="27" t="n"/>
    </row>
    <row r="1633">
      <c r="A1633" s="23" t="inlineStr">
        <is>
          <t>OIAG11</t>
        </is>
      </c>
      <c r="B1633" s="24" t="inlineStr">
        <is>
          <t>FII</t>
        </is>
      </c>
      <c r="C1633" s="24" t="n"/>
      <c r="D1633" s="24" t="n">
        <v>9.43</v>
      </c>
      <c r="E1633" s="24" t="n"/>
      <c r="F1633" s="24" t="n"/>
      <c r="G1633" s="29" t="inlineStr">
        <is>
          <t>0,00</t>
        </is>
      </c>
      <c r="H1633" s="29" t="n"/>
      <c r="I1633" s="24" t="n"/>
    </row>
    <row r="1634">
      <c r="A1634" s="26" t="inlineStr">
        <is>
          <t>ONDA11</t>
        </is>
      </c>
      <c r="B1634" s="27" t="inlineStr">
        <is>
          <t>FII</t>
        </is>
      </c>
      <c r="C1634" s="27" t="n"/>
      <c r="D1634" s="27" t="n">
        <v>9.24</v>
      </c>
      <c r="E1634" s="27" t="inlineStr">
        <is>
          <t>52.966.340/0001-75</t>
        </is>
      </c>
      <c r="F1634" s="27" t="n"/>
      <c r="G1634" s="28" t="inlineStr">
        <is>
          <t>14,32</t>
        </is>
      </c>
      <c r="H1634" s="28" t="n"/>
      <c r="I1634" s="27" t="n"/>
    </row>
    <row r="1635">
      <c r="A1635" s="23" t="inlineStr">
        <is>
          <t>ONEF11</t>
        </is>
      </c>
      <c r="B1635" s="24" t="inlineStr">
        <is>
          <t>FII</t>
        </is>
      </c>
      <c r="C1635" s="24" t="n"/>
      <c r="D1635" s="24" t="n">
        <v>200.03</v>
      </c>
      <c r="E1635" s="24" t="inlineStr">
        <is>
          <t>12.948.291/0001-23</t>
        </is>
      </c>
      <c r="F1635" s="24" t="n"/>
      <c r="G1635" s="29" t="inlineStr">
        <is>
          <t>0,00</t>
        </is>
      </c>
      <c r="H1635" s="29" t="n"/>
      <c r="I1635" s="24" t="n"/>
    </row>
    <row r="1636">
      <c r="A1636" s="26" t="inlineStr">
        <is>
          <t>ORPD11</t>
        </is>
      </c>
      <c r="B1636" s="27" t="inlineStr">
        <is>
          <t>FII</t>
        </is>
      </c>
      <c r="C1636" s="27" t="n"/>
      <c r="D1636" s="27" t="n"/>
      <c r="E1636" s="27" t="inlineStr">
        <is>
          <t>19.107.604/0001-60</t>
        </is>
      </c>
      <c r="F1636" s="27" t="n"/>
      <c r="G1636" s="28" t="inlineStr">
        <is>
          <t>0,00</t>
        </is>
      </c>
      <c r="H1636" s="28" t="n"/>
      <c r="I1636" s="27" t="n"/>
    </row>
    <row r="1637">
      <c r="A1637" s="23" t="inlineStr">
        <is>
          <t>OUCY11</t>
        </is>
      </c>
      <c r="B1637" s="24" t="inlineStr">
        <is>
          <t>FII</t>
        </is>
      </c>
      <c r="C1637" s="24" t="n"/>
      <c r="D1637" s="24" t="n"/>
      <c r="E1637" s="24" t="n"/>
      <c r="F1637" s="24" t="n"/>
      <c r="G1637" s="29" t="inlineStr">
        <is>
          <t>0,00</t>
        </is>
      </c>
      <c r="H1637" s="29" t="n"/>
      <c r="I1637" s="24" t="n"/>
    </row>
    <row r="1638">
      <c r="A1638" s="26" t="inlineStr">
        <is>
          <t>OUFF11</t>
        </is>
      </c>
      <c r="B1638" s="27" t="inlineStr">
        <is>
          <t>FII</t>
        </is>
      </c>
      <c r="C1638" s="27" t="n"/>
      <c r="D1638" s="27" t="n">
        <v>61.1</v>
      </c>
      <c r="E1638" s="27" t="inlineStr">
        <is>
          <t>30.791.386/0001-68</t>
        </is>
      </c>
      <c r="F1638" s="27" t="n"/>
      <c r="G1638" s="28" t="inlineStr">
        <is>
          <t>0,00</t>
        </is>
      </c>
      <c r="H1638" s="28" t="n"/>
      <c r="I1638" s="27" t="n"/>
    </row>
    <row r="1639">
      <c r="A1639" s="23" t="inlineStr">
        <is>
          <t>OURE11</t>
        </is>
      </c>
      <c r="B1639" s="24" t="inlineStr">
        <is>
          <t>FII</t>
        </is>
      </c>
      <c r="C1639" s="24" t="n"/>
      <c r="D1639" s="24" t="n">
        <v>78.2</v>
      </c>
      <c r="E1639" s="24" t="inlineStr">
        <is>
          <t>28.516.650/0001-03</t>
        </is>
      </c>
      <c r="F1639" s="24" t="n"/>
      <c r="G1639" s="29" t="inlineStr">
        <is>
          <t>0,00</t>
        </is>
      </c>
      <c r="H1639" s="29" t="n"/>
      <c r="I1639" s="24" t="n"/>
    </row>
    <row r="1640">
      <c r="A1640" s="26" t="inlineStr">
        <is>
          <t>OXRL11</t>
        </is>
      </c>
      <c r="B1640" s="27" t="inlineStr">
        <is>
          <t>FII</t>
        </is>
      </c>
      <c r="C1640" s="27" t="n"/>
      <c r="D1640" s="27" t="n">
        <v>126.42</v>
      </c>
      <c r="E1640" s="27" t="n"/>
      <c r="F1640" s="27" t="n"/>
      <c r="G1640" s="28" t="inlineStr">
        <is>
          <t>0,00</t>
        </is>
      </c>
      <c r="H1640" s="28" t="n"/>
      <c r="I1640" s="27" t="n"/>
    </row>
    <row r="1641">
      <c r="A1641" s="23" t="inlineStr">
        <is>
          <t>PDDA11B</t>
        </is>
      </c>
      <c r="B1641" s="24" t="inlineStr">
        <is>
          <t>FII</t>
        </is>
      </c>
      <c r="C1641" s="24" t="n"/>
      <c r="D1641" s="24" t="n"/>
      <c r="E1641" s="24" t="n"/>
      <c r="F1641" s="24" t="n"/>
      <c r="G1641" s="29" t="inlineStr">
        <is>
          <t>0,00</t>
        </is>
      </c>
      <c r="H1641" s="29" t="n"/>
      <c r="I1641" s="24" t="n"/>
    </row>
    <row r="1642">
      <c r="A1642" s="26" t="inlineStr">
        <is>
          <t>PLCA11</t>
        </is>
      </c>
      <c r="B1642" s="27" t="inlineStr">
        <is>
          <t>FII</t>
        </is>
      </c>
      <c r="C1642" s="27" t="n"/>
      <c r="D1642" s="27" t="n">
        <v>79.16</v>
      </c>
      <c r="E1642" s="27" t="n"/>
      <c r="F1642" s="27" t="n"/>
      <c r="G1642" s="28" t="inlineStr">
        <is>
          <t>0,00</t>
        </is>
      </c>
      <c r="H1642" s="28" t="n"/>
      <c r="I1642" s="27" t="n"/>
    </row>
    <row r="1643">
      <c r="A1643" s="23" t="inlineStr">
        <is>
          <t>PLOG11</t>
        </is>
      </c>
      <c r="B1643" s="24" t="inlineStr">
        <is>
          <t>FII</t>
        </is>
      </c>
      <c r="C1643" s="24" t="n"/>
      <c r="D1643" s="24" t="n"/>
      <c r="E1643" s="24" t="n"/>
      <c r="F1643" s="24" t="n"/>
      <c r="G1643" s="29" t="inlineStr">
        <is>
          <t>0,00</t>
        </is>
      </c>
      <c r="H1643" s="29" t="n"/>
      <c r="I1643" s="24" t="n"/>
    </row>
    <row r="1644">
      <c r="A1644" s="26" t="inlineStr">
        <is>
          <t>PMRL11</t>
        </is>
      </c>
      <c r="B1644" s="27" t="inlineStr">
        <is>
          <t>FII</t>
        </is>
      </c>
      <c r="C1644" s="27" t="n"/>
      <c r="D1644" s="27" t="n">
        <v>102.44</v>
      </c>
      <c r="E1644" s="27" t="inlineStr">
        <is>
          <t>63.492.653/0001-55</t>
        </is>
      </c>
      <c r="F1644" s="27" t="n"/>
      <c r="G1644" s="28" t="inlineStr">
        <is>
          <t>0,56</t>
        </is>
      </c>
      <c r="H1644" s="28" t="n"/>
      <c r="I1644" s="27" t="n"/>
    </row>
    <row r="1645">
      <c r="A1645" s="23" t="inlineStr">
        <is>
          <t>PSEC11</t>
        </is>
      </c>
      <c r="B1645" s="24" t="inlineStr">
        <is>
          <t>FII</t>
        </is>
      </c>
      <c r="C1645" s="24" t="n"/>
      <c r="D1645" s="24" t="n">
        <v>62.81</v>
      </c>
      <c r="E1645" s="24" t="inlineStr">
        <is>
          <t>35.507.457/0001-71</t>
        </is>
      </c>
      <c r="F1645" s="24" t="n"/>
      <c r="G1645" s="29" t="inlineStr">
        <is>
          <t>13,10</t>
        </is>
      </c>
      <c r="H1645" s="29" t="n"/>
      <c r="I1645" s="24" t="n"/>
    </row>
    <row r="1646">
      <c r="A1646" s="26" t="inlineStr">
        <is>
          <t>PURB11</t>
        </is>
      </c>
      <c r="B1646" s="27" t="inlineStr">
        <is>
          <t>FII</t>
        </is>
      </c>
      <c r="C1646" s="27" t="n"/>
      <c r="D1646" s="27" t="n">
        <v>95.09999999999999</v>
      </c>
      <c r="E1646" s="27" t="n"/>
      <c r="F1646" s="27" t="n"/>
      <c r="G1646" s="28" t="inlineStr">
        <is>
          <t>0,00</t>
        </is>
      </c>
      <c r="H1646" s="28" t="n"/>
      <c r="I1646" s="27" t="n"/>
    </row>
    <row r="1647">
      <c r="A1647" s="23" t="inlineStr">
        <is>
          <t>QAGR11</t>
        </is>
      </c>
      <c r="B1647" s="24" t="inlineStr">
        <is>
          <t>FII</t>
        </is>
      </c>
      <c r="C1647" s="24" t="n"/>
      <c r="D1647" s="24" t="n"/>
      <c r="E1647" s="24" t="n"/>
      <c r="F1647" s="24" t="n"/>
      <c r="G1647" s="29" t="inlineStr">
        <is>
          <t>0,00</t>
        </is>
      </c>
      <c r="H1647" s="29" t="n"/>
      <c r="I1647" s="24" t="n"/>
    </row>
    <row r="1648">
      <c r="A1648" s="26" t="inlineStr">
        <is>
          <t>QAMI11</t>
        </is>
      </c>
      <c r="B1648" s="27" t="inlineStr">
        <is>
          <t>FII</t>
        </is>
      </c>
      <c r="C1648" s="27" t="n"/>
      <c r="D1648" s="27" t="n"/>
      <c r="E1648" s="27" t="inlineStr">
        <is>
          <t>32.400.264/0001-29</t>
        </is>
      </c>
      <c r="F1648" s="27" t="n"/>
      <c r="G1648" s="28" t="inlineStr">
        <is>
          <t>0,00</t>
        </is>
      </c>
      <c r="H1648" s="28" t="n"/>
      <c r="I1648" s="27" t="n"/>
    </row>
    <row r="1649">
      <c r="A1649" s="23" t="inlineStr">
        <is>
          <t>QIFF11</t>
        </is>
      </c>
      <c r="B1649" s="24" t="inlineStr">
        <is>
          <t>FII</t>
        </is>
      </c>
      <c r="C1649" s="24" t="n"/>
      <c r="D1649" s="24" t="n"/>
      <c r="E1649" s="24" t="n"/>
      <c r="F1649" s="24" t="n"/>
      <c r="G1649" s="29" t="inlineStr">
        <is>
          <t>0,00</t>
        </is>
      </c>
      <c r="H1649" s="29" t="n"/>
      <c r="I1649" s="24" t="n"/>
    </row>
    <row r="1650">
      <c r="A1650" s="26" t="inlineStr">
        <is>
          <t>QIRI11</t>
        </is>
      </c>
      <c r="B1650" s="27" t="inlineStr">
        <is>
          <t>FII</t>
        </is>
      </c>
      <c r="C1650" s="27" t="n"/>
      <c r="D1650" s="27" t="n"/>
      <c r="E1650" s="27" t="inlineStr">
        <is>
          <t>34.736.432/0001-87</t>
        </is>
      </c>
      <c r="F1650" s="27" t="n"/>
      <c r="G1650" s="28" t="inlineStr">
        <is>
          <t>0,00</t>
        </is>
      </c>
      <c r="H1650" s="28" t="n"/>
      <c r="I1650" s="27" t="n"/>
    </row>
    <row r="1651">
      <c r="A1651" s="23" t="inlineStr">
        <is>
          <t>QMFF11</t>
        </is>
      </c>
      <c r="B1651" s="24" t="inlineStr">
        <is>
          <t>FII</t>
        </is>
      </c>
      <c r="C1651" s="24" t="n"/>
      <c r="D1651" s="24" t="n"/>
      <c r="E1651" s="24" t="n"/>
      <c r="F1651" s="24" t="n"/>
      <c r="G1651" s="29" t="inlineStr">
        <is>
          <t>0,00</t>
        </is>
      </c>
      <c r="H1651" s="29" t="n"/>
      <c r="I1651" s="24" t="n"/>
    </row>
    <row r="1652">
      <c r="A1652" s="26" t="inlineStr">
        <is>
          <t>RBBV11</t>
        </is>
      </c>
      <c r="B1652" s="27" t="inlineStr">
        <is>
          <t>FII</t>
        </is>
      </c>
      <c r="C1652" s="27" t="n"/>
      <c r="D1652" s="27" t="n">
        <v>100</v>
      </c>
      <c r="E1652" s="27" t="inlineStr">
        <is>
          <t>16.915.868/0001-51</t>
        </is>
      </c>
      <c r="F1652" s="27" t="n"/>
      <c r="G1652" s="28" t="inlineStr">
        <is>
          <t>0,00</t>
        </is>
      </c>
      <c r="H1652" s="28" t="n"/>
      <c r="I1652" s="27" t="n"/>
    </row>
    <row r="1653">
      <c r="A1653" s="23" t="inlineStr">
        <is>
          <t>RBCO11</t>
        </is>
      </c>
      <c r="B1653" s="24" t="inlineStr">
        <is>
          <t>FII</t>
        </is>
      </c>
      <c r="C1653" s="24" t="n"/>
      <c r="D1653" s="24" t="n">
        <v>44</v>
      </c>
      <c r="E1653" s="24" t="n"/>
      <c r="F1653" s="24" t="n"/>
      <c r="G1653" s="29" t="inlineStr">
        <is>
          <t>0,00</t>
        </is>
      </c>
      <c r="H1653" s="29" t="n"/>
      <c r="I1653" s="24" t="n"/>
    </row>
    <row r="1654">
      <c r="A1654" s="26" t="inlineStr">
        <is>
          <t>RBED11</t>
        </is>
      </c>
      <c r="B1654" s="27" t="inlineStr">
        <is>
          <t>FII</t>
        </is>
      </c>
      <c r="C1654" s="27" t="n"/>
      <c r="D1654" s="27" t="n">
        <v>94.03</v>
      </c>
      <c r="E1654" s="27" t="inlineStr">
        <is>
          <t>13.873.457/0001-52</t>
        </is>
      </c>
      <c r="F1654" s="27" t="n"/>
      <c r="G1654" s="28" t="inlineStr">
        <is>
          <t>0,00</t>
        </is>
      </c>
      <c r="H1654" s="28" t="n"/>
      <c r="I1654" s="27" t="n"/>
    </row>
    <row r="1655">
      <c r="A1655" s="23" t="inlineStr">
        <is>
          <t>RBFM11</t>
        </is>
      </c>
      <c r="B1655" s="24" t="inlineStr">
        <is>
          <t>FII</t>
        </is>
      </c>
      <c r="C1655" s="24" t="n"/>
      <c r="D1655" s="24" t="n">
        <v>11.3</v>
      </c>
      <c r="E1655" s="24" t="inlineStr">
        <is>
          <t>17.329.029/0001-14</t>
        </is>
      </c>
      <c r="F1655" s="24" t="n"/>
      <c r="G1655" s="29" t="inlineStr">
        <is>
          <t>12,01</t>
        </is>
      </c>
      <c r="H1655" s="29" t="n"/>
      <c r="I1655" s="24" t="n"/>
    </row>
    <row r="1656">
      <c r="A1656" s="26" t="inlineStr">
        <is>
          <t>RBFY11</t>
        </is>
      </c>
      <c r="B1656" s="27" t="inlineStr">
        <is>
          <t>FII</t>
        </is>
      </c>
      <c r="C1656" s="27" t="n"/>
      <c r="D1656" s="27" t="n">
        <v>75</v>
      </c>
      <c r="E1656" s="27" t="inlineStr">
        <is>
          <t>62.662.477/0001-90</t>
        </is>
      </c>
      <c r="F1656" s="27" t="n"/>
      <c r="G1656" s="28" t="inlineStr">
        <is>
          <t>0,75</t>
        </is>
      </c>
      <c r="H1656" s="28" t="n"/>
      <c r="I1656" s="27" t="n"/>
    </row>
    <row r="1657">
      <c r="A1657" s="23" t="inlineStr">
        <is>
          <t>RBGS11</t>
        </is>
      </c>
      <c r="B1657" s="24" t="inlineStr">
        <is>
          <t>FII</t>
        </is>
      </c>
      <c r="C1657" s="24" t="n"/>
      <c r="D1657" s="24" t="n">
        <v>28.45</v>
      </c>
      <c r="E1657" s="24" t="inlineStr">
        <is>
          <t>13.652.006/0001-95</t>
        </is>
      </c>
      <c r="F1657" s="24" t="n"/>
      <c r="G1657" s="29" t="inlineStr">
        <is>
          <t>0,00</t>
        </is>
      </c>
      <c r="H1657" s="29" t="n"/>
      <c r="I1657" s="24" t="n"/>
    </row>
    <row r="1658">
      <c r="A1658" s="26" t="inlineStr">
        <is>
          <t>RBIV11</t>
        </is>
      </c>
      <c r="B1658" s="27" t="inlineStr">
        <is>
          <t>FII</t>
        </is>
      </c>
      <c r="C1658" s="27" t="n"/>
      <c r="D1658" s="27" t="n"/>
      <c r="E1658" s="27" t="n"/>
      <c r="F1658" s="27" t="n"/>
      <c r="G1658" s="28" t="inlineStr">
        <is>
          <t>0,00</t>
        </is>
      </c>
      <c r="H1658" s="28" t="n"/>
      <c r="I1658" s="27" t="n"/>
    </row>
    <row r="1659">
      <c r="A1659" s="23" t="inlineStr">
        <is>
          <t>RBRM11</t>
        </is>
      </c>
      <c r="B1659" s="24" t="inlineStr">
        <is>
          <t>FII</t>
        </is>
      </c>
      <c r="C1659" s="24" t="n"/>
      <c r="D1659" s="24" t="n">
        <v>160000</v>
      </c>
      <c r="E1659" s="24" t="inlineStr">
        <is>
          <t>26.314.437/0001-93</t>
        </is>
      </c>
      <c r="F1659" s="24" t="n"/>
      <c r="G1659" s="29" t="inlineStr">
        <is>
          <t>0,00</t>
        </is>
      </c>
      <c r="H1659" s="29" t="n"/>
      <c r="I1659" s="24" t="n"/>
    </row>
    <row r="1660">
      <c r="A1660" s="26" t="inlineStr">
        <is>
          <t>RBVO11</t>
        </is>
      </c>
      <c r="B1660" s="27" t="inlineStr">
        <is>
          <t>FII</t>
        </is>
      </c>
      <c r="C1660" s="27" t="n"/>
      <c r="D1660" s="27" t="n"/>
      <c r="E1660" s="27" t="inlineStr">
        <is>
          <t>15.769.670/0001-44</t>
        </is>
      </c>
      <c r="F1660" s="27" t="n"/>
      <c r="G1660" s="28" t="inlineStr">
        <is>
          <t>0,00</t>
        </is>
      </c>
      <c r="H1660" s="28" t="n"/>
      <c r="I1660" s="27" t="n"/>
    </row>
    <row r="1661">
      <c r="A1661" s="23" t="inlineStr">
        <is>
          <t>RDES11</t>
        </is>
      </c>
      <c r="B1661" s="24" t="inlineStr">
        <is>
          <t>FII</t>
        </is>
      </c>
      <c r="C1661" s="24" t="n"/>
      <c r="D1661" s="24" t="n">
        <v>58</v>
      </c>
      <c r="E1661" s="24" t="n"/>
      <c r="F1661" s="24" t="n"/>
      <c r="G1661" s="29" t="inlineStr">
        <is>
          <t>0,00</t>
        </is>
      </c>
      <c r="H1661" s="29" t="n"/>
      <c r="I1661" s="24" t="n"/>
    </row>
    <row r="1662">
      <c r="A1662" s="26" t="inlineStr">
        <is>
          <t>RDPD11</t>
        </is>
      </c>
      <c r="B1662" s="27" t="inlineStr">
        <is>
          <t>FII</t>
        </is>
      </c>
      <c r="C1662" s="27" t="n"/>
      <c r="D1662" s="27" t="n"/>
      <c r="E1662" s="27" t="n"/>
      <c r="F1662" s="27" t="n"/>
      <c r="G1662" s="28" t="inlineStr">
        <is>
          <t>0,00</t>
        </is>
      </c>
      <c r="H1662" s="28" t="n"/>
      <c r="I1662" s="27" t="n"/>
    </row>
    <row r="1663">
      <c r="A1663" s="23" t="inlineStr">
        <is>
          <t>RECX11</t>
        </is>
      </c>
      <c r="B1663" s="24" t="inlineStr">
        <is>
          <t>FII</t>
        </is>
      </c>
      <c r="C1663" s="24" t="n"/>
      <c r="D1663" s="24" t="n">
        <v>67.98999999999999</v>
      </c>
      <c r="E1663" s="24" t="inlineStr">
        <is>
          <t>36.642.356/0001-76</t>
        </is>
      </c>
      <c r="F1663" s="24" t="n"/>
      <c r="G1663" s="29" t="inlineStr">
        <is>
          <t>0,00</t>
        </is>
      </c>
      <c r="H1663" s="29" t="n"/>
      <c r="I1663" s="24" t="n"/>
    </row>
    <row r="1664">
      <c r="A1664" s="26" t="inlineStr">
        <is>
          <t>RNDP11</t>
        </is>
      </c>
      <c r="B1664" s="27" t="inlineStr">
        <is>
          <t>FII</t>
        </is>
      </c>
      <c r="C1664" s="27" t="n"/>
      <c r="D1664" s="27" t="n"/>
      <c r="E1664" s="27" t="inlineStr">
        <is>
          <t>15.394.563/0001-89</t>
        </is>
      </c>
      <c r="F1664" s="27" t="n"/>
      <c r="G1664" s="28" t="inlineStr">
        <is>
          <t>0,00</t>
        </is>
      </c>
      <c r="H1664" s="28" t="n"/>
      <c r="I1664" s="27" t="n"/>
    </row>
    <row r="1665">
      <c r="A1665" s="23" t="inlineStr">
        <is>
          <t>RZAG11</t>
        </is>
      </c>
      <c r="B1665" s="24" t="inlineStr">
        <is>
          <t>FII</t>
        </is>
      </c>
      <c r="C1665" s="24" t="n"/>
      <c r="D1665" s="24" t="n">
        <v>9.06</v>
      </c>
      <c r="E1665" s="24" t="n"/>
      <c r="F1665" s="24" t="n"/>
      <c r="G1665" s="29" t="inlineStr">
        <is>
          <t>0,00</t>
        </is>
      </c>
      <c r="H1665" s="29" t="n"/>
      <c r="I1665" s="24" t="n"/>
    </row>
    <row r="1666">
      <c r="A1666" s="26" t="inlineStr">
        <is>
          <t>RZDM11</t>
        </is>
      </c>
      <c r="B1666" s="27" t="inlineStr">
        <is>
          <t>FII</t>
        </is>
      </c>
      <c r="C1666" s="27" t="n"/>
      <c r="D1666" s="27" t="n"/>
      <c r="E1666" s="27" t="inlineStr">
        <is>
          <t>45.742.247/0001-11</t>
        </is>
      </c>
      <c r="F1666" s="27" t="n"/>
      <c r="G1666" s="28" t="inlineStr">
        <is>
          <t>0,00</t>
        </is>
      </c>
      <c r="H1666" s="28" t="n"/>
      <c r="I1666" s="27" t="n"/>
    </row>
    <row r="1667">
      <c r="A1667" s="23" t="inlineStr">
        <is>
          <t>RZEO11</t>
        </is>
      </c>
      <c r="B1667" s="24" t="inlineStr">
        <is>
          <t>FII</t>
        </is>
      </c>
      <c r="C1667" s="24" t="n"/>
      <c r="D1667" s="24" t="n">
        <v>190</v>
      </c>
      <c r="E1667" s="24" t="n"/>
      <c r="F1667" s="24" t="n"/>
      <c r="G1667" s="29" t="inlineStr">
        <is>
          <t>0,00</t>
        </is>
      </c>
      <c r="H1667" s="29" t="n"/>
      <c r="I1667" s="24" t="n"/>
    </row>
    <row r="1668">
      <c r="A1668" s="26" t="inlineStr">
        <is>
          <t>SDIL11</t>
        </is>
      </c>
      <c r="B1668" s="27" t="inlineStr">
        <is>
          <t>FII</t>
        </is>
      </c>
      <c r="C1668" s="27" t="n"/>
      <c r="D1668" s="27" t="n">
        <v>96.5</v>
      </c>
      <c r="E1668" s="27" t="n"/>
      <c r="F1668" s="27" t="n"/>
      <c r="G1668" s="28" t="inlineStr">
        <is>
          <t>0,00</t>
        </is>
      </c>
      <c r="H1668" s="28" t="n"/>
      <c r="I1668" s="27" t="n"/>
    </row>
    <row r="1669">
      <c r="A1669" s="23" t="inlineStr">
        <is>
          <t>SDIP11</t>
        </is>
      </c>
      <c r="B1669" s="24" t="inlineStr">
        <is>
          <t>FII</t>
        </is>
      </c>
      <c r="C1669" s="24" t="n"/>
      <c r="D1669" s="24" t="n"/>
      <c r="E1669" s="24" t="n"/>
      <c r="F1669" s="24" t="n"/>
      <c r="G1669" s="29" t="inlineStr">
        <is>
          <t>0,00</t>
        </is>
      </c>
      <c r="H1669" s="29" t="n"/>
      <c r="I1669" s="24" t="n"/>
    </row>
    <row r="1670">
      <c r="A1670" s="26" t="inlineStr">
        <is>
          <t>SHDP11B</t>
        </is>
      </c>
      <c r="B1670" s="27" t="inlineStr">
        <is>
          <t>FII</t>
        </is>
      </c>
      <c r="C1670" s="27" t="n"/>
      <c r="D1670" s="27" t="n"/>
      <c r="E1670" s="27" t="inlineStr">
        <is>
          <t>07.224.019/0001-60</t>
        </is>
      </c>
      <c r="F1670" s="27" t="n"/>
      <c r="G1670" s="28" t="inlineStr">
        <is>
          <t>0,00</t>
        </is>
      </c>
      <c r="H1670" s="28" t="n"/>
      <c r="I1670" s="27" t="n"/>
    </row>
    <row r="1671">
      <c r="A1671" s="23" t="inlineStr">
        <is>
          <t>SIGR11</t>
        </is>
      </c>
      <c r="B1671" s="24" t="inlineStr">
        <is>
          <t>FII</t>
        </is>
      </c>
      <c r="C1671" s="24" t="n"/>
      <c r="D1671" s="24" t="n"/>
      <c r="E1671" s="24" t="inlineStr">
        <is>
          <t>40.011.324/0001-40</t>
        </is>
      </c>
      <c r="F1671" s="24" t="n"/>
      <c r="G1671" s="29" t="inlineStr">
        <is>
          <t>0,00</t>
        </is>
      </c>
      <c r="H1671" s="29" t="n"/>
      <c r="I1671" s="24" t="n"/>
    </row>
    <row r="1672">
      <c r="A1672" s="26" t="inlineStr">
        <is>
          <t>SNCR11</t>
        </is>
      </c>
      <c r="B1672" s="27" t="inlineStr">
        <is>
          <t>FII</t>
        </is>
      </c>
      <c r="C1672" s="27" t="n"/>
      <c r="D1672" s="27" t="n"/>
      <c r="E1672" s="27" t="n"/>
      <c r="F1672" s="27" t="n"/>
      <c r="G1672" s="28" t="inlineStr">
        <is>
          <t>0,00</t>
        </is>
      </c>
      <c r="H1672" s="28" t="n"/>
      <c r="I1672" s="27" t="n"/>
    </row>
    <row r="1673">
      <c r="A1673" s="23" t="inlineStr">
        <is>
          <t>SNFZ11</t>
        </is>
      </c>
      <c r="B1673" s="24" t="inlineStr">
        <is>
          <t>FII</t>
        </is>
      </c>
      <c r="C1673" s="24" t="n"/>
      <c r="D1673" s="24" t="n">
        <v>9.75</v>
      </c>
      <c r="E1673" s="24" t="n"/>
      <c r="F1673" s="24" t="n"/>
      <c r="G1673" s="29" t="inlineStr">
        <is>
          <t>0,00</t>
        </is>
      </c>
      <c r="H1673" s="29" t="n"/>
      <c r="I1673" s="24" t="n"/>
    </row>
    <row r="1674">
      <c r="A1674" s="26" t="inlineStr">
        <is>
          <t>SRVD11</t>
        </is>
      </c>
      <c r="B1674" s="27" t="inlineStr">
        <is>
          <t>FII</t>
        </is>
      </c>
      <c r="C1674" s="27" t="n"/>
      <c r="D1674" s="27" t="n">
        <v>3</v>
      </c>
      <c r="E1674" s="27" t="inlineStr">
        <is>
          <t>38.082.796/0001-41</t>
        </is>
      </c>
      <c r="F1674" s="27" t="n"/>
      <c r="G1674" s="28" t="inlineStr">
        <is>
          <t>0,00</t>
        </is>
      </c>
      <c r="H1674" s="28" t="n"/>
      <c r="I1674" s="27" t="n"/>
    </row>
    <row r="1675">
      <c r="A1675" s="23" t="inlineStr">
        <is>
          <t>TBOF11</t>
        </is>
      </c>
      <c r="B1675" s="24" t="inlineStr">
        <is>
          <t>FII</t>
        </is>
      </c>
      <c r="C1675" s="24" t="n"/>
      <c r="D1675" s="24" t="n">
        <v>101.5</v>
      </c>
      <c r="E1675" s="24" t="inlineStr">
        <is>
          <t>17.365.105/0001-47</t>
        </is>
      </c>
      <c r="F1675" s="24" t="n"/>
      <c r="G1675" s="29" t="inlineStr">
        <is>
          <t>0,00</t>
        </is>
      </c>
      <c r="H1675" s="29" t="n"/>
      <c r="I1675" s="24" t="n"/>
    </row>
    <row r="1676">
      <c r="A1676" s="26" t="inlineStr">
        <is>
          <t>THRA11</t>
        </is>
      </c>
      <c r="B1676" s="27" t="inlineStr">
        <is>
          <t>FII</t>
        </is>
      </c>
      <c r="C1676" s="27" t="n"/>
      <c r="D1676" s="27" t="n">
        <v>138.5</v>
      </c>
      <c r="E1676" s="27" t="inlineStr">
        <is>
          <t>13.966.653/0001-71</t>
        </is>
      </c>
      <c r="F1676" s="27" t="n"/>
      <c r="G1676" s="28" t="inlineStr">
        <is>
          <t>0,00</t>
        </is>
      </c>
      <c r="H1676" s="28" t="n"/>
      <c r="I1676" s="27" t="n"/>
    </row>
    <row r="1677">
      <c r="A1677" s="23" t="inlineStr">
        <is>
          <t>TOUR11</t>
        </is>
      </c>
      <c r="B1677" s="24" t="inlineStr">
        <is>
          <t>FII</t>
        </is>
      </c>
      <c r="C1677" s="24" t="n"/>
      <c r="D1677" s="24" t="n"/>
      <c r="E1677" s="24" t="inlineStr">
        <is>
          <t>30.578.316/0001-26</t>
        </is>
      </c>
      <c r="F1677" s="24" t="n"/>
      <c r="G1677" s="29" t="inlineStr">
        <is>
          <t>0,00</t>
        </is>
      </c>
      <c r="H1677" s="29" t="n"/>
      <c r="I1677" s="24" t="n"/>
    </row>
    <row r="1678">
      <c r="A1678" s="26" t="inlineStr">
        <is>
          <t>TRCO11</t>
        </is>
      </c>
      <c r="B1678" s="27" t="inlineStr">
        <is>
          <t>FII</t>
        </is>
      </c>
      <c r="C1678" s="27" t="n"/>
      <c r="D1678" s="27" t="n">
        <v>10.2</v>
      </c>
      <c r="E1678" s="27" t="n"/>
      <c r="F1678" s="27" t="n"/>
      <c r="G1678" s="28" t="inlineStr">
        <is>
          <t>0,00</t>
        </is>
      </c>
      <c r="H1678" s="28" t="n"/>
      <c r="I1678" s="27" t="n"/>
    </row>
    <row r="1679">
      <c r="A1679" s="23" t="inlineStr">
        <is>
          <t>TRXL11</t>
        </is>
      </c>
      <c r="B1679" s="24" t="inlineStr">
        <is>
          <t>FII</t>
        </is>
      </c>
      <c r="C1679" s="24" t="n"/>
      <c r="D1679" s="24" t="n"/>
      <c r="E1679" s="24" t="n"/>
      <c r="F1679" s="24" t="n"/>
      <c r="G1679" s="29" t="inlineStr">
        <is>
          <t>0,00</t>
        </is>
      </c>
      <c r="H1679" s="29" t="n"/>
      <c r="I1679" s="24" t="n"/>
    </row>
    <row r="1680">
      <c r="A1680" s="26" t="inlineStr">
        <is>
          <t>UBSR11</t>
        </is>
      </c>
      <c r="B1680" s="27" t="inlineStr">
        <is>
          <t>FII</t>
        </is>
      </c>
      <c r="C1680" s="27" t="n"/>
      <c r="D1680" s="27" t="n">
        <v>102.5</v>
      </c>
      <c r="E1680" s="27" t="n"/>
      <c r="F1680" s="27" t="n"/>
      <c r="G1680" s="28" t="inlineStr">
        <is>
          <t>0,00</t>
        </is>
      </c>
      <c r="H1680" s="28" t="n"/>
      <c r="I1680" s="27" t="n"/>
    </row>
    <row r="1681">
      <c r="A1681" s="23" t="inlineStr">
        <is>
          <t>VCRA11</t>
        </is>
      </c>
      <c r="B1681" s="24" t="inlineStr">
        <is>
          <t>FII</t>
        </is>
      </c>
      <c r="C1681" s="24" t="n"/>
      <c r="D1681" s="24" t="n">
        <v>65.3</v>
      </c>
      <c r="E1681" s="24" t="n"/>
      <c r="F1681" s="24" t="n"/>
      <c r="G1681" s="29" t="inlineStr">
        <is>
          <t>0,00</t>
        </is>
      </c>
      <c r="H1681" s="29" t="n"/>
      <c r="I1681" s="24" t="n"/>
    </row>
    <row r="1682">
      <c r="A1682" s="26" t="inlineStr">
        <is>
          <t>VHFA11</t>
        </is>
      </c>
      <c r="B1682" s="27" t="inlineStr">
        <is>
          <t>FII</t>
        </is>
      </c>
      <c r="C1682" s="27" t="n"/>
      <c r="D1682" s="27" t="n">
        <v>10.53</v>
      </c>
      <c r="E1682" s="27" t="n"/>
      <c r="F1682" s="27" t="n"/>
      <c r="G1682" s="28" t="inlineStr">
        <is>
          <t>0,00</t>
        </is>
      </c>
      <c r="H1682" s="28" t="n"/>
      <c r="I1682" s="27" t="n"/>
    </row>
    <row r="1683">
      <c r="A1683" s="23" t="inlineStr">
        <is>
          <t>VLOL11</t>
        </is>
      </c>
      <c r="B1683" s="24" t="inlineStr">
        <is>
          <t>FII</t>
        </is>
      </c>
      <c r="C1683" s="24" t="n"/>
      <c r="D1683" s="24" t="n"/>
      <c r="E1683" s="24" t="inlineStr">
        <is>
          <t>15.296.696/0001-12</t>
        </is>
      </c>
      <c r="F1683" s="24" t="n"/>
      <c r="G1683" s="29" t="inlineStr">
        <is>
          <t>0,00</t>
        </is>
      </c>
      <c r="H1683" s="29" t="n"/>
      <c r="I1683" s="24" t="n"/>
    </row>
    <row r="1684">
      <c r="A1684" s="26" t="inlineStr">
        <is>
          <t>VSEC11</t>
        </is>
      </c>
      <c r="B1684" s="27" t="inlineStr">
        <is>
          <t>FII</t>
        </is>
      </c>
      <c r="C1684" s="27" t="n"/>
      <c r="D1684" s="27" t="n"/>
      <c r="E1684" s="27" t="inlineStr">
        <is>
          <t>10.347.505/0001-80</t>
        </is>
      </c>
      <c r="F1684" s="27" t="n"/>
      <c r="G1684" s="28" t="inlineStr">
        <is>
          <t>0,00</t>
        </is>
      </c>
      <c r="H1684" s="28" t="n"/>
      <c r="I1684" s="27" t="n"/>
    </row>
    <row r="1685">
      <c r="A1685" s="23" t="inlineStr">
        <is>
          <t>VVPR11</t>
        </is>
      </c>
      <c r="B1685" s="24" t="inlineStr">
        <is>
          <t>FII</t>
        </is>
      </c>
      <c r="C1685" s="24" t="n"/>
      <c r="D1685" s="24" t="n">
        <v>101.5</v>
      </c>
      <c r="E1685" s="24" t="inlineStr">
        <is>
          <t>33.045.581/0001-37</t>
        </is>
      </c>
      <c r="F1685" s="24" t="n"/>
      <c r="G1685" s="29" t="inlineStr">
        <is>
          <t>0,00</t>
        </is>
      </c>
      <c r="H1685" s="29" t="n"/>
      <c r="I1685" s="24" t="n"/>
    </row>
    <row r="1686">
      <c r="A1686" s="26" t="inlineStr">
        <is>
          <t>XLPR11</t>
        </is>
      </c>
      <c r="B1686" s="27" t="inlineStr">
        <is>
          <t>FII</t>
        </is>
      </c>
      <c r="C1686" s="27" t="n"/>
      <c r="D1686" s="27" t="n">
        <v>79.5</v>
      </c>
      <c r="E1686" s="27" t="inlineStr">
        <is>
          <t>35.689.733/0001-60</t>
        </is>
      </c>
      <c r="F1686" s="27" t="n"/>
      <c r="G1686" s="28" t="inlineStr">
        <is>
          <t>11,21</t>
        </is>
      </c>
      <c r="H1686" s="28" t="n"/>
      <c r="I1686" s="27" t="n"/>
    </row>
    <row r="1687">
      <c r="A1687" s="23" t="inlineStr">
        <is>
          <t>XPCA11</t>
        </is>
      </c>
      <c r="B1687" s="24" t="inlineStr">
        <is>
          <t>FII</t>
        </is>
      </c>
      <c r="C1687" s="24" t="n"/>
      <c r="D1687" s="24" t="n">
        <v>8.73</v>
      </c>
      <c r="E1687" s="24" t="n"/>
      <c r="F1687" s="24" t="n"/>
      <c r="G1687" s="29" t="inlineStr">
        <is>
          <t>0,00</t>
        </is>
      </c>
      <c r="H1687" s="29" t="n"/>
      <c r="I1687" s="24" t="n"/>
    </row>
    <row r="1688">
      <c r="A1688" s="26" t="inlineStr">
        <is>
          <t>XPHT11</t>
        </is>
      </c>
      <c r="B1688" s="27" t="inlineStr">
        <is>
          <t>FII</t>
        </is>
      </c>
      <c r="C1688" s="27" t="n"/>
      <c r="D1688" s="27" t="n">
        <v>123</v>
      </c>
      <c r="E1688" s="27" t="n"/>
      <c r="F1688" s="27" t="n"/>
      <c r="G1688" s="28" t="inlineStr">
        <is>
          <t>0,00</t>
        </is>
      </c>
      <c r="H1688" s="28" t="n"/>
      <c r="I1688" s="27" t="n"/>
    </row>
    <row r="1689">
      <c r="A1689" s="23" t="inlineStr">
        <is>
          <t>XPPR11</t>
        </is>
      </c>
      <c r="B1689" s="24" t="inlineStr">
        <is>
          <t>FII</t>
        </is>
      </c>
      <c r="C1689" s="24" t="n"/>
      <c r="D1689" s="24" t="n"/>
      <c r="E1689" s="24" t="n"/>
      <c r="F1689" s="24" t="n"/>
      <c r="G1689" s="29" t="inlineStr">
        <is>
          <t>0,00</t>
        </is>
      </c>
      <c r="H1689" s="29" t="n"/>
      <c r="I1689" s="24" t="n"/>
    </row>
    <row r="1690">
      <c r="A1690" s="26" t="inlineStr">
        <is>
          <t>XTED11</t>
        </is>
      </c>
      <c r="B1690" s="27" t="inlineStr">
        <is>
          <t>FII</t>
        </is>
      </c>
      <c r="C1690" s="27" t="n"/>
      <c r="D1690" s="27" t="n"/>
      <c r="E1690" s="27" t="n"/>
      <c r="F1690" s="27" t="n"/>
      <c r="G1690" s="28" t="inlineStr">
        <is>
          <t>0,00</t>
        </is>
      </c>
      <c r="H1690" s="28" t="n"/>
      <c r="I1690" s="27" t="n"/>
    </row>
    <row r="1691">
      <c r="A1691" s="23" t="inlineStr">
        <is>
          <t>YCHY11</t>
        </is>
      </c>
      <c r="B1691" s="24" t="inlineStr">
        <is>
          <t>FII</t>
        </is>
      </c>
      <c r="C1691" s="24" t="n"/>
      <c r="D1691" s="24" t="n">
        <v>1000</v>
      </c>
      <c r="E1691" s="24" t="n"/>
      <c r="F1691" s="24" t="n"/>
      <c r="G1691" s="29" t="inlineStr">
        <is>
          <t>0,00</t>
        </is>
      </c>
      <c r="H1691" s="29" t="n"/>
      <c r="I1691" s="24" t="n"/>
    </row>
    <row r="1692">
      <c r="A1692" s="26" t="inlineStr">
        <is>
          <t>AVBH34</t>
        </is>
      </c>
      <c r="B1692" s="27" t="inlineStr">
        <is>
          <t>BDR</t>
        </is>
      </c>
      <c r="C1692" s="27" t="n"/>
      <c r="D1692" s="27" t="n"/>
      <c r="E1692" s="27" t="n"/>
      <c r="F1692" s="27" t="n"/>
      <c r="G1692" s="28" t="n"/>
      <c r="H1692" s="28" t="n"/>
      <c r="I1692" s="27" t="inlineStr">
        <is>
          <t>AVALONBAY CO DRN</t>
        </is>
      </c>
    </row>
    <row r="1693">
      <c r="A1693" s="23" t="n"/>
      <c r="B1693" s="24" t="n"/>
      <c r="C1693" s="24" t="n"/>
      <c r="D1693" s="24" t="n"/>
      <c r="E1693" s="24" t="n"/>
      <c r="F1693" s="24" t="n"/>
      <c r="G1693" s="29" t="n"/>
      <c r="H1693" s="29" t="n"/>
      <c r="I1693" s="24" t="n"/>
    </row>
    <row r="1694">
      <c r="A1694" s="26" t="n"/>
      <c r="B1694" s="27" t="n"/>
      <c r="C1694" s="27" t="n"/>
      <c r="D1694" s="27" t="n"/>
      <c r="E1694" s="27" t="n"/>
      <c r="F1694" s="27" t="n"/>
      <c r="G1694" s="28" t="n"/>
      <c r="H1694" s="28" t="n"/>
      <c r="I1694" s="27" t="n"/>
    </row>
    <row r="1695">
      <c r="A1695" s="23" t="n"/>
      <c r="B1695" s="24" t="n"/>
      <c r="C1695" s="24" t="n"/>
      <c r="D1695" s="24" t="n"/>
      <c r="E1695" s="24" t="n"/>
      <c r="F1695" s="24" t="n"/>
      <c r="G1695" s="29" t="n"/>
      <c r="H1695" s="29" t="n"/>
      <c r="I1695" s="24" t="n"/>
    </row>
    <row r="1696">
      <c r="A1696" s="26" t="n"/>
      <c r="B1696" s="27" t="n"/>
      <c r="C1696" s="27" t="n"/>
      <c r="D1696" s="27" t="n"/>
      <c r="E1696" s="27" t="n"/>
      <c r="F1696" s="27" t="n"/>
      <c r="G1696" s="28" t="n"/>
      <c r="H1696" s="28" t="n"/>
      <c r="I1696" s="27" t="n"/>
    </row>
    <row r="1697">
      <c r="A1697" s="23" t="n"/>
      <c r="B1697" s="24" t="n"/>
      <c r="C1697" s="24" t="n"/>
      <c r="D1697" s="24" t="n"/>
      <c r="E1697" s="24" t="n"/>
      <c r="F1697" s="24" t="n"/>
      <c r="G1697" s="29" t="n"/>
      <c r="H1697" s="29" t="n"/>
      <c r="I1697" s="24" t="n"/>
    </row>
    <row r="1698">
      <c r="A1698" s="26" t="n"/>
      <c r="B1698" s="27" t="n"/>
      <c r="C1698" s="27" t="n"/>
      <c r="D1698" s="27" t="n"/>
      <c r="E1698" s="27" t="n"/>
      <c r="F1698" s="27" t="n"/>
      <c r="G1698" s="28" t="n"/>
      <c r="H1698" s="28" t="n"/>
      <c r="I1698" s="27" t="n"/>
    </row>
    <row r="1699">
      <c r="A1699" s="23" t="n"/>
      <c r="B1699" s="24" t="n"/>
      <c r="C1699" s="24" t="n"/>
      <c r="D1699" s="24" t="n"/>
      <c r="E1699" s="24" t="n"/>
      <c r="F1699" s="24" t="n"/>
      <c r="G1699" s="29" t="n"/>
      <c r="H1699" s="29" t="n"/>
      <c r="I1699" s="24" t="n"/>
    </row>
    <row r="1700">
      <c r="A1700" s="26" t="n"/>
      <c r="B1700" s="27" t="n"/>
      <c r="C1700" s="27" t="n"/>
      <c r="D1700" s="27" t="n"/>
      <c r="E1700" s="27" t="n"/>
      <c r="F1700" s="27" t="n"/>
      <c r="G1700" s="28" t="n"/>
      <c r="H1700" s="28" t="n"/>
      <c r="I1700" s="27" t="n"/>
    </row>
    <row r="1701">
      <c r="A1701" s="23" t="n"/>
      <c r="B1701" s="24" t="n"/>
      <c r="C1701" s="24" t="n"/>
      <c r="D1701" s="24" t="n"/>
      <c r="E1701" s="24" t="n"/>
      <c r="F1701" s="24" t="n"/>
      <c r="G1701" s="29" t="n"/>
      <c r="H1701" s="29" t="n"/>
      <c r="I1701" s="24" t="n"/>
    </row>
    <row r="1702">
      <c r="A1702" s="26" t="n"/>
      <c r="B1702" s="27" t="n"/>
      <c r="C1702" s="27" t="n"/>
      <c r="D1702" s="27" t="n"/>
      <c r="E1702" s="27" t="n"/>
      <c r="F1702" s="27" t="n"/>
      <c r="G1702" s="28" t="n"/>
      <c r="H1702" s="28" t="n"/>
      <c r="I1702" s="27" t="n"/>
    </row>
    <row r="1703">
      <c r="A1703" s="23" t="n"/>
      <c r="B1703" s="24" t="n"/>
      <c r="C1703" s="24" t="n"/>
      <c r="D1703" s="24" t="n"/>
      <c r="E1703" s="24" t="n"/>
      <c r="F1703" s="24" t="n"/>
      <c r="G1703" s="29" t="n"/>
      <c r="H1703" s="29" t="n"/>
      <c r="I1703" s="24" t="n"/>
    </row>
    <row r="1704">
      <c r="A1704" s="26" t="n"/>
      <c r="B1704" s="27" t="n"/>
      <c r="C1704" s="27" t="n"/>
      <c r="D1704" s="27" t="n"/>
      <c r="E1704" s="27" t="n"/>
      <c r="F1704" s="27" t="n"/>
      <c r="G1704" s="28" t="n"/>
      <c r="H1704" s="28" t="n"/>
      <c r="I1704" s="27" t="n"/>
    </row>
    <row r="1705">
      <c r="A1705" s="23" t="n"/>
      <c r="B1705" s="24" t="n"/>
      <c r="C1705" s="24" t="n"/>
      <c r="D1705" s="24" t="n"/>
      <c r="E1705" s="24" t="n"/>
      <c r="F1705" s="24" t="n"/>
      <c r="G1705" s="29" t="n"/>
      <c r="H1705" s="29" t="n"/>
      <c r="I1705" s="24" t="n"/>
    </row>
    <row r="1706">
      <c r="A1706" s="26" t="n"/>
      <c r="B1706" s="27" t="n"/>
      <c r="C1706" s="27" t="n"/>
      <c r="D1706" s="27" t="n"/>
      <c r="E1706" s="27" t="n"/>
      <c r="F1706" s="27" t="n"/>
      <c r="G1706" s="28" t="n"/>
      <c r="H1706" s="28" t="n"/>
      <c r="I1706" s="27" t="n"/>
    </row>
    <row r="1707">
      <c r="A1707" s="23" t="n"/>
      <c r="B1707" s="24" t="n"/>
      <c r="C1707" s="24" t="n"/>
      <c r="D1707" s="24" t="n"/>
      <c r="E1707" s="24" t="n"/>
      <c r="F1707" s="24" t="n"/>
      <c r="G1707" s="29" t="n"/>
      <c r="H1707" s="29" t="n"/>
      <c r="I1707" s="24" t="n"/>
    </row>
    <row r="1708">
      <c r="A1708" s="26" t="n"/>
      <c r="B1708" s="27" t="n"/>
      <c r="C1708" s="27" t="n"/>
      <c r="D1708" s="27" t="n"/>
      <c r="E1708" s="27" t="n"/>
      <c r="F1708" s="27" t="n"/>
      <c r="G1708" s="28" t="n"/>
      <c r="H1708" s="28" t="n"/>
      <c r="I1708" s="27" t="n"/>
    </row>
    <row r="1709">
      <c r="A1709" s="23" t="n"/>
      <c r="B1709" s="24" t="n"/>
      <c r="C1709" s="24" t="n"/>
      <c r="D1709" s="24" t="n"/>
      <c r="E1709" s="24" t="n"/>
      <c r="F1709" s="24" t="n"/>
      <c r="G1709" s="29" t="n"/>
      <c r="H1709" s="29" t="n"/>
      <c r="I1709" s="24" t="n"/>
    </row>
    <row r="1710">
      <c r="A1710" s="26" t="n"/>
      <c r="B1710" s="27" t="n"/>
      <c r="C1710" s="27" t="n"/>
      <c r="D1710" s="27" t="n"/>
      <c r="E1710" s="27" t="n"/>
      <c r="F1710" s="27" t="n"/>
      <c r="G1710" s="28" t="n"/>
      <c r="H1710" s="28" t="n"/>
      <c r="I1710" s="27" t="n"/>
    </row>
    <row r="1711">
      <c r="A1711" s="23" t="n"/>
      <c r="B1711" s="24" t="n"/>
      <c r="C1711" s="24" t="n"/>
      <c r="D1711" s="24" t="n"/>
      <c r="E1711" s="24" t="n"/>
      <c r="F1711" s="24" t="n"/>
      <c r="G1711" s="29" t="n"/>
      <c r="H1711" s="29" t="n"/>
      <c r="I1711" s="24" t="n"/>
    </row>
    <row r="1712">
      <c r="A1712" s="26" t="n"/>
      <c r="B1712" s="27" t="n"/>
      <c r="C1712" s="27" t="n"/>
      <c r="D1712" s="27" t="n"/>
      <c r="E1712" s="27" t="n"/>
      <c r="F1712" s="27" t="n"/>
      <c r="G1712" s="28" t="n"/>
      <c r="H1712" s="28" t="n"/>
      <c r="I1712" s="27" t="n"/>
    </row>
    <row r="1713">
      <c r="A1713" s="23" t="n"/>
      <c r="B1713" s="24" t="n"/>
      <c r="C1713" s="24" t="n"/>
      <c r="D1713" s="24" t="n"/>
      <c r="E1713" s="24" t="n"/>
      <c r="F1713" s="24" t="n"/>
      <c r="G1713" s="29" t="n"/>
      <c r="H1713" s="29" t="n"/>
      <c r="I1713" s="24" t="n"/>
    </row>
    <row r="1714">
      <c r="A1714" s="26" t="n"/>
      <c r="B1714" s="27" t="n"/>
      <c r="C1714" s="27" t="n"/>
      <c r="D1714" s="27" t="n"/>
      <c r="E1714" s="27" t="n"/>
      <c r="F1714" s="27" t="n"/>
      <c r="G1714" s="28" t="n"/>
      <c r="H1714" s="28" t="n"/>
      <c r="I1714" s="27" t="n"/>
    </row>
    <row r="1715">
      <c r="A1715" s="23" t="n"/>
      <c r="B1715" s="24" t="n"/>
      <c r="C1715" s="24" t="n"/>
      <c r="D1715" s="24" t="n"/>
      <c r="E1715" s="24" t="n"/>
      <c r="F1715" s="24" t="n"/>
      <c r="G1715" s="29" t="n"/>
      <c r="H1715" s="29" t="n"/>
      <c r="I1715" s="24" t="n"/>
    </row>
    <row r="1716">
      <c r="A1716" s="26" t="n"/>
      <c r="B1716" s="27" t="n"/>
      <c r="C1716" s="27" t="n"/>
      <c r="D1716" s="27" t="n"/>
      <c r="E1716" s="27" t="n"/>
      <c r="F1716" s="27" t="n"/>
      <c r="G1716" s="28" t="n"/>
      <c r="H1716" s="28" t="n"/>
      <c r="I1716" s="27" t="n"/>
    </row>
    <row r="1717">
      <c r="A1717" s="23" t="n"/>
      <c r="B1717" s="24" t="n"/>
      <c r="C1717" s="24" t="n"/>
      <c r="D1717" s="24" t="n"/>
      <c r="E1717" s="24" t="n"/>
      <c r="F1717" s="24" t="n"/>
      <c r="G1717" s="29" t="n"/>
      <c r="H1717" s="29" t="n"/>
      <c r="I1717" s="24" t="n"/>
    </row>
    <row r="1718">
      <c r="A1718" s="26" t="n"/>
      <c r="B1718" s="27" t="n"/>
      <c r="C1718" s="27" t="n"/>
      <c r="D1718" s="27" t="n"/>
      <c r="E1718" s="27" t="n"/>
      <c r="F1718" s="27" t="n"/>
      <c r="G1718" s="28" t="n"/>
      <c r="H1718" s="28" t="n"/>
      <c r="I1718" s="27" t="n"/>
    </row>
    <row r="1719">
      <c r="A1719" s="23" t="n"/>
      <c r="B1719" s="24" t="n"/>
      <c r="C1719" s="24" t="n"/>
      <c r="D1719" s="24" t="n"/>
      <c r="E1719" s="24" t="n"/>
      <c r="F1719" s="24" t="n"/>
      <c r="G1719" s="29" t="n"/>
      <c r="H1719" s="29" t="n"/>
      <c r="I1719" s="24" t="n"/>
    </row>
    <row r="1720">
      <c r="A1720" s="26" t="n"/>
      <c r="B1720" s="27" t="n"/>
      <c r="C1720" s="27" t="n"/>
      <c r="D1720" s="27" t="n"/>
      <c r="E1720" s="27" t="n"/>
      <c r="F1720" s="27" t="n"/>
      <c r="G1720" s="28" t="n"/>
      <c r="H1720" s="28" t="n"/>
      <c r="I1720" s="27" t="n"/>
    </row>
    <row r="1721">
      <c r="A1721" s="23" t="n"/>
      <c r="B1721" s="24" t="n"/>
      <c r="C1721" s="24" t="n"/>
      <c r="D1721" s="24" t="n"/>
      <c r="E1721" s="24" t="n"/>
      <c r="F1721" s="24" t="n"/>
      <c r="G1721" s="29" t="n"/>
      <c r="H1721" s="29" t="n"/>
      <c r="I1721" s="24" t="n"/>
    </row>
    <row r="1722">
      <c r="A1722" s="26" t="n"/>
      <c r="B1722" s="27" t="n"/>
      <c r="C1722" s="27" t="n"/>
      <c r="D1722" s="27" t="n"/>
      <c r="E1722" s="27" t="n"/>
      <c r="F1722" s="27" t="n"/>
      <c r="G1722" s="28" t="n"/>
      <c r="H1722" s="28" t="n"/>
      <c r="I1722" s="27" t="n"/>
    </row>
    <row r="1723">
      <c r="A1723" s="23" t="n"/>
      <c r="B1723" s="24" t="n"/>
      <c r="C1723" s="24" t="n"/>
      <c r="D1723" s="24" t="n"/>
      <c r="E1723" s="24" t="n"/>
      <c r="F1723" s="24" t="n"/>
      <c r="G1723" s="29" t="n"/>
      <c r="H1723" s="29" t="n"/>
      <c r="I1723" s="24" t="n"/>
    </row>
    <row r="1724">
      <c r="A1724" s="26" t="n"/>
      <c r="B1724" s="27" t="n"/>
      <c r="C1724" s="27" t="n"/>
      <c r="D1724" s="27" t="n"/>
      <c r="E1724" s="27" t="n"/>
      <c r="F1724" s="27" t="n"/>
      <c r="G1724" s="28" t="n"/>
      <c r="H1724" s="28" t="n"/>
      <c r="I1724" s="27" t="n"/>
    </row>
    <row r="1725">
      <c r="A1725" s="23" t="n"/>
      <c r="B1725" s="24" t="n"/>
      <c r="C1725" s="24" t="n"/>
      <c r="D1725" s="24" t="n"/>
      <c r="E1725" s="24" t="n"/>
      <c r="F1725" s="24" t="n"/>
      <c r="G1725" s="29" t="n"/>
      <c r="H1725" s="29" t="n"/>
      <c r="I1725" s="24" t="n"/>
    </row>
    <row r="1726">
      <c r="A1726" s="26" t="n"/>
      <c r="B1726" s="27" t="n"/>
      <c r="C1726" s="27" t="n"/>
      <c r="D1726" s="27" t="n"/>
      <c r="E1726" s="27" t="n"/>
      <c r="F1726" s="27" t="n"/>
      <c r="G1726" s="28" t="n"/>
      <c r="H1726" s="28" t="n"/>
      <c r="I1726" s="27" t="n"/>
    </row>
    <row r="1727">
      <c r="A1727" s="23" t="n"/>
      <c r="B1727" s="24" t="n"/>
      <c r="C1727" s="24" t="n"/>
      <c r="D1727" s="24" t="n"/>
      <c r="E1727" s="24" t="n"/>
      <c r="F1727" s="24" t="n"/>
      <c r="G1727" s="29" t="n"/>
      <c r="H1727" s="29" t="n"/>
      <c r="I1727" s="24" t="n"/>
    </row>
    <row r="1728">
      <c r="A1728" s="26" t="n"/>
      <c r="B1728" s="27" t="n"/>
      <c r="C1728" s="27" t="n"/>
      <c r="D1728" s="27" t="n"/>
      <c r="E1728" s="27" t="n"/>
      <c r="F1728" s="27" t="n"/>
      <c r="G1728" s="28" t="n"/>
      <c r="H1728" s="28" t="n"/>
      <c r="I1728" s="27" t="n"/>
    </row>
    <row r="1729">
      <c r="A1729" s="23" t="n"/>
      <c r="B1729" s="24" t="n"/>
      <c r="C1729" s="24" t="n"/>
      <c r="D1729" s="24" t="n"/>
      <c r="E1729" s="24" t="n"/>
      <c r="F1729" s="24" t="n"/>
      <c r="G1729" s="29" t="n"/>
      <c r="H1729" s="29" t="n"/>
      <c r="I1729" s="24" t="n"/>
    </row>
    <row r="1730">
      <c r="A1730" s="26" t="n"/>
      <c r="B1730" s="27" t="n"/>
      <c r="C1730" s="27" t="n"/>
      <c r="D1730" s="27" t="n"/>
      <c r="E1730" s="27" t="n"/>
      <c r="F1730" s="27" t="n"/>
      <c r="G1730" s="28" t="n"/>
      <c r="H1730" s="28" t="n"/>
      <c r="I1730" s="27" t="n"/>
    </row>
    <row r="1731">
      <c r="A1731" s="23" t="n"/>
      <c r="B1731" s="24" t="n"/>
      <c r="C1731" s="24" t="n"/>
      <c r="D1731" s="24" t="n"/>
      <c r="E1731" s="24" t="n"/>
      <c r="F1731" s="24" t="n"/>
      <c r="G1731" s="29" t="n"/>
      <c r="H1731" s="29" t="n"/>
      <c r="I1731" s="24" t="n"/>
    </row>
    <row r="1732">
      <c r="A1732" s="26" t="n"/>
      <c r="B1732" s="27" t="n"/>
      <c r="C1732" s="27" t="n"/>
      <c r="D1732" s="27" t="n"/>
      <c r="E1732" s="27" t="n"/>
      <c r="F1732" s="27" t="n"/>
      <c r="G1732" s="28" t="n"/>
      <c r="H1732" s="28" t="n"/>
      <c r="I1732" s="27" t="n"/>
    </row>
    <row r="1733">
      <c r="A1733" s="23" t="n"/>
      <c r="B1733" s="24" t="n"/>
      <c r="C1733" s="24" t="n"/>
      <c r="D1733" s="24" t="n"/>
      <c r="E1733" s="24" t="n"/>
      <c r="F1733" s="24" t="n"/>
      <c r="G1733" s="29" t="n"/>
      <c r="H1733" s="29" t="n"/>
      <c r="I1733" s="24" t="n"/>
    </row>
    <row r="1734">
      <c r="A1734" s="26" t="n"/>
      <c r="B1734" s="27" t="n"/>
      <c r="C1734" s="27" t="n"/>
      <c r="D1734" s="27" t="n"/>
      <c r="E1734" s="27" t="n"/>
      <c r="F1734" s="27" t="n"/>
      <c r="G1734" s="28" t="n"/>
      <c r="H1734" s="28" t="n"/>
      <c r="I1734" s="27" t="n"/>
    </row>
    <row r="1735">
      <c r="A1735" s="23" t="n"/>
      <c r="B1735" s="24" t="n"/>
      <c r="C1735" s="24" t="n"/>
      <c r="D1735" s="24" t="n"/>
      <c r="E1735" s="24" t="n"/>
      <c r="F1735" s="24" t="n"/>
      <c r="G1735" s="29" t="n"/>
      <c r="H1735" s="29" t="n"/>
      <c r="I1735" s="24" t="n"/>
    </row>
    <row r="1736">
      <c r="A1736" s="26" t="n"/>
      <c r="B1736" s="27" t="n"/>
      <c r="C1736" s="27" t="n"/>
      <c r="D1736" s="27" t="n"/>
      <c r="E1736" s="27" t="n"/>
      <c r="F1736" s="27" t="n"/>
      <c r="G1736" s="28" t="n"/>
      <c r="H1736" s="28" t="n"/>
      <c r="I1736" s="27" t="n"/>
    </row>
    <row r="1737">
      <c r="A1737" s="23" t="n"/>
      <c r="B1737" s="24" t="n"/>
      <c r="C1737" s="24" t="n"/>
      <c r="D1737" s="24" t="n"/>
      <c r="E1737" s="24" t="n"/>
      <c r="F1737" s="24" t="n"/>
      <c r="G1737" s="29" t="n"/>
      <c r="H1737" s="29" t="n"/>
      <c r="I1737" s="24" t="n"/>
    </row>
    <row r="1738">
      <c r="A1738" s="26" t="n"/>
      <c r="B1738" s="27" t="n"/>
      <c r="C1738" s="27" t="n"/>
      <c r="D1738" s="27" t="n"/>
      <c r="E1738" s="27" t="n"/>
      <c r="F1738" s="27" t="n"/>
      <c r="G1738" s="28" t="n"/>
      <c r="H1738" s="28" t="n"/>
      <c r="I1738" s="27" t="n"/>
    </row>
    <row r="1739">
      <c r="A1739" s="23" t="n"/>
      <c r="B1739" s="24" t="n"/>
      <c r="C1739" s="24" t="n"/>
      <c r="D1739" s="24" t="n"/>
      <c r="E1739" s="24" t="n"/>
      <c r="F1739" s="24" t="n"/>
      <c r="G1739" s="29" t="n"/>
      <c r="H1739" s="29" t="n"/>
      <c r="I1739" s="24" t="n"/>
    </row>
    <row r="1740">
      <c r="A1740" s="26" t="n"/>
      <c r="B1740" s="27" t="n"/>
      <c r="C1740" s="27" t="n"/>
      <c r="D1740" s="27" t="n"/>
      <c r="E1740" s="27" t="n"/>
      <c r="F1740" s="27" t="n"/>
      <c r="G1740" s="28" t="n"/>
      <c r="H1740" s="28" t="n"/>
      <c r="I1740" s="27" t="n"/>
    </row>
    <row r="1741">
      <c r="A1741" s="23" t="n"/>
      <c r="B1741" s="24" t="n"/>
      <c r="C1741" s="24" t="n"/>
      <c r="D1741" s="24" t="n"/>
      <c r="E1741" s="24" t="n"/>
      <c r="F1741" s="24" t="n"/>
      <c r="G1741" s="29" t="n"/>
      <c r="H1741" s="29" t="n"/>
      <c r="I1741" s="24" t="n"/>
    </row>
    <row r="1742">
      <c r="A1742" s="26" t="n"/>
      <c r="B1742" s="27" t="n"/>
      <c r="C1742" s="27" t="n"/>
      <c r="D1742" s="27" t="n"/>
      <c r="E1742" s="27" t="n"/>
      <c r="F1742" s="27" t="n"/>
      <c r="G1742" s="28" t="n"/>
      <c r="H1742" s="28" t="n"/>
      <c r="I1742" s="27" t="n"/>
    </row>
    <row r="1743">
      <c r="A1743" s="23" t="n"/>
      <c r="B1743" s="24" t="n"/>
      <c r="C1743" s="24" t="n"/>
      <c r="D1743" s="24" t="n"/>
      <c r="E1743" s="24" t="n"/>
      <c r="F1743" s="24" t="n"/>
      <c r="G1743" s="29" t="n"/>
      <c r="H1743" s="29" t="n"/>
      <c r="I1743" s="24" t="n"/>
    </row>
    <row r="1744">
      <c r="A1744" s="26" t="n"/>
      <c r="B1744" s="27" t="n"/>
      <c r="C1744" s="27" t="n"/>
      <c r="D1744" s="27" t="n"/>
      <c r="E1744" s="27" t="n"/>
      <c r="F1744" s="27" t="n"/>
      <c r="G1744" s="28" t="n"/>
      <c r="H1744" s="28" t="n"/>
      <c r="I1744" s="27" t="n"/>
    </row>
    <row r="1745">
      <c r="A1745" s="23" t="n"/>
      <c r="B1745" s="24" t="n"/>
      <c r="C1745" s="24" t="n"/>
      <c r="D1745" s="24" t="n"/>
      <c r="E1745" s="24" t="n"/>
      <c r="F1745" s="24" t="n"/>
      <c r="G1745" s="29" t="n"/>
      <c r="H1745" s="29" t="n"/>
      <c r="I1745" s="24" t="n"/>
    </row>
    <row r="1746">
      <c r="A1746" s="26" t="n"/>
      <c r="B1746" s="27" t="n"/>
      <c r="C1746" s="27" t="n"/>
      <c r="D1746" s="27" t="n"/>
      <c r="E1746" s="27" t="n"/>
      <c r="F1746" s="27" t="n"/>
      <c r="G1746" s="28" t="n"/>
      <c r="H1746" s="28" t="n"/>
      <c r="I1746" s="27" t="n"/>
    </row>
    <row r="1747">
      <c r="A1747" s="23" t="n"/>
      <c r="B1747" s="24" t="n"/>
      <c r="C1747" s="24" t="n"/>
      <c r="D1747" s="24" t="n"/>
      <c r="E1747" s="24" t="n"/>
      <c r="F1747" s="24" t="n"/>
      <c r="G1747" s="29" t="n"/>
      <c r="H1747" s="29" t="n"/>
      <c r="I1747" s="24" t="n"/>
    </row>
    <row r="1748">
      <c r="A1748" s="26" t="n"/>
      <c r="B1748" s="27" t="n"/>
      <c r="C1748" s="27" t="n"/>
      <c r="D1748" s="27" t="n"/>
      <c r="E1748" s="27" t="n"/>
      <c r="F1748" s="27" t="n"/>
      <c r="G1748" s="28" t="n"/>
      <c r="H1748" s="28" t="n"/>
      <c r="I1748" s="27" t="n"/>
    </row>
    <row r="1749">
      <c r="A1749" s="23" t="n"/>
      <c r="B1749" s="24" t="n"/>
      <c r="C1749" s="24" t="n"/>
      <c r="D1749" s="24" t="n"/>
      <c r="E1749" s="24" t="n"/>
      <c r="F1749" s="24" t="n"/>
      <c r="G1749" s="29" t="n"/>
      <c r="H1749" s="29" t="n"/>
      <c r="I1749" s="24" t="n"/>
    </row>
    <row r="1750">
      <c r="A1750" s="26" t="n"/>
      <c r="B1750" s="27" t="n"/>
      <c r="C1750" s="27" t="n"/>
      <c r="D1750" s="27" t="n"/>
      <c r="E1750" s="27" t="n"/>
      <c r="F1750" s="27" t="n"/>
      <c r="G1750" s="28" t="n"/>
      <c r="H1750" s="28" t="n"/>
      <c r="I1750" s="27" t="n"/>
    </row>
    <row r="1751">
      <c r="A1751" s="23" t="n"/>
      <c r="B1751" s="24" t="n"/>
      <c r="C1751" s="24" t="n"/>
      <c r="D1751" s="24" t="n"/>
      <c r="E1751" s="24" t="n"/>
      <c r="F1751" s="24" t="n"/>
      <c r="G1751" s="29" t="n"/>
      <c r="H1751" s="29" t="n"/>
      <c r="I1751" s="24" t="n"/>
    </row>
    <row r="1752">
      <c r="A1752" s="26" t="n"/>
      <c r="B1752" s="27" t="n"/>
      <c r="C1752" s="27" t="n"/>
      <c r="D1752" s="27" t="n"/>
      <c r="E1752" s="27" t="n"/>
      <c r="F1752" s="27" t="n"/>
      <c r="G1752" s="28" t="n"/>
      <c r="H1752" s="28" t="n"/>
      <c r="I1752" s="27" t="n"/>
    </row>
    <row r="1753">
      <c r="A1753" s="23" t="n"/>
      <c r="B1753" s="24" t="n"/>
      <c r="C1753" s="24" t="n"/>
      <c r="D1753" s="24" t="n"/>
      <c r="E1753" s="24" t="n"/>
      <c r="F1753" s="24" t="n"/>
      <c r="G1753" s="29" t="n"/>
      <c r="H1753" s="29" t="n"/>
      <c r="I1753" s="24" t="n"/>
    </row>
    <row r="1754">
      <c r="A1754" s="26" t="n"/>
      <c r="B1754" s="27" t="n"/>
      <c r="C1754" s="27" t="n"/>
      <c r="D1754" s="27" t="n"/>
      <c r="E1754" s="27" t="n"/>
      <c r="F1754" s="27" t="n"/>
      <c r="G1754" s="28" t="n"/>
      <c r="H1754" s="28" t="n"/>
      <c r="I1754" s="27" t="n"/>
    </row>
    <row r="1755">
      <c r="A1755" s="23" t="n"/>
      <c r="B1755" s="24" t="n"/>
      <c r="C1755" s="24" t="n"/>
      <c r="D1755" s="24" t="n"/>
      <c r="E1755" s="24" t="n"/>
      <c r="F1755" s="24" t="n"/>
      <c r="G1755" s="29" t="n"/>
      <c r="H1755" s="29" t="n"/>
      <c r="I1755" s="24" t="n"/>
    </row>
    <row r="1756">
      <c r="A1756" s="26" t="n"/>
      <c r="B1756" s="27" t="n"/>
      <c r="C1756" s="27" t="n"/>
      <c r="D1756" s="27" t="n"/>
      <c r="E1756" s="27" t="n"/>
      <c r="F1756" s="27" t="n"/>
      <c r="G1756" s="28" t="n"/>
      <c r="H1756" s="28" t="n"/>
      <c r="I1756" s="27" t="n"/>
    </row>
    <row r="1757">
      <c r="A1757" s="23" t="n"/>
      <c r="B1757" s="24" t="n"/>
      <c r="C1757" s="24" t="n"/>
      <c r="D1757" s="24" t="n"/>
      <c r="E1757" s="24" t="n"/>
      <c r="F1757" s="24" t="n"/>
      <c r="G1757" s="29" t="n"/>
      <c r="H1757" s="29" t="n"/>
      <c r="I1757" s="24" t="n"/>
    </row>
    <row r="1758">
      <c r="A1758" s="26" t="n"/>
      <c r="B1758" s="27" t="n"/>
      <c r="C1758" s="27" t="n"/>
      <c r="D1758" s="27" t="n"/>
      <c r="E1758" s="27" t="n"/>
      <c r="F1758" s="27" t="n"/>
      <c r="G1758" s="28" t="n"/>
      <c r="H1758" s="28" t="n"/>
      <c r="I1758" s="27" t="n"/>
    </row>
    <row r="1759">
      <c r="A1759" s="23" t="n"/>
      <c r="B1759" s="24" t="n"/>
      <c r="C1759" s="24" t="n"/>
      <c r="D1759" s="24" t="n"/>
      <c r="E1759" s="24" t="n"/>
      <c r="F1759" s="24" t="n"/>
      <c r="G1759" s="29" t="n"/>
      <c r="H1759" s="29" t="n"/>
      <c r="I1759" s="24" t="n"/>
    </row>
    <row r="1760">
      <c r="A1760" s="26" t="n"/>
      <c r="B1760" s="27" t="n"/>
      <c r="C1760" s="27" t="n"/>
      <c r="D1760" s="27" t="n"/>
      <c r="E1760" s="27" t="n"/>
      <c r="F1760" s="27" t="n"/>
      <c r="G1760" s="28" t="n"/>
      <c r="H1760" s="28" t="n"/>
      <c r="I1760" s="27" t="n"/>
    </row>
    <row r="1761">
      <c r="A1761" s="23" t="n"/>
      <c r="B1761" s="24" t="n"/>
      <c r="C1761" s="24" t="n"/>
      <c r="D1761" s="24" t="n"/>
      <c r="E1761" s="24" t="n"/>
      <c r="F1761" s="24" t="n"/>
      <c r="G1761" s="29" t="n"/>
      <c r="H1761" s="29" t="n"/>
      <c r="I1761" s="24" t="n"/>
    </row>
    <row r="1762">
      <c r="A1762" s="26" t="n"/>
      <c r="B1762" s="27" t="n"/>
      <c r="C1762" s="27" t="n"/>
      <c r="D1762" s="27" t="n"/>
      <c r="E1762" s="27" t="n"/>
      <c r="F1762" s="27" t="n"/>
      <c r="G1762" s="28" t="n"/>
      <c r="H1762" s="28" t="n"/>
      <c r="I1762" s="27" t="n"/>
    </row>
    <row r="1763">
      <c r="A1763" s="23" t="n"/>
      <c r="B1763" s="24" t="n"/>
      <c r="C1763" s="24" t="n"/>
      <c r="D1763" s="24" t="n"/>
      <c r="E1763" s="24" t="n"/>
      <c r="F1763" s="24" t="n"/>
      <c r="G1763" s="29" t="n"/>
      <c r="H1763" s="29" t="n"/>
      <c r="I1763" s="24" t="n"/>
    </row>
    <row r="1764">
      <c r="A1764" s="26" t="n"/>
      <c r="B1764" s="27" t="n"/>
      <c r="C1764" s="27" t="n"/>
      <c r="D1764" s="27" t="n"/>
      <c r="E1764" s="27" t="n"/>
      <c r="F1764" s="27" t="n"/>
      <c r="G1764" s="28" t="n"/>
      <c r="H1764" s="28" t="n"/>
      <c r="I1764" s="27" t="n"/>
    </row>
    <row r="1765">
      <c r="A1765" s="23" t="n"/>
      <c r="B1765" s="24" t="n"/>
      <c r="C1765" s="24" t="n"/>
      <c r="D1765" s="24" t="n"/>
      <c r="E1765" s="24" t="n"/>
      <c r="F1765" s="24" t="n"/>
      <c r="G1765" s="29" t="n"/>
      <c r="H1765" s="29" t="n"/>
      <c r="I1765" s="24" t="n"/>
    </row>
    <row r="1766">
      <c r="A1766" s="26" t="n"/>
      <c r="B1766" s="27" t="n"/>
      <c r="C1766" s="27" t="n"/>
      <c r="D1766" s="27" t="n"/>
      <c r="E1766" s="27" t="n"/>
      <c r="F1766" s="27" t="n"/>
      <c r="G1766" s="28" t="n"/>
      <c r="H1766" s="28" t="n"/>
      <c r="I1766" s="27" t="n"/>
    </row>
    <row r="1767">
      <c r="A1767" s="23" t="n"/>
      <c r="B1767" s="24" t="n"/>
      <c r="C1767" s="24" t="n"/>
      <c r="D1767" s="24" t="n"/>
      <c r="E1767" s="24" t="n"/>
      <c r="F1767" s="24" t="n"/>
      <c r="G1767" s="29" t="n"/>
      <c r="H1767" s="29" t="n"/>
      <c r="I1767" s="24" t="n"/>
    </row>
    <row r="1768">
      <c r="A1768" s="26" t="n"/>
      <c r="B1768" s="27" t="n"/>
      <c r="C1768" s="27" t="n"/>
      <c r="D1768" s="27" t="n"/>
      <c r="E1768" s="27" t="n"/>
      <c r="F1768" s="27" t="n"/>
      <c r="G1768" s="28" t="n"/>
      <c r="H1768" s="28" t="n"/>
      <c r="I1768" s="27" t="n"/>
    </row>
    <row r="1769">
      <c r="A1769" s="23" t="n"/>
      <c r="B1769" s="24" t="n"/>
      <c r="C1769" s="24" t="n"/>
      <c r="D1769" s="24" t="n"/>
      <c r="E1769" s="24" t="n"/>
      <c r="F1769" s="24" t="n"/>
      <c r="G1769" s="29" t="n"/>
      <c r="H1769" s="29" t="n"/>
      <c r="I1769" s="24" t="n"/>
    </row>
    <row r="1770">
      <c r="A1770" s="26" t="n"/>
      <c r="B1770" s="27" t="n"/>
      <c r="C1770" s="27" t="n"/>
      <c r="D1770" s="27" t="n"/>
      <c r="E1770" s="27" t="n"/>
      <c r="F1770" s="27" t="n"/>
      <c r="G1770" s="28" t="n"/>
      <c r="H1770" s="28" t="n"/>
      <c r="I1770" s="27" t="n"/>
    </row>
    <row r="1771">
      <c r="A1771" s="23" t="n"/>
      <c r="B1771" s="24" t="n"/>
      <c r="C1771" s="24" t="n"/>
      <c r="D1771" s="24" t="n"/>
      <c r="E1771" s="24" t="n"/>
      <c r="F1771" s="24" t="n"/>
      <c r="G1771" s="29" t="n"/>
      <c r="H1771" s="29" t="n"/>
      <c r="I1771" s="24" t="n"/>
    </row>
    <row r="1772">
      <c r="A1772" s="26" t="n"/>
      <c r="B1772" s="27" t="n"/>
      <c r="C1772" s="27" t="n"/>
      <c r="D1772" s="27" t="n"/>
      <c r="E1772" s="27" t="n"/>
      <c r="F1772" s="27" t="n"/>
      <c r="G1772" s="28" t="n"/>
      <c r="H1772" s="28" t="n"/>
      <c r="I1772" s="27" t="n"/>
    </row>
    <row r="1773">
      <c r="A1773" s="23" t="n"/>
      <c r="B1773" s="24" t="n"/>
      <c r="C1773" s="24" t="n"/>
      <c r="D1773" s="24" t="n"/>
      <c r="E1773" s="24" t="n"/>
      <c r="F1773" s="24" t="n"/>
      <c r="G1773" s="29" t="n"/>
      <c r="H1773" s="29" t="n"/>
      <c r="I1773" s="24" t="n"/>
    </row>
    <row r="1774">
      <c r="A1774" s="26" t="n"/>
      <c r="B1774" s="27" t="n"/>
      <c r="C1774" s="27" t="n"/>
      <c r="D1774" s="27" t="n"/>
      <c r="E1774" s="27" t="n"/>
      <c r="F1774" s="27" t="n"/>
      <c r="G1774" s="28" t="n"/>
      <c r="H1774" s="28" t="n"/>
      <c r="I1774" s="27" t="n"/>
    </row>
    <row r="1775">
      <c r="A1775" s="23" t="n"/>
      <c r="B1775" s="24" t="n"/>
      <c r="C1775" s="24" t="n"/>
      <c r="D1775" s="24" t="n"/>
      <c r="E1775" s="24" t="n"/>
      <c r="F1775" s="24" t="n"/>
      <c r="G1775" s="29" t="n"/>
      <c r="H1775" s="29" t="n"/>
      <c r="I1775" s="24" t="n"/>
    </row>
    <row r="1776">
      <c r="A1776" s="26" t="n"/>
      <c r="B1776" s="27" t="n"/>
      <c r="C1776" s="27" t="n"/>
      <c r="D1776" s="27" t="n"/>
      <c r="E1776" s="27" t="n"/>
      <c r="F1776" s="27" t="n"/>
      <c r="G1776" s="28" t="n"/>
      <c r="H1776" s="28" t="n"/>
      <c r="I1776" s="27" t="n"/>
    </row>
    <row r="1777">
      <c r="A1777" s="23" t="n"/>
      <c r="B1777" s="24" t="n"/>
      <c r="C1777" s="24" t="n"/>
      <c r="D1777" s="24" t="n"/>
      <c r="E1777" s="24" t="n"/>
      <c r="F1777" s="24" t="n"/>
      <c r="G1777" s="29" t="n"/>
      <c r="H1777" s="29" t="n"/>
      <c r="I1777" s="24" t="n"/>
    </row>
    <row r="1778">
      <c r="A1778" s="26" t="n"/>
      <c r="B1778" s="27" t="n"/>
      <c r="C1778" s="27" t="n"/>
      <c r="D1778" s="27" t="n"/>
      <c r="E1778" s="27" t="n"/>
      <c r="F1778" s="27" t="n"/>
      <c r="G1778" s="28" t="n"/>
      <c r="H1778" s="28" t="n"/>
      <c r="I1778" s="27" t="n"/>
    </row>
    <row r="1779">
      <c r="A1779" s="23" t="n"/>
      <c r="B1779" s="24" t="n"/>
      <c r="C1779" s="24" t="n"/>
      <c r="D1779" s="24" t="n"/>
      <c r="E1779" s="24" t="n"/>
      <c r="F1779" s="24" t="n"/>
      <c r="G1779" s="29" t="n"/>
      <c r="H1779" s="29" t="n"/>
      <c r="I1779" s="24" t="n"/>
    </row>
    <row r="1780">
      <c r="A1780" s="26" t="n"/>
      <c r="B1780" s="27" t="n"/>
      <c r="C1780" s="27" t="n"/>
      <c r="D1780" s="27" t="n"/>
      <c r="E1780" s="27" t="n"/>
      <c r="F1780" s="27" t="n"/>
      <c r="G1780" s="28" t="n"/>
      <c r="H1780" s="28" t="n"/>
      <c r="I1780" s="27" t="n"/>
    </row>
    <row r="1781">
      <c r="A1781" s="23" t="n"/>
      <c r="B1781" s="24" t="n"/>
      <c r="C1781" s="24" t="n"/>
      <c r="D1781" s="24" t="n"/>
      <c r="E1781" s="24" t="n"/>
      <c r="F1781" s="24" t="n"/>
      <c r="G1781" s="29" t="n"/>
      <c r="H1781" s="29" t="n"/>
      <c r="I1781" s="24" t="n"/>
    </row>
    <row r="1782">
      <c r="A1782" s="26" t="n"/>
      <c r="B1782" s="27" t="n"/>
      <c r="C1782" s="27" t="n"/>
      <c r="D1782" s="27" t="n"/>
      <c r="E1782" s="27" t="n"/>
      <c r="F1782" s="27" t="n"/>
      <c r="G1782" s="28" t="n"/>
      <c r="H1782" s="28" t="n"/>
      <c r="I1782" s="27" t="n"/>
    </row>
    <row r="1783">
      <c r="A1783" s="23" t="n"/>
      <c r="B1783" s="24" t="n"/>
      <c r="C1783" s="24" t="n"/>
      <c r="D1783" s="24" t="n"/>
      <c r="E1783" s="24" t="n"/>
      <c r="F1783" s="24" t="n"/>
      <c r="G1783" s="29" t="n"/>
      <c r="H1783" s="29" t="n"/>
      <c r="I1783" s="24" t="n"/>
    </row>
    <row r="1784">
      <c r="A1784" s="26" t="n"/>
      <c r="B1784" s="27" t="n"/>
      <c r="C1784" s="27" t="n"/>
      <c r="D1784" s="27" t="n"/>
      <c r="E1784" s="27" t="n"/>
      <c r="F1784" s="27" t="n"/>
      <c r="G1784" s="28" t="n"/>
      <c r="H1784" s="28" t="n"/>
      <c r="I1784" s="27" t="n"/>
    </row>
    <row r="1785">
      <c r="A1785" s="23" t="n"/>
      <c r="B1785" s="24" t="n"/>
      <c r="C1785" s="24" t="n"/>
      <c r="D1785" s="24" t="n"/>
      <c r="E1785" s="24" t="n"/>
      <c r="F1785" s="24" t="n"/>
      <c r="G1785" s="29" t="n"/>
      <c r="H1785" s="29" t="n"/>
      <c r="I1785" s="24" t="n"/>
    </row>
    <row r="1786">
      <c r="A1786" s="26" t="n"/>
      <c r="B1786" s="27" t="n"/>
      <c r="C1786" s="27" t="n"/>
      <c r="D1786" s="27" t="n"/>
      <c r="E1786" s="27" t="n"/>
      <c r="F1786" s="27" t="n"/>
      <c r="G1786" s="28" t="n"/>
      <c r="H1786" s="28" t="n"/>
      <c r="I1786" s="27" t="n"/>
    </row>
    <row r="1787">
      <c r="A1787" s="23" t="n"/>
      <c r="B1787" s="24" t="n"/>
      <c r="C1787" s="24" t="n"/>
      <c r="D1787" s="24" t="n"/>
      <c r="E1787" s="24" t="n"/>
      <c r="F1787" s="24" t="n"/>
      <c r="G1787" s="29" t="n"/>
      <c r="H1787" s="29" t="n"/>
      <c r="I1787" s="24" t="n"/>
    </row>
    <row r="1788">
      <c r="A1788" s="26" t="n"/>
      <c r="B1788" s="27" t="n"/>
      <c r="C1788" s="27" t="n"/>
      <c r="D1788" s="27" t="n"/>
      <c r="E1788" s="27" t="n"/>
      <c r="F1788" s="27" t="n"/>
      <c r="G1788" s="28" t="n"/>
      <c r="H1788" s="28" t="n"/>
      <c r="I1788" s="27" t="n"/>
    </row>
    <row r="1789">
      <c r="A1789" s="23" t="n"/>
      <c r="B1789" s="24" t="n"/>
      <c r="C1789" s="24" t="n"/>
      <c r="D1789" s="24" t="n"/>
      <c r="E1789" s="24" t="n"/>
      <c r="F1789" s="24" t="n"/>
      <c r="G1789" s="29" t="n"/>
      <c r="H1789" s="29" t="n"/>
      <c r="I1789" s="24" t="n"/>
    </row>
    <row r="1790">
      <c r="A1790" s="26" t="n"/>
      <c r="B1790" s="27" t="n"/>
      <c r="C1790" s="27" t="n"/>
      <c r="D1790" s="27" t="n"/>
      <c r="E1790" s="27" t="n"/>
      <c r="F1790" s="27" t="n"/>
      <c r="G1790" s="28" t="n"/>
      <c r="H1790" s="28" t="n"/>
      <c r="I1790" s="27" t="n"/>
    </row>
    <row r="1791">
      <c r="A1791" s="23" t="n"/>
      <c r="B1791" s="24" t="n"/>
      <c r="C1791" s="24" t="n"/>
      <c r="D1791" s="24" t="n"/>
      <c r="E1791" s="24" t="n"/>
      <c r="F1791" s="24" t="n"/>
      <c r="G1791" s="29" t="n"/>
      <c r="H1791" s="29" t="n"/>
      <c r="I1791" s="24" t="n"/>
    </row>
    <row r="1792">
      <c r="A1792" s="26" t="n"/>
      <c r="B1792" s="27" t="n"/>
      <c r="C1792" s="27" t="n"/>
      <c r="D1792" s="27" t="n"/>
      <c r="E1792" s="27" t="n"/>
      <c r="F1792" s="27" t="n"/>
      <c r="G1792" s="28" t="n"/>
      <c r="H1792" s="28" t="n"/>
      <c r="I1792" s="27" t="n"/>
    </row>
    <row r="1793">
      <c r="A1793" s="23" t="n"/>
      <c r="B1793" s="24" t="n"/>
      <c r="C1793" s="24" t="n"/>
      <c r="D1793" s="24" t="n"/>
      <c r="E1793" s="24" t="n"/>
      <c r="F1793" s="24" t="n"/>
      <c r="G1793" s="29" t="n"/>
      <c r="H1793" s="29" t="n"/>
      <c r="I1793" s="24" t="n"/>
    </row>
    <row r="1794">
      <c r="A1794" s="26" t="n"/>
      <c r="B1794" s="27" t="n"/>
      <c r="C1794" s="27" t="n"/>
      <c r="D1794" s="27" t="n"/>
      <c r="E1794" s="27" t="n"/>
      <c r="F1794" s="27" t="n"/>
      <c r="G1794" s="28" t="n"/>
      <c r="H1794" s="28" t="n"/>
      <c r="I1794" s="27" t="n"/>
    </row>
    <row r="1795">
      <c r="A1795" s="23" t="n"/>
      <c r="B1795" s="24" t="n"/>
      <c r="C1795" s="24" t="n"/>
      <c r="D1795" s="24" t="n"/>
      <c r="E1795" s="24" t="n"/>
      <c r="F1795" s="24" t="n"/>
      <c r="G1795" s="29" t="n"/>
      <c r="H1795" s="29" t="n"/>
      <c r="I1795" s="24" t="n"/>
    </row>
    <row r="1796">
      <c r="A1796" s="26" t="n"/>
      <c r="B1796" s="27" t="n"/>
      <c r="C1796" s="27" t="n"/>
      <c r="D1796" s="27" t="n"/>
      <c r="E1796" s="27" t="n"/>
      <c r="F1796" s="27" t="n"/>
      <c r="G1796" s="28" t="n"/>
      <c r="H1796" s="28" t="n"/>
      <c r="I1796" s="27" t="n"/>
    </row>
    <row r="1797">
      <c r="A1797" s="23" t="n"/>
      <c r="B1797" s="24" t="n"/>
      <c r="C1797" s="24" t="n"/>
      <c r="D1797" s="24" t="n"/>
      <c r="E1797" s="24" t="n"/>
      <c r="F1797" s="24" t="n"/>
      <c r="G1797" s="29" t="n"/>
      <c r="H1797" s="29" t="n"/>
      <c r="I1797" s="24" t="n"/>
    </row>
    <row r="1798">
      <c r="A1798" s="26" t="n"/>
      <c r="B1798" s="27" t="n"/>
      <c r="C1798" s="27" t="n"/>
      <c r="D1798" s="27" t="n"/>
      <c r="E1798" s="27" t="n"/>
      <c r="F1798" s="27" t="n"/>
      <c r="G1798" s="28" t="n"/>
      <c r="H1798" s="28" t="n"/>
      <c r="I1798" s="27" t="n"/>
    </row>
    <row r="1799">
      <c r="A1799" s="23" t="n"/>
      <c r="B1799" s="24" t="n"/>
      <c r="C1799" s="24" t="n"/>
      <c r="D1799" s="24" t="n"/>
      <c r="E1799" s="24" t="n"/>
      <c r="F1799" s="24" t="n"/>
      <c r="G1799" s="29" t="n"/>
      <c r="H1799" s="29" t="n"/>
      <c r="I1799" s="24" t="n"/>
    </row>
    <row r="1800">
      <c r="A1800" s="26" t="n"/>
      <c r="B1800" s="27" t="n"/>
      <c r="C1800" s="27" t="n"/>
      <c r="D1800" s="27" t="n"/>
      <c r="E1800" s="27" t="n"/>
      <c r="F1800" s="27" t="n"/>
      <c r="G1800" s="28" t="n"/>
      <c r="H1800" s="28" t="n"/>
      <c r="I1800" s="27" t="n"/>
    </row>
    <row r="1801">
      <c r="A1801" s="23" t="n"/>
      <c r="B1801" s="24" t="n"/>
      <c r="C1801" s="24" t="n"/>
      <c r="D1801" s="24" t="n"/>
      <c r="E1801" s="24" t="n"/>
      <c r="F1801" s="24" t="n"/>
      <c r="G1801" s="29" t="n"/>
      <c r="H1801" s="29" t="n"/>
      <c r="I1801" s="24" t="n"/>
    </row>
    <row r="1802">
      <c r="A1802" s="26" t="n"/>
      <c r="B1802" s="27" t="n"/>
      <c r="C1802" s="27" t="n"/>
      <c r="D1802" s="27" t="n"/>
      <c r="E1802" s="27" t="n"/>
      <c r="F1802" s="27" t="n"/>
      <c r="G1802" s="28" t="n"/>
      <c r="H1802" s="28" t="n"/>
      <c r="I1802" s="27" t="n"/>
    </row>
    <row r="1803">
      <c r="A1803" s="23" t="n"/>
      <c r="B1803" s="24" t="n"/>
      <c r="C1803" s="24" t="n"/>
      <c r="D1803" s="24" t="n"/>
      <c r="E1803" s="24" t="n"/>
      <c r="F1803" s="24" t="n"/>
      <c r="G1803" s="29" t="n"/>
      <c r="H1803" s="29" t="n"/>
      <c r="I1803" s="24" t="n"/>
    </row>
    <row r="1804">
      <c r="A1804" s="26" t="n"/>
      <c r="B1804" s="27" t="n"/>
      <c r="C1804" s="27" t="n"/>
      <c r="D1804" s="27" t="n"/>
      <c r="E1804" s="27" t="n"/>
      <c r="F1804" s="27" t="n"/>
      <c r="G1804" s="28" t="n"/>
      <c r="H1804" s="28" t="n"/>
      <c r="I1804" s="27" t="n"/>
    </row>
    <row r="1805">
      <c r="A1805" s="23" t="n"/>
      <c r="B1805" s="24" t="n"/>
      <c r="C1805" s="24" t="n"/>
      <c r="D1805" s="24" t="n"/>
      <c r="E1805" s="24" t="n"/>
      <c r="F1805" s="24" t="n"/>
      <c r="G1805" s="29" t="n"/>
      <c r="H1805" s="29" t="n"/>
      <c r="I1805" s="24" t="n"/>
    </row>
    <row r="1806">
      <c r="A1806" s="26" t="n"/>
      <c r="B1806" s="27" t="n"/>
      <c r="C1806" s="27" t="n"/>
      <c r="D1806" s="27" t="n"/>
      <c r="E1806" s="27" t="n"/>
      <c r="F1806" s="27" t="n"/>
      <c r="G1806" s="28" t="n"/>
      <c r="H1806" s="28" t="n"/>
      <c r="I1806" s="27" t="n"/>
    </row>
    <row r="1807">
      <c r="A1807" s="23" t="n"/>
      <c r="B1807" s="24" t="n"/>
      <c r="C1807" s="24" t="n"/>
      <c r="D1807" s="24" t="n"/>
      <c r="E1807" s="24" t="n"/>
      <c r="F1807" s="24" t="n"/>
      <c r="G1807" s="29" t="n"/>
      <c r="H1807" s="29" t="n"/>
      <c r="I1807" s="24" t="n"/>
    </row>
    <row r="1808">
      <c r="A1808" s="26" t="n"/>
      <c r="B1808" s="27" t="n"/>
      <c r="C1808" s="27" t="n"/>
      <c r="D1808" s="27" t="n"/>
      <c r="E1808" s="27" t="n"/>
      <c r="F1808" s="27" t="n"/>
      <c r="G1808" s="28" t="n"/>
      <c r="H1808" s="28" t="n"/>
      <c r="I1808" s="27" t="n"/>
    </row>
    <row r="1809">
      <c r="A1809" s="23" t="n"/>
      <c r="B1809" s="24" t="n"/>
      <c r="C1809" s="24" t="n"/>
      <c r="D1809" s="24" t="n"/>
      <c r="E1809" s="24" t="n"/>
      <c r="F1809" s="24" t="n"/>
      <c r="G1809" s="29" t="n"/>
      <c r="H1809" s="29" t="n"/>
      <c r="I1809" s="24" t="n"/>
    </row>
    <row r="1810">
      <c r="A1810" s="26" t="n"/>
      <c r="B1810" s="27" t="n"/>
      <c r="C1810" s="27" t="n"/>
      <c r="D1810" s="27" t="n"/>
      <c r="E1810" s="27" t="n"/>
      <c r="F1810" s="27" t="n"/>
      <c r="G1810" s="28" t="n"/>
      <c r="H1810" s="28" t="n"/>
      <c r="I1810" s="27" t="n"/>
    </row>
    <row r="1811">
      <c r="A1811" s="23" t="n"/>
      <c r="B1811" s="24" t="n"/>
      <c r="C1811" s="24" t="n"/>
      <c r="D1811" s="24" t="n"/>
      <c r="E1811" s="24" t="n"/>
      <c r="F1811" s="24" t="n"/>
      <c r="G1811" s="29" t="n"/>
      <c r="H1811" s="29" t="n"/>
      <c r="I1811" s="24" t="n"/>
    </row>
    <row r="1812">
      <c r="A1812" s="26" t="n"/>
      <c r="B1812" s="27" t="n"/>
      <c r="C1812" s="27" t="n"/>
      <c r="D1812" s="27" t="n"/>
      <c r="E1812" s="27" t="n"/>
      <c r="F1812" s="27" t="n"/>
      <c r="G1812" s="28" t="n"/>
      <c r="H1812" s="28" t="n"/>
      <c r="I1812" s="27" t="n"/>
    </row>
    <row r="1813">
      <c r="A1813" s="23" t="n"/>
      <c r="B1813" s="24" t="n"/>
      <c r="C1813" s="24" t="n"/>
      <c r="D1813" s="24" t="n"/>
      <c r="E1813" s="24" t="n"/>
      <c r="F1813" s="24" t="n"/>
      <c r="G1813" s="29" t="n"/>
      <c r="H1813" s="29" t="n"/>
      <c r="I1813" s="24" t="n"/>
    </row>
    <row r="1814">
      <c r="A1814" s="26" t="n"/>
      <c r="B1814" s="27" t="n"/>
      <c r="C1814" s="27" t="n"/>
      <c r="D1814" s="27" t="n"/>
      <c r="E1814" s="27" t="n"/>
      <c r="F1814" s="27" t="n"/>
      <c r="G1814" s="28" t="n"/>
      <c r="H1814" s="28" t="n"/>
      <c r="I1814" s="27" t="n"/>
    </row>
    <row r="1815">
      <c r="A1815" s="23" t="n"/>
      <c r="B1815" s="24" t="n"/>
      <c r="C1815" s="24" t="n"/>
      <c r="D1815" s="24" t="n"/>
      <c r="E1815" s="24" t="n"/>
      <c r="F1815" s="24" t="n"/>
      <c r="G1815" s="29" t="n"/>
      <c r="H1815" s="29" t="n"/>
      <c r="I1815" s="24" t="n"/>
    </row>
    <row r="1816">
      <c r="A1816" s="26" t="n"/>
      <c r="B1816" s="27" t="n"/>
      <c r="C1816" s="27" t="n"/>
      <c r="D1816" s="27" t="n"/>
      <c r="E1816" s="27" t="n"/>
      <c r="F1816" s="27" t="n"/>
      <c r="G1816" s="28" t="n"/>
      <c r="H1816" s="28" t="n"/>
      <c r="I1816" s="27" t="n"/>
    </row>
    <row r="1817">
      <c r="A1817" s="23" t="n"/>
      <c r="B1817" s="24" t="n"/>
      <c r="C1817" s="24" t="n"/>
      <c r="D1817" s="24" t="n"/>
      <c r="E1817" s="24" t="n"/>
      <c r="F1817" s="24" t="n"/>
      <c r="G1817" s="29" t="n"/>
      <c r="H1817" s="29" t="n"/>
      <c r="I1817" s="24" t="n"/>
    </row>
    <row r="1818">
      <c r="A1818" s="26" t="n"/>
      <c r="B1818" s="27" t="n"/>
      <c r="C1818" s="27" t="n"/>
      <c r="D1818" s="27" t="n"/>
      <c r="E1818" s="27" t="n"/>
      <c r="F1818" s="27" t="n"/>
      <c r="G1818" s="28" t="n"/>
      <c r="H1818" s="28" t="n"/>
      <c r="I1818" s="27" t="n"/>
    </row>
    <row r="1819">
      <c r="A1819" s="23" t="n"/>
      <c r="B1819" s="24" t="n"/>
      <c r="C1819" s="24" t="n"/>
      <c r="D1819" s="24" t="n"/>
      <c r="E1819" s="24" t="n"/>
      <c r="F1819" s="24" t="n"/>
      <c r="G1819" s="29" t="n"/>
      <c r="H1819" s="29" t="n"/>
      <c r="I1819" s="24" t="n"/>
    </row>
    <row r="1820">
      <c r="A1820" s="26" t="n"/>
      <c r="B1820" s="27" t="n"/>
      <c r="C1820" s="27" t="n"/>
      <c r="D1820" s="27" t="n"/>
      <c r="E1820" s="27" t="n"/>
      <c r="F1820" s="27" t="n"/>
      <c r="G1820" s="28" t="n"/>
      <c r="H1820" s="28" t="n"/>
      <c r="I1820" s="27" t="n"/>
    </row>
    <row r="1821">
      <c r="A1821" s="23" t="n"/>
      <c r="B1821" s="24" t="n"/>
      <c r="C1821" s="24" t="n"/>
      <c r="D1821" s="24" t="n"/>
      <c r="E1821" s="24" t="n"/>
      <c r="F1821" s="24" t="n"/>
      <c r="G1821" s="29" t="n"/>
      <c r="H1821" s="29" t="n"/>
      <c r="I1821" s="24" t="n"/>
    </row>
    <row r="1822">
      <c r="A1822" s="26" t="n"/>
      <c r="B1822" s="27" t="n"/>
      <c r="C1822" s="27" t="n"/>
      <c r="D1822" s="27" t="n"/>
      <c r="E1822" s="27" t="n"/>
      <c r="F1822" s="27" t="n"/>
      <c r="G1822" s="28" t="n"/>
      <c r="H1822" s="28" t="n"/>
      <c r="I1822" s="27" t="n"/>
    </row>
    <row r="1823">
      <c r="A1823" s="23" t="n"/>
      <c r="B1823" s="24" t="n"/>
      <c r="C1823" s="24" t="n"/>
      <c r="D1823" s="24" t="n"/>
      <c r="E1823" s="24" t="n"/>
      <c r="F1823" s="24" t="n"/>
      <c r="G1823" s="29" t="n"/>
      <c r="H1823" s="29" t="n"/>
      <c r="I1823" s="24" t="n"/>
    </row>
    <row r="1824">
      <c r="A1824" s="26" t="n"/>
      <c r="B1824" s="27" t="n"/>
      <c r="C1824" s="27" t="n"/>
      <c r="D1824" s="27" t="n"/>
      <c r="E1824" s="27" t="n"/>
      <c r="F1824" s="27" t="n"/>
      <c r="G1824" s="28" t="n"/>
      <c r="H1824" s="28" t="n"/>
      <c r="I1824" s="27" t="n"/>
    </row>
    <row r="1825">
      <c r="A1825" s="23" t="n"/>
      <c r="B1825" s="24" t="n"/>
      <c r="C1825" s="24" t="n"/>
      <c r="D1825" s="24" t="n"/>
      <c r="E1825" s="24" t="n"/>
      <c r="F1825" s="24" t="n"/>
      <c r="G1825" s="29" t="n"/>
      <c r="H1825" s="29" t="n"/>
      <c r="I1825" s="24" t="n"/>
    </row>
    <row r="1826">
      <c r="A1826" s="26" t="n"/>
      <c r="B1826" s="27" t="n"/>
      <c r="C1826" s="27" t="n"/>
      <c r="D1826" s="27" t="n"/>
      <c r="E1826" s="27" t="n"/>
      <c r="F1826" s="27" t="n"/>
      <c r="G1826" s="28" t="n"/>
      <c r="H1826" s="28" t="n"/>
      <c r="I1826" s="27" t="n"/>
    </row>
    <row r="1827">
      <c r="A1827" s="23" t="n"/>
      <c r="B1827" s="24" t="n"/>
      <c r="C1827" s="24" t="n"/>
      <c r="D1827" s="24" t="n"/>
      <c r="E1827" s="24" t="n"/>
      <c r="F1827" s="24" t="n"/>
      <c r="G1827" s="29" t="n"/>
      <c r="H1827" s="29" t="n"/>
      <c r="I1827" s="24" t="n"/>
    </row>
    <row r="1828">
      <c r="A1828" s="26" t="n"/>
      <c r="B1828" s="27" t="n"/>
      <c r="C1828" s="27" t="n"/>
      <c r="D1828" s="27" t="n"/>
      <c r="E1828" s="27" t="n"/>
      <c r="F1828" s="27" t="n"/>
      <c r="G1828" s="28" t="n"/>
      <c r="H1828" s="28" t="n"/>
      <c r="I1828" s="27" t="n"/>
    </row>
    <row r="1829">
      <c r="A1829" s="23" t="n"/>
      <c r="B1829" s="24" t="n"/>
      <c r="C1829" s="24" t="n"/>
      <c r="D1829" s="24" t="n"/>
      <c r="E1829" s="24" t="n"/>
      <c r="F1829" s="24" t="n"/>
      <c r="G1829" s="29" t="n"/>
      <c r="H1829" s="29" t="n"/>
      <c r="I1829" s="24" t="n"/>
    </row>
    <row r="1830">
      <c r="A1830" s="26" t="n"/>
      <c r="B1830" s="27" t="n"/>
      <c r="C1830" s="27" t="n"/>
      <c r="D1830" s="27" t="n"/>
      <c r="E1830" s="27" t="n"/>
      <c r="F1830" s="27" t="n"/>
      <c r="G1830" s="28" t="n"/>
      <c r="H1830" s="28" t="n"/>
      <c r="I1830" s="27" t="n"/>
    </row>
    <row r="1831">
      <c r="A1831" s="23" t="n"/>
      <c r="B1831" s="24" t="n"/>
      <c r="C1831" s="24" t="n"/>
      <c r="D1831" s="24" t="n"/>
      <c r="E1831" s="24" t="n"/>
      <c r="F1831" s="24" t="n"/>
      <c r="G1831" s="29" t="n"/>
      <c r="H1831" s="29" t="n"/>
      <c r="I1831" s="24" t="n"/>
    </row>
    <row r="1832">
      <c r="A1832" s="26" t="n"/>
      <c r="B1832" s="27" t="n"/>
      <c r="C1832" s="27" t="n"/>
      <c r="D1832" s="27" t="n"/>
      <c r="E1832" s="27" t="n"/>
      <c r="F1832" s="27" t="n"/>
      <c r="G1832" s="28" t="n"/>
      <c r="H1832" s="28" t="n"/>
      <c r="I1832" s="27" t="n"/>
    </row>
    <row r="1833">
      <c r="A1833" s="23" t="n"/>
      <c r="B1833" s="24" t="n"/>
      <c r="C1833" s="24" t="n"/>
      <c r="D1833" s="24" t="n"/>
      <c r="E1833" s="24" t="n"/>
      <c r="F1833" s="24" t="n"/>
      <c r="G1833" s="29" t="n"/>
      <c r="H1833" s="29" t="n"/>
      <c r="I1833" s="24" t="n"/>
    </row>
    <row r="1834">
      <c r="A1834" s="26" t="n"/>
      <c r="B1834" s="27" t="n"/>
      <c r="C1834" s="27" t="n"/>
      <c r="D1834" s="27" t="n"/>
      <c r="E1834" s="27" t="n"/>
      <c r="F1834" s="27" t="n"/>
      <c r="G1834" s="28" t="n"/>
      <c r="H1834" s="28" t="n"/>
      <c r="I1834" s="27" t="n"/>
    </row>
    <row r="1835">
      <c r="A1835" s="23" t="n"/>
      <c r="B1835" s="24" t="n"/>
      <c r="C1835" s="24" t="n"/>
      <c r="D1835" s="24" t="n"/>
      <c r="E1835" s="24" t="n"/>
      <c r="F1835" s="24" t="n"/>
      <c r="G1835" s="29" t="n"/>
      <c r="H1835" s="29" t="n"/>
      <c r="I1835" s="24" t="n"/>
    </row>
    <row r="1836">
      <c r="A1836" s="26" t="n"/>
      <c r="B1836" s="27" t="n"/>
      <c r="C1836" s="27" t="n"/>
      <c r="D1836" s="27" t="n"/>
      <c r="E1836" s="27" t="n"/>
      <c r="F1836" s="27" t="n"/>
      <c r="G1836" s="28" t="n"/>
      <c r="H1836" s="28" t="n"/>
      <c r="I1836" s="27" t="n"/>
    </row>
    <row r="1837">
      <c r="A1837" s="23" t="n"/>
      <c r="B1837" s="24" t="n"/>
      <c r="C1837" s="24" t="n"/>
      <c r="D1837" s="24" t="n"/>
      <c r="E1837" s="24" t="n"/>
      <c r="F1837" s="24" t="n"/>
      <c r="G1837" s="29" t="n"/>
      <c r="H1837" s="29" t="n"/>
      <c r="I1837" s="24" t="n"/>
    </row>
    <row r="1838">
      <c r="A1838" s="26" t="n"/>
      <c r="B1838" s="27" t="n"/>
      <c r="C1838" s="27" t="n"/>
      <c r="D1838" s="27" t="n"/>
      <c r="E1838" s="27" t="n"/>
      <c r="F1838" s="27" t="n"/>
      <c r="G1838" s="28" t="n"/>
      <c r="H1838" s="28" t="n"/>
      <c r="I1838" s="27" t="n"/>
    </row>
    <row r="1839">
      <c r="A1839" s="23" t="n"/>
      <c r="B1839" s="24" t="n"/>
      <c r="C1839" s="24" t="n"/>
      <c r="D1839" s="24" t="n"/>
      <c r="E1839" s="24" t="n"/>
      <c r="F1839" s="24" t="n"/>
      <c r="G1839" s="29" t="n"/>
      <c r="H1839" s="29" t="n"/>
      <c r="I1839" s="24" t="n"/>
    </row>
    <row r="1840">
      <c r="A1840" s="26" t="n"/>
      <c r="B1840" s="27" t="n"/>
      <c r="C1840" s="27" t="n"/>
      <c r="D1840" s="27" t="n"/>
      <c r="E1840" s="27" t="n"/>
      <c r="F1840" s="27" t="n"/>
      <c r="G1840" s="28" t="n"/>
      <c r="H1840" s="28" t="n"/>
      <c r="I1840" s="27" t="n"/>
    </row>
    <row r="1841">
      <c r="A1841" s="23" t="n"/>
      <c r="B1841" s="24" t="n"/>
      <c r="C1841" s="24" t="n"/>
      <c r="D1841" s="24" t="n"/>
      <c r="E1841" s="24" t="n"/>
      <c r="F1841" s="24" t="n"/>
      <c r="G1841" s="29" t="n"/>
      <c r="H1841" s="29" t="n"/>
      <c r="I1841" s="24" t="n"/>
    </row>
    <row r="1842">
      <c r="A1842" s="26" t="n"/>
      <c r="B1842" s="27" t="n"/>
      <c r="C1842" s="27" t="n"/>
      <c r="D1842" s="27" t="n"/>
      <c r="E1842" s="27" t="n"/>
      <c r="F1842" s="27" t="n"/>
      <c r="G1842" s="28" t="n"/>
      <c r="H1842" s="28" t="n"/>
      <c r="I1842" s="27" t="n"/>
    </row>
    <row r="1843">
      <c r="A1843" s="23" t="n"/>
      <c r="B1843" s="24" t="n"/>
      <c r="C1843" s="24" t="n"/>
      <c r="D1843" s="24" t="n"/>
      <c r="E1843" s="24" t="n"/>
      <c r="F1843" s="24" t="n"/>
      <c r="G1843" s="29" t="n"/>
      <c r="H1843" s="29" t="n"/>
      <c r="I1843" s="24" t="n"/>
    </row>
    <row r="1844">
      <c r="A1844" s="26" t="n"/>
      <c r="B1844" s="27" t="n"/>
      <c r="C1844" s="27" t="n"/>
      <c r="D1844" s="27" t="n"/>
      <c r="E1844" s="27" t="n"/>
      <c r="F1844" s="27" t="n"/>
      <c r="G1844" s="28" t="n"/>
      <c r="H1844" s="28" t="n"/>
      <c r="I1844" s="27" t="n"/>
    </row>
    <row r="1845">
      <c r="A1845" s="23" t="n"/>
      <c r="B1845" s="24" t="n"/>
      <c r="C1845" s="24" t="n"/>
      <c r="D1845" s="24" t="n"/>
      <c r="E1845" s="24" t="n"/>
      <c r="F1845" s="24" t="n"/>
      <c r="G1845" s="29" t="n"/>
      <c r="H1845" s="29" t="n"/>
      <c r="I1845" s="24" t="n"/>
    </row>
    <row r="1846">
      <c r="A1846" s="26" t="n"/>
      <c r="B1846" s="27" t="n"/>
      <c r="C1846" s="27" t="n"/>
      <c r="D1846" s="27" t="n"/>
      <c r="E1846" s="27" t="n"/>
      <c r="F1846" s="27" t="n"/>
      <c r="G1846" s="28" t="n"/>
      <c r="H1846" s="28" t="n"/>
      <c r="I1846" s="27" t="n"/>
    </row>
    <row r="1847">
      <c r="A1847" s="23" t="n"/>
      <c r="B1847" s="24" t="n"/>
      <c r="C1847" s="24" t="n"/>
      <c r="D1847" s="24" t="n"/>
      <c r="E1847" s="24" t="n"/>
      <c r="F1847" s="24" t="n"/>
      <c r="G1847" s="29" t="n"/>
      <c r="H1847" s="29" t="n"/>
      <c r="I1847" s="24" t="n"/>
    </row>
    <row r="1848">
      <c r="A1848" s="26" t="n"/>
      <c r="B1848" s="27" t="n"/>
      <c r="C1848" s="27" t="n"/>
      <c r="D1848" s="27" t="n"/>
      <c r="E1848" s="27" t="n"/>
      <c r="F1848" s="27" t="n"/>
      <c r="G1848" s="28" t="n"/>
      <c r="H1848" s="28" t="n"/>
      <c r="I1848" s="27" t="n"/>
    </row>
    <row r="1849">
      <c r="A1849" s="23" t="n"/>
      <c r="B1849" s="24" t="n"/>
      <c r="C1849" s="24" t="n"/>
      <c r="D1849" s="24" t="n"/>
      <c r="E1849" s="24" t="n"/>
      <c r="F1849" s="24" t="n"/>
      <c r="G1849" s="29" t="n"/>
      <c r="H1849" s="29" t="n"/>
      <c r="I1849" s="24" t="n"/>
    </row>
    <row r="1850">
      <c r="A1850" s="26" t="n"/>
      <c r="B1850" s="27" t="n"/>
      <c r="C1850" s="27" t="n"/>
      <c r="D1850" s="27" t="n"/>
      <c r="E1850" s="27" t="n"/>
      <c r="F1850" s="27" t="n"/>
      <c r="G1850" s="28" t="n"/>
      <c r="H1850" s="28" t="n"/>
      <c r="I1850" s="27" t="n"/>
    </row>
    <row r="1851">
      <c r="A1851" s="23" t="n"/>
      <c r="B1851" s="24" t="n"/>
      <c r="C1851" s="24" t="n"/>
      <c r="D1851" s="24" t="n"/>
      <c r="E1851" s="24" t="n"/>
      <c r="F1851" s="24" t="n"/>
      <c r="G1851" s="29" t="n"/>
      <c r="H1851" s="29" t="n"/>
      <c r="I1851" s="24" t="n"/>
    </row>
    <row r="1852">
      <c r="A1852" s="26" t="n"/>
      <c r="B1852" s="27" t="n"/>
      <c r="C1852" s="27" t="n"/>
      <c r="D1852" s="27" t="n"/>
      <c r="E1852" s="27" t="n"/>
      <c r="F1852" s="27" t="n"/>
      <c r="G1852" s="28" t="n"/>
      <c r="H1852" s="28" t="n"/>
      <c r="I1852" s="27" t="n"/>
    </row>
    <row r="1853">
      <c r="A1853" s="23" t="n"/>
      <c r="B1853" s="24" t="n"/>
      <c r="C1853" s="24" t="n"/>
      <c r="D1853" s="24" t="n"/>
      <c r="E1853" s="24" t="n"/>
      <c r="F1853" s="24" t="n"/>
      <c r="G1853" s="29" t="n"/>
      <c r="H1853" s="29" t="n"/>
      <c r="I1853" s="24" t="n"/>
    </row>
    <row r="1854">
      <c r="A1854" s="26" t="n"/>
      <c r="B1854" s="27" t="n"/>
      <c r="C1854" s="27" t="n"/>
      <c r="D1854" s="27" t="n"/>
      <c r="E1854" s="27" t="n"/>
      <c r="F1854" s="27" t="n"/>
      <c r="G1854" s="28" t="n"/>
      <c r="H1854" s="28" t="n"/>
      <c r="I1854" s="27" t="n"/>
    </row>
    <row r="1855">
      <c r="A1855" s="23" t="n"/>
      <c r="B1855" s="24" t="n"/>
      <c r="C1855" s="24" t="n"/>
      <c r="D1855" s="24" t="n"/>
      <c r="E1855" s="24" t="n"/>
      <c r="F1855" s="24" t="n"/>
      <c r="G1855" s="29" t="n"/>
      <c r="H1855" s="29" t="n"/>
      <c r="I1855" s="24" t="n"/>
    </row>
    <row r="1856">
      <c r="A1856" s="26" t="n"/>
      <c r="B1856" s="27" t="n"/>
      <c r="C1856" s="27" t="n"/>
      <c r="D1856" s="27" t="n"/>
      <c r="E1856" s="27" t="n"/>
      <c r="F1856" s="27" t="n"/>
      <c r="G1856" s="28" t="n"/>
      <c r="H1856" s="28" t="n"/>
      <c r="I1856" s="27" t="n"/>
    </row>
    <row r="1857">
      <c r="A1857" s="23" t="n"/>
      <c r="B1857" s="24" t="n"/>
      <c r="C1857" s="24" t="n"/>
      <c r="D1857" s="24" t="n"/>
      <c r="E1857" s="24" t="n"/>
      <c r="F1857" s="24" t="n"/>
      <c r="G1857" s="29" t="n"/>
      <c r="H1857" s="29" t="n"/>
      <c r="I1857" s="24" t="n"/>
    </row>
    <row r="1858">
      <c r="A1858" s="26" t="n"/>
      <c r="B1858" s="27" t="n"/>
      <c r="C1858" s="27" t="n"/>
      <c r="D1858" s="27" t="n"/>
      <c r="E1858" s="27" t="n"/>
      <c r="F1858" s="27" t="n"/>
      <c r="G1858" s="28" t="n"/>
      <c r="H1858" s="28" t="n"/>
      <c r="I1858" s="27" t="n"/>
    </row>
    <row r="1859">
      <c r="A1859" s="23" t="n"/>
      <c r="B1859" s="24" t="n"/>
      <c r="C1859" s="24" t="n"/>
      <c r="D1859" s="24" t="n"/>
      <c r="E1859" s="24" t="n"/>
      <c r="F1859" s="24" t="n"/>
      <c r="G1859" s="29" t="n"/>
      <c r="H1859" s="29" t="n"/>
      <c r="I1859" s="24" t="n"/>
    </row>
    <row r="1860">
      <c r="A1860" s="26" t="n"/>
      <c r="B1860" s="27" t="n"/>
      <c r="C1860" s="27" t="n"/>
      <c r="D1860" s="27" t="n"/>
      <c r="E1860" s="27" t="n"/>
      <c r="F1860" s="27" t="n"/>
      <c r="G1860" s="28" t="n"/>
      <c r="H1860" s="28" t="n"/>
      <c r="I1860" s="27" t="n"/>
    </row>
    <row r="1861">
      <c r="A1861" s="23" t="n"/>
      <c r="B1861" s="24" t="n"/>
      <c r="C1861" s="24" t="n"/>
      <c r="D1861" s="24" t="n"/>
      <c r="E1861" s="24" t="n"/>
      <c r="F1861" s="24" t="n"/>
      <c r="G1861" s="29" t="n"/>
      <c r="H1861" s="29" t="n"/>
      <c r="I1861" s="24" t="n"/>
    </row>
    <row r="1862">
      <c r="A1862" s="26" t="n"/>
      <c r="B1862" s="27" t="n"/>
      <c r="C1862" s="27" t="n"/>
      <c r="D1862" s="27" t="n"/>
      <c r="E1862" s="27" t="n"/>
      <c r="F1862" s="27" t="n"/>
      <c r="G1862" s="28" t="n"/>
      <c r="H1862" s="28" t="n"/>
      <c r="I1862" s="27" t="n"/>
    </row>
    <row r="1863">
      <c r="A1863" s="23" t="n"/>
      <c r="B1863" s="24" t="n"/>
      <c r="C1863" s="24" t="n"/>
      <c r="D1863" s="24" t="n"/>
      <c r="E1863" s="24" t="n"/>
      <c r="F1863" s="24" t="n"/>
      <c r="G1863" s="29" t="n"/>
      <c r="H1863" s="29" t="n"/>
      <c r="I1863" s="24" t="n"/>
    </row>
    <row r="1864">
      <c r="A1864" s="26" t="n"/>
      <c r="B1864" s="27" t="n"/>
      <c r="C1864" s="27" t="n"/>
      <c r="D1864" s="27" t="n"/>
      <c r="E1864" s="27" t="n"/>
      <c r="F1864" s="27" t="n"/>
      <c r="G1864" s="28" t="n"/>
      <c r="H1864" s="28" t="n"/>
      <c r="I1864" s="27" t="n"/>
    </row>
    <row r="1865">
      <c r="A1865" s="23" t="n"/>
      <c r="B1865" s="24" t="n"/>
      <c r="C1865" s="24" t="n"/>
      <c r="D1865" s="24" t="n"/>
      <c r="E1865" s="24" t="n"/>
      <c r="F1865" s="24" t="n"/>
      <c r="G1865" s="29" t="n"/>
      <c r="H1865" s="29" t="n"/>
      <c r="I1865" s="24" t="n"/>
    </row>
    <row r="1866">
      <c r="A1866" s="26" t="n"/>
      <c r="B1866" s="27" t="n"/>
      <c r="C1866" s="27" t="n"/>
      <c r="D1866" s="27" t="n"/>
      <c r="E1866" s="27" t="n"/>
      <c r="F1866" s="27" t="n"/>
      <c r="G1866" s="28" t="n"/>
      <c r="H1866" s="28" t="n"/>
      <c r="I1866" s="27" t="n"/>
    </row>
    <row r="1867">
      <c r="A1867" s="23" t="n"/>
      <c r="B1867" s="24" t="n"/>
      <c r="C1867" s="24" t="n"/>
      <c r="D1867" s="24" t="n"/>
      <c r="E1867" s="24" t="n"/>
      <c r="F1867" s="24" t="n"/>
      <c r="G1867" s="29" t="n"/>
      <c r="H1867" s="29" t="n"/>
      <c r="I1867" s="24" t="n"/>
    </row>
    <row r="1868">
      <c r="A1868" s="26" t="n"/>
      <c r="B1868" s="27" t="n"/>
      <c r="C1868" s="27" t="n"/>
      <c r="D1868" s="27" t="n"/>
      <c r="E1868" s="27" t="n"/>
      <c r="F1868" s="27" t="n"/>
      <c r="G1868" s="28" t="n"/>
      <c r="H1868" s="28" t="n"/>
      <c r="I1868" s="27" t="n"/>
    </row>
    <row r="1869">
      <c r="A1869" s="23" t="n"/>
      <c r="B1869" s="24" t="n"/>
      <c r="C1869" s="24" t="n"/>
      <c r="D1869" s="24" t="n"/>
      <c r="E1869" s="24" t="n"/>
      <c r="F1869" s="24" t="n"/>
      <c r="G1869" s="29" t="n"/>
      <c r="H1869" s="29" t="n"/>
      <c r="I1869" s="24" t="n"/>
    </row>
    <row r="1870">
      <c r="A1870" s="26" t="n"/>
      <c r="B1870" s="27" t="n"/>
      <c r="C1870" s="27" t="n"/>
      <c r="D1870" s="27" t="n"/>
      <c r="E1870" s="27" t="n"/>
      <c r="F1870" s="27" t="n"/>
      <c r="G1870" s="28" t="n"/>
      <c r="H1870" s="28" t="n"/>
      <c r="I1870" s="27" t="n"/>
    </row>
    <row r="1871">
      <c r="A1871" s="23" t="n"/>
      <c r="B1871" s="24" t="n"/>
      <c r="C1871" s="24" t="n"/>
      <c r="D1871" s="24" t="n"/>
      <c r="E1871" s="24" t="n"/>
      <c r="F1871" s="24" t="n"/>
      <c r="G1871" s="29" t="n"/>
      <c r="H1871" s="29" t="n"/>
      <c r="I1871" s="24" t="n"/>
    </row>
    <row r="1872">
      <c r="A1872" s="26" t="n"/>
      <c r="B1872" s="27" t="n"/>
      <c r="C1872" s="27" t="n"/>
      <c r="D1872" s="27" t="n"/>
      <c r="E1872" s="27" t="n"/>
      <c r="F1872" s="27" t="n"/>
      <c r="G1872" s="28" t="n"/>
      <c r="H1872" s="28" t="n"/>
      <c r="I1872" s="27" t="n"/>
    </row>
    <row r="1873">
      <c r="A1873" s="23" t="n"/>
      <c r="B1873" s="24" t="n"/>
      <c r="C1873" s="24" t="n"/>
      <c r="D1873" s="24" t="n"/>
      <c r="E1873" s="24" t="n"/>
      <c r="F1873" s="24" t="n"/>
      <c r="G1873" s="29" t="n"/>
      <c r="H1873" s="29" t="n"/>
      <c r="I1873" s="24" t="n"/>
    </row>
    <row r="1874">
      <c r="A1874" s="26" t="n"/>
      <c r="B1874" s="27" t="n"/>
      <c r="C1874" s="27" t="n"/>
      <c r="D1874" s="27" t="n"/>
      <c r="E1874" s="27" t="n"/>
      <c r="F1874" s="27" t="n"/>
      <c r="G1874" s="28" t="n"/>
      <c r="H1874" s="28" t="n"/>
      <c r="I1874" s="27" t="n"/>
    </row>
    <row r="1875">
      <c r="A1875" s="23" t="n"/>
      <c r="B1875" s="24" t="n"/>
      <c r="C1875" s="24" t="n"/>
      <c r="D1875" s="24" t="n"/>
      <c r="E1875" s="24" t="n"/>
      <c r="F1875" s="24" t="n"/>
      <c r="G1875" s="29" t="n"/>
      <c r="H1875" s="29" t="n"/>
      <c r="I1875" s="24" t="n"/>
    </row>
    <row r="1876">
      <c r="A1876" s="26" t="n"/>
      <c r="B1876" s="27" t="n"/>
      <c r="C1876" s="27" t="n"/>
      <c r="D1876" s="27" t="n"/>
      <c r="E1876" s="27" t="n"/>
      <c r="F1876" s="27" t="n"/>
      <c r="G1876" s="28" t="n"/>
      <c r="H1876" s="28" t="n"/>
      <c r="I1876" s="27" t="n"/>
    </row>
    <row r="1877">
      <c r="A1877" s="23" t="n"/>
      <c r="B1877" s="24" t="n"/>
      <c r="C1877" s="24" t="n"/>
      <c r="D1877" s="24" t="n"/>
      <c r="E1877" s="24" t="n"/>
      <c r="F1877" s="24" t="n"/>
      <c r="G1877" s="29" t="n"/>
      <c r="H1877" s="29" t="n"/>
      <c r="I1877" s="24" t="n"/>
    </row>
    <row r="1878">
      <c r="A1878" s="26" t="n"/>
      <c r="B1878" s="27" t="n"/>
      <c r="C1878" s="27" t="n"/>
      <c r="D1878" s="27" t="n"/>
      <c r="E1878" s="27" t="n"/>
      <c r="F1878" s="27" t="n"/>
      <c r="G1878" s="28" t="n"/>
      <c r="H1878" s="28" t="n"/>
      <c r="I1878" s="27" t="n"/>
    </row>
    <row r="1879">
      <c r="A1879" s="23" t="n"/>
      <c r="B1879" s="24" t="n"/>
      <c r="C1879" s="24" t="n"/>
      <c r="D1879" s="24" t="n"/>
      <c r="E1879" s="24" t="n"/>
      <c r="F1879" s="24" t="n"/>
      <c r="G1879" s="29" t="n"/>
      <c r="H1879" s="29" t="n"/>
      <c r="I1879" s="24" t="n"/>
    </row>
    <row r="1880">
      <c r="A1880" s="26" t="n"/>
      <c r="B1880" s="27" t="n"/>
      <c r="C1880" s="27" t="n"/>
      <c r="D1880" s="27" t="n"/>
      <c r="E1880" s="27" t="n"/>
      <c r="F1880" s="27" t="n"/>
      <c r="G1880" s="28" t="n"/>
      <c r="H1880" s="28" t="n"/>
      <c r="I1880" s="27" t="n"/>
    </row>
    <row r="1881">
      <c r="A1881" s="23" t="n"/>
      <c r="B1881" s="24" t="n"/>
      <c r="C1881" s="24" t="n"/>
      <c r="D1881" s="24" t="n"/>
      <c r="E1881" s="24" t="n"/>
      <c r="F1881" s="24" t="n"/>
      <c r="G1881" s="29" t="n"/>
      <c r="H1881" s="29" t="n"/>
      <c r="I1881" s="24" t="n"/>
    </row>
    <row r="1882">
      <c r="A1882" s="26" t="n"/>
      <c r="B1882" s="27" t="n"/>
      <c r="C1882" s="27" t="n"/>
      <c r="D1882" s="27" t="n"/>
      <c r="E1882" s="27" t="n"/>
      <c r="F1882" s="27" t="n"/>
      <c r="G1882" s="28" t="n"/>
      <c r="H1882" s="28" t="n"/>
      <c r="I1882" s="27" t="n"/>
    </row>
    <row r="1883">
      <c r="A1883" s="23" t="n"/>
      <c r="B1883" s="24" t="n"/>
      <c r="C1883" s="24" t="n"/>
      <c r="D1883" s="24" t="n"/>
      <c r="E1883" s="24" t="n"/>
      <c r="F1883" s="24" t="n"/>
      <c r="G1883" s="29" t="n"/>
      <c r="H1883" s="29" t="n"/>
      <c r="I1883" s="24" t="n"/>
    </row>
    <row r="1884">
      <c r="A1884" s="26" t="n"/>
      <c r="B1884" s="27" t="n"/>
      <c r="C1884" s="27" t="n"/>
      <c r="D1884" s="27" t="n"/>
      <c r="E1884" s="27" t="n"/>
      <c r="F1884" s="27" t="n"/>
      <c r="G1884" s="28" t="n"/>
      <c r="H1884" s="28" t="n"/>
      <c r="I1884" s="27" t="n"/>
    </row>
    <row r="1885">
      <c r="A1885" s="23" t="n"/>
      <c r="B1885" s="24" t="n"/>
      <c r="C1885" s="24" t="n"/>
      <c r="D1885" s="24" t="n"/>
      <c r="E1885" s="24" t="n"/>
      <c r="F1885" s="24" t="n"/>
      <c r="G1885" s="29" t="n"/>
      <c r="H1885" s="29" t="n"/>
      <c r="I1885" s="24" t="n"/>
    </row>
    <row r="1886">
      <c r="A1886" s="26" t="n"/>
      <c r="B1886" s="27" t="n"/>
      <c r="C1886" s="27" t="n"/>
      <c r="D1886" s="27" t="n"/>
      <c r="E1886" s="27" t="n"/>
      <c r="F1886" s="27" t="n"/>
      <c r="G1886" s="28" t="n"/>
      <c r="H1886" s="28" t="n"/>
      <c r="I1886" s="27" t="n"/>
    </row>
    <row r="1887">
      <c r="A1887" s="23" t="n"/>
      <c r="B1887" s="24" t="n"/>
      <c r="C1887" s="24" t="n"/>
      <c r="D1887" s="24" t="n"/>
      <c r="E1887" s="24" t="n"/>
      <c r="F1887" s="24" t="n"/>
      <c r="G1887" s="29" t="n"/>
      <c r="H1887" s="29" t="n"/>
      <c r="I1887" s="24" t="n"/>
    </row>
    <row r="1888">
      <c r="A1888" s="26" t="n"/>
      <c r="B1888" s="27" t="n"/>
      <c r="C1888" s="27" t="n"/>
      <c r="D1888" s="27" t="n"/>
      <c r="E1888" s="27" t="n"/>
      <c r="F1888" s="27" t="n"/>
      <c r="G1888" s="28" t="n"/>
      <c r="H1888" s="28" t="n"/>
      <c r="I1888" s="27" t="n"/>
    </row>
    <row r="1889">
      <c r="A1889" s="23" t="n"/>
      <c r="B1889" s="24" t="n"/>
      <c r="C1889" s="24" t="n"/>
      <c r="D1889" s="24" t="n"/>
      <c r="E1889" s="24" t="n"/>
      <c r="F1889" s="24" t="n"/>
      <c r="G1889" s="29" t="n"/>
      <c r="H1889" s="29" t="n"/>
      <c r="I1889" s="24" t="n"/>
    </row>
    <row r="1890">
      <c r="A1890" s="26" t="n"/>
      <c r="B1890" s="27" t="n"/>
      <c r="C1890" s="27" t="n"/>
      <c r="D1890" s="27" t="n"/>
      <c r="E1890" s="27" t="n"/>
      <c r="F1890" s="27" t="n"/>
      <c r="G1890" s="28" t="n"/>
      <c r="H1890" s="28" t="n"/>
      <c r="I1890" s="27" t="n"/>
    </row>
    <row r="1891">
      <c r="A1891" s="23" t="n"/>
      <c r="B1891" s="24" t="n"/>
      <c r="C1891" s="24" t="n"/>
      <c r="D1891" s="24" t="n"/>
      <c r="E1891" s="24" t="n"/>
      <c r="F1891" s="24" t="n"/>
      <c r="G1891" s="29" t="n"/>
      <c r="H1891" s="29" t="n"/>
      <c r="I1891" s="24" t="n"/>
    </row>
    <row r="1892">
      <c r="A1892" s="26" t="n"/>
      <c r="B1892" s="27" t="n"/>
      <c r="C1892" s="27" t="n"/>
      <c r="D1892" s="27" t="n"/>
      <c r="E1892" s="27" t="n"/>
      <c r="F1892" s="27" t="n"/>
      <c r="G1892" s="28" t="n"/>
      <c r="H1892" s="28" t="n"/>
      <c r="I1892" s="27" t="n"/>
    </row>
    <row r="1893">
      <c r="A1893" s="23" t="n"/>
      <c r="B1893" s="24" t="n"/>
      <c r="C1893" s="24" t="n"/>
      <c r="D1893" s="24" t="n"/>
      <c r="E1893" s="24" t="n"/>
      <c r="F1893" s="24" t="n"/>
      <c r="G1893" s="29" t="n"/>
      <c r="H1893" s="29" t="n"/>
      <c r="I1893" s="24" t="n"/>
    </row>
    <row r="1894">
      <c r="A1894" s="26" t="n"/>
      <c r="B1894" s="27" t="n"/>
      <c r="C1894" s="27" t="n"/>
      <c r="D1894" s="27" t="n"/>
      <c r="E1894" s="27" t="n"/>
      <c r="F1894" s="27" t="n"/>
      <c r="G1894" s="28" t="n"/>
      <c r="H1894" s="28" t="n"/>
      <c r="I1894" s="27" t="n"/>
    </row>
    <row r="1895">
      <c r="A1895" s="23" t="n"/>
      <c r="B1895" s="24" t="n"/>
      <c r="C1895" s="24" t="n"/>
      <c r="D1895" s="24" t="n"/>
      <c r="E1895" s="24" t="n"/>
      <c r="F1895" s="24" t="n"/>
      <c r="G1895" s="29" t="n"/>
      <c r="H1895" s="29" t="n"/>
      <c r="I1895" s="24" t="n"/>
    </row>
    <row r="1896">
      <c r="A1896" s="26" t="n"/>
      <c r="B1896" s="27" t="n"/>
      <c r="C1896" s="27" t="n"/>
      <c r="D1896" s="27" t="n"/>
      <c r="E1896" s="27" t="n"/>
      <c r="F1896" s="27" t="n"/>
      <c r="G1896" s="28" t="n"/>
      <c r="H1896" s="28" t="n"/>
      <c r="I1896" s="27" t="n"/>
    </row>
    <row r="1897">
      <c r="A1897" s="23" t="n"/>
      <c r="B1897" s="24" t="n"/>
      <c r="C1897" s="24" t="n"/>
      <c r="D1897" s="24" t="n"/>
      <c r="E1897" s="24" t="n"/>
      <c r="F1897" s="24" t="n"/>
      <c r="G1897" s="29" t="n"/>
      <c r="H1897" s="29" t="n"/>
      <c r="I1897" s="24" t="n"/>
    </row>
    <row r="1898">
      <c r="A1898" s="26" t="n"/>
      <c r="B1898" s="27" t="n"/>
      <c r="C1898" s="27" t="n"/>
      <c r="D1898" s="27" t="n"/>
      <c r="E1898" s="27" t="n"/>
      <c r="F1898" s="27" t="n"/>
      <c r="G1898" s="28" t="n"/>
      <c r="H1898" s="28" t="n"/>
      <c r="I1898" s="27" t="n"/>
    </row>
    <row r="1899">
      <c r="A1899" s="23" t="n"/>
      <c r="B1899" s="24" t="n"/>
      <c r="C1899" s="24" t="n"/>
      <c r="D1899" s="24" t="n"/>
      <c r="E1899" s="24" t="n"/>
      <c r="F1899" s="24" t="n"/>
      <c r="G1899" s="29" t="n"/>
      <c r="H1899" s="29" t="n"/>
      <c r="I1899" s="24" t="n"/>
    </row>
    <row r="1900">
      <c r="A1900" s="26" t="n"/>
      <c r="B1900" s="27" t="n"/>
      <c r="C1900" s="27" t="n"/>
      <c r="D1900" s="27" t="n"/>
      <c r="E1900" s="27" t="n"/>
      <c r="F1900" s="27" t="n"/>
      <c r="G1900" s="28" t="n"/>
      <c r="H1900" s="28" t="n"/>
      <c r="I1900" s="27" t="n"/>
    </row>
    <row r="1901">
      <c r="A1901" s="23" t="n"/>
      <c r="B1901" s="24" t="n"/>
      <c r="C1901" s="24" t="n"/>
      <c r="D1901" s="24" t="n"/>
      <c r="E1901" s="24" t="n"/>
      <c r="F1901" s="24" t="n"/>
      <c r="G1901" s="29" t="n"/>
      <c r="H1901" s="29" t="n"/>
      <c r="I1901" s="24" t="n"/>
    </row>
    <row r="1902">
      <c r="A1902" s="26" t="n"/>
      <c r="B1902" s="27" t="n"/>
      <c r="C1902" s="27" t="n"/>
      <c r="D1902" s="27" t="n"/>
      <c r="E1902" s="27" t="n"/>
      <c r="F1902" s="27" t="n"/>
      <c r="G1902" s="28" t="n"/>
      <c r="H1902" s="28" t="n"/>
      <c r="I1902" s="27" t="n"/>
    </row>
    <row r="1903">
      <c r="A1903" s="23" t="n"/>
      <c r="B1903" s="24" t="n"/>
      <c r="C1903" s="24" t="n"/>
      <c r="D1903" s="24" t="n"/>
      <c r="E1903" s="24" t="n"/>
      <c r="F1903" s="24" t="n"/>
      <c r="G1903" s="29" t="n"/>
      <c r="H1903" s="29" t="n"/>
      <c r="I1903" s="24" t="n"/>
    </row>
    <row r="1904">
      <c r="A1904" s="26" t="n"/>
      <c r="B1904" s="27" t="n"/>
      <c r="C1904" s="27" t="n"/>
      <c r="D1904" s="27" t="n"/>
      <c r="E1904" s="27" t="n"/>
      <c r="F1904" s="27" t="n"/>
      <c r="G1904" s="28" t="n"/>
      <c r="H1904" s="28" t="n"/>
      <c r="I1904" s="27" t="n"/>
    </row>
    <row r="1905">
      <c r="A1905" s="23" t="n"/>
      <c r="B1905" s="24" t="n"/>
      <c r="C1905" s="24" t="n"/>
      <c r="D1905" s="24" t="n"/>
      <c r="E1905" s="24" t="n"/>
      <c r="F1905" s="24" t="n"/>
      <c r="G1905" s="29" t="n"/>
      <c r="H1905" s="29" t="n"/>
      <c r="I1905" s="24" t="n"/>
    </row>
    <row r="1906">
      <c r="A1906" s="26" t="n"/>
      <c r="B1906" s="27" t="n"/>
      <c r="C1906" s="27" t="n"/>
      <c r="D1906" s="27" t="n"/>
      <c r="E1906" s="27" t="n"/>
      <c r="F1906" s="27" t="n"/>
      <c r="G1906" s="28" t="n"/>
      <c r="H1906" s="28" t="n"/>
      <c r="I1906" s="27" t="n"/>
    </row>
    <row r="1907">
      <c r="A1907" s="23" t="n"/>
      <c r="B1907" s="24" t="n"/>
      <c r="C1907" s="24" t="n"/>
      <c r="D1907" s="24" t="n"/>
      <c r="E1907" s="24" t="n"/>
      <c r="F1907" s="24" t="n"/>
      <c r="G1907" s="29" t="n"/>
      <c r="H1907" s="29" t="n"/>
      <c r="I1907" s="24" t="n"/>
    </row>
    <row r="1908">
      <c r="A1908" s="26" t="n"/>
      <c r="B1908" s="27" t="n"/>
      <c r="C1908" s="27" t="n"/>
      <c r="D1908" s="27" t="n"/>
      <c r="E1908" s="27" t="n"/>
      <c r="F1908" s="27" t="n"/>
      <c r="G1908" s="28" t="n"/>
      <c r="H1908" s="28" t="n"/>
      <c r="I1908" s="27" t="n"/>
    </row>
    <row r="1909">
      <c r="A1909" s="23" t="n"/>
      <c r="B1909" s="24" t="n"/>
      <c r="C1909" s="24" t="n"/>
      <c r="D1909" s="24" t="n"/>
      <c r="E1909" s="24" t="n"/>
      <c r="F1909" s="24" t="n"/>
      <c r="G1909" s="29" t="n"/>
      <c r="H1909" s="29" t="n"/>
      <c r="I1909" s="24" t="n"/>
    </row>
    <row r="1910">
      <c r="A1910" s="26" t="n"/>
      <c r="B1910" s="27" t="n"/>
      <c r="C1910" s="27" t="n"/>
      <c r="D1910" s="27" t="n"/>
      <c r="E1910" s="27" t="n"/>
      <c r="F1910" s="27" t="n"/>
      <c r="G1910" s="28" t="n"/>
      <c r="H1910" s="28" t="n"/>
      <c r="I1910" s="27" t="n"/>
    </row>
    <row r="1911">
      <c r="A1911" s="23" t="n"/>
      <c r="B1911" s="24" t="n"/>
      <c r="C1911" s="24" t="n"/>
      <c r="D1911" s="24" t="n"/>
      <c r="E1911" s="24" t="n"/>
      <c r="F1911" s="24" t="n"/>
      <c r="G1911" s="29" t="n"/>
      <c r="H1911" s="29" t="n"/>
      <c r="I1911" s="24" t="n"/>
    </row>
    <row r="1912">
      <c r="A1912" s="26" t="n"/>
      <c r="B1912" s="27" t="n"/>
      <c r="C1912" s="27" t="n"/>
      <c r="D1912" s="27" t="n"/>
      <c r="E1912" s="27" t="n"/>
      <c r="F1912" s="27" t="n"/>
      <c r="G1912" s="28" t="n"/>
      <c r="H1912" s="28" t="n"/>
      <c r="I1912" s="27" t="n"/>
    </row>
    <row r="1913">
      <c r="A1913" s="23" t="n"/>
      <c r="B1913" s="24" t="n"/>
      <c r="C1913" s="24" t="n"/>
      <c r="D1913" s="24" t="n"/>
      <c r="E1913" s="24" t="n"/>
      <c r="F1913" s="24" t="n"/>
      <c r="G1913" s="29" t="n"/>
      <c r="H1913" s="29" t="n"/>
      <c r="I1913" s="24" t="n"/>
    </row>
    <row r="1914">
      <c r="A1914" s="26" t="n"/>
      <c r="B1914" s="27" t="n"/>
      <c r="C1914" s="27" t="n"/>
      <c r="D1914" s="27" t="n"/>
      <c r="E1914" s="27" t="n"/>
      <c r="F1914" s="27" t="n"/>
      <c r="G1914" s="28" t="n"/>
      <c r="H1914" s="28" t="n"/>
      <c r="I1914" s="27" t="n"/>
    </row>
    <row r="1915">
      <c r="A1915" s="23" t="n"/>
      <c r="B1915" s="24" t="n"/>
      <c r="C1915" s="24" t="n"/>
      <c r="D1915" s="24" t="n"/>
      <c r="E1915" s="24" t="n"/>
      <c r="F1915" s="24" t="n"/>
      <c r="G1915" s="29" t="n"/>
      <c r="H1915" s="29" t="n"/>
      <c r="I1915" s="24" t="n"/>
    </row>
    <row r="1916">
      <c r="A1916" s="26" t="n"/>
      <c r="B1916" s="27" t="n"/>
      <c r="C1916" s="27" t="n"/>
      <c r="D1916" s="27" t="n"/>
      <c r="E1916" s="27" t="n"/>
      <c r="F1916" s="27" t="n"/>
      <c r="G1916" s="28" t="n"/>
      <c r="H1916" s="28" t="n"/>
      <c r="I1916" s="27" t="n"/>
    </row>
    <row r="1917">
      <c r="A1917" s="23" t="n"/>
      <c r="B1917" s="24" t="n"/>
      <c r="C1917" s="24" t="n"/>
      <c r="D1917" s="24" t="n"/>
      <c r="E1917" s="24" t="n"/>
      <c r="F1917" s="24" t="n"/>
      <c r="G1917" s="29" t="n"/>
      <c r="H1917" s="29" t="n"/>
      <c r="I1917" s="24" t="n"/>
    </row>
    <row r="1918">
      <c r="A1918" s="26" t="n"/>
      <c r="B1918" s="27" t="n"/>
      <c r="C1918" s="27" t="n"/>
      <c r="D1918" s="27" t="n"/>
      <c r="E1918" s="27" t="n"/>
      <c r="F1918" s="27" t="n"/>
      <c r="G1918" s="28" t="n"/>
      <c r="H1918" s="28" t="n"/>
      <c r="I1918" s="27" t="n"/>
    </row>
    <row r="1919">
      <c r="A1919" s="23" t="n"/>
      <c r="B1919" s="24" t="n"/>
      <c r="C1919" s="24" t="n"/>
      <c r="D1919" s="24" t="n"/>
      <c r="E1919" s="24" t="n"/>
      <c r="F1919" s="24" t="n"/>
      <c r="G1919" s="29" t="n"/>
      <c r="H1919" s="29" t="n"/>
      <c r="I1919" s="24" t="n"/>
    </row>
    <row r="1920">
      <c r="A1920" s="26" t="n"/>
      <c r="B1920" s="27" t="n"/>
      <c r="C1920" s="27" t="n"/>
      <c r="D1920" s="27" t="n"/>
      <c r="E1920" s="27" t="n"/>
      <c r="F1920" s="27" t="n"/>
      <c r="G1920" s="28" t="n"/>
      <c r="H1920" s="28" t="n"/>
      <c r="I1920" s="27" t="n"/>
    </row>
    <row r="1921">
      <c r="A1921" s="23" t="n"/>
      <c r="B1921" s="24" t="n"/>
      <c r="C1921" s="24" t="n"/>
      <c r="D1921" s="24" t="n"/>
      <c r="E1921" s="24" t="n"/>
      <c r="F1921" s="24" t="n"/>
      <c r="G1921" s="29" t="n"/>
      <c r="H1921" s="29" t="n"/>
      <c r="I1921" s="24" t="n"/>
    </row>
    <row r="1922">
      <c r="A1922" s="26" t="n"/>
      <c r="B1922" s="27" t="n"/>
      <c r="C1922" s="27" t="n"/>
      <c r="D1922" s="27" t="n"/>
      <c r="E1922" s="27" t="n"/>
      <c r="F1922" s="27" t="n"/>
      <c r="G1922" s="28" t="n"/>
      <c r="H1922" s="28" t="n"/>
      <c r="I1922" s="27" t="n"/>
    </row>
    <row r="1923">
      <c r="A1923" s="23" t="n"/>
      <c r="B1923" s="24" t="n"/>
      <c r="C1923" s="24" t="n"/>
      <c r="D1923" s="24" t="n"/>
      <c r="E1923" s="24" t="n"/>
      <c r="F1923" s="24" t="n"/>
      <c r="G1923" s="29" t="n"/>
      <c r="H1923" s="29" t="n"/>
      <c r="I1923" s="24" t="n"/>
    </row>
    <row r="1924">
      <c r="A1924" s="26" t="n"/>
      <c r="B1924" s="27" t="n"/>
      <c r="C1924" s="27" t="n"/>
      <c r="D1924" s="27" t="n"/>
      <c r="E1924" s="27" t="n"/>
      <c r="F1924" s="27" t="n"/>
      <c r="G1924" s="28" t="n"/>
      <c r="H1924" s="28" t="n"/>
      <c r="I1924" s="27" t="n"/>
    </row>
    <row r="1925">
      <c r="A1925" s="23" t="n"/>
      <c r="B1925" s="24" t="n"/>
      <c r="C1925" s="24" t="n"/>
      <c r="D1925" s="24" t="n"/>
      <c r="E1925" s="24" t="n"/>
      <c r="F1925" s="24" t="n"/>
      <c r="G1925" s="29" t="n"/>
      <c r="H1925" s="29" t="n"/>
      <c r="I1925" s="24" t="n"/>
    </row>
    <row r="1926">
      <c r="A1926" s="26" t="n"/>
      <c r="B1926" s="27" t="n"/>
      <c r="C1926" s="27" t="n"/>
      <c r="D1926" s="27" t="n"/>
      <c r="E1926" s="27" t="n"/>
      <c r="F1926" s="27" t="n"/>
      <c r="G1926" s="28" t="n"/>
      <c r="H1926" s="28" t="n"/>
      <c r="I1926" s="27" t="n"/>
    </row>
    <row r="1927">
      <c r="A1927" s="23" t="n"/>
      <c r="B1927" s="24" t="n"/>
      <c r="C1927" s="24" t="n"/>
      <c r="D1927" s="24" t="n"/>
      <c r="E1927" s="24" t="n"/>
      <c r="F1927" s="24" t="n"/>
      <c r="G1927" s="29" t="n"/>
      <c r="H1927" s="29" t="n"/>
      <c r="I1927" s="24" t="n"/>
    </row>
    <row r="1928">
      <c r="A1928" s="26" t="n"/>
      <c r="B1928" s="27" t="n"/>
      <c r="C1928" s="27" t="n"/>
      <c r="D1928" s="27" t="n"/>
      <c r="E1928" s="27" t="n"/>
      <c r="F1928" s="27" t="n"/>
      <c r="G1928" s="28" t="n"/>
      <c r="H1928" s="28" t="n"/>
      <c r="I1928" s="27" t="n"/>
    </row>
    <row r="1929">
      <c r="A1929" s="23" t="n"/>
      <c r="B1929" s="24" t="n"/>
      <c r="C1929" s="24" t="n"/>
      <c r="D1929" s="24" t="n"/>
      <c r="E1929" s="24" t="n"/>
      <c r="F1929" s="24" t="n"/>
      <c r="G1929" s="29" t="n"/>
      <c r="H1929" s="29" t="n"/>
      <c r="I1929" s="24" t="n"/>
    </row>
    <row r="1930">
      <c r="A1930" s="26" t="n"/>
      <c r="B1930" s="27" t="n"/>
      <c r="C1930" s="27" t="n"/>
      <c r="D1930" s="27" t="n"/>
      <c r="E1930" s="27" t="n"/>
      <c r="F1930" s="27" t="n"/>
      <c r="G1930" s="28" t="n"/>
      <c r="H1930" s="28" t="n"/>
      <c r="I1930" s="27" t="n"/>
    </row>
    <row r="1931">
      <c r="A1931" s="23" t="n"/>
      <c r="B1931" s="24" t="n"/>
      <c r="C1931" s="24" t="n"/>
      <c r="D1931" s="24" t="n"/>
      <c r="E1931" s="24" t="n"/>
      <c r="F1931" s="24" t="n"/>
      <c r="G1931" s="29" t="n"/>
      <c r="H1931" s="29" t="n"/>
      <c r="I1931" s="24" t="n"/>
    </row>
    <row r="1932">
      <c r="A1932" s="26" t="n"/>
      <c r="B1932" s="27" t="n"/>
      <c r="C1932" s="27" t="n"/>
      <c r="D1932" s="27" t="n"/>
      <c r="E1932" s="27" t="n"/>
      <c r="F1932" s="27" t="n"/>
      <c r="G1932" s="28" t="n"/>
      <c r="H1932" s="28" t="n"/>
      <c r="I1932" s="27" t="n"/>
    </row>
    <row r="1933">
      <c r="A1933" s="23" t="n"/>
      <c r="B1933" s="24" t="n"/>
      <c r="C1933" s="24" t="n"/>
      <c r="D1933" s="24" t="n"/>
      <c r="E1933" s="24" t="n"/>
      <c r="F1933" s="24" t="n"/>
      <c r="G1933" s="29" t="n"/>
      <c r="H1933" s="29" t="n"/>
      <c r="I1933" s="24" t="n"/>
    </row>
    <row r="1934">
      <c r="A1934" s="26" t="n"/>
      <c r="B1934" s="27" t="n"/>
      <c r="C1934" s="27" t="n"/>
      <c r="D1934" s="27" t="n"/>
      <c r="E1934" s="27" t="n"/>
      <c r="F1934" s="27" t="n"/>
      <c r="G1934" s="28" t="n"/>
      <c r="H1934" s="28" t="n"/>
      <c r="I1934" s="27" t="n"/>
    </row>
    <row r="1935">
      <c r="A1935" s="23" t="n"/>
      <c r="B1935" s="24" t="n"/>
      <c r="C1935" s="24" t="n"/>
      <c r="D1935" s="24" t="n"/>
      <c r="E1935" s="24" t="n"/>
      <c r="F1935" s="24" t="n"/>
      <c r="G1935" s="29" t="n"/>
      <c r="H1935" s="29" t="n"/>
      <c r="I1935" s="24" t="n"/>
    </row>
    <row r="1936">
      <c r="A1936" s="26" t="n"/>
      <c r="B1936" s="27" t="n"/>
      <c r="C1936" s="27" t="n"/>
      <c r="D1936" s="27" t="n"/>
      <c r="E1936" s="27" t="n"/>
      <c r="F1936" s="27" t="n"/>
      <c r="G1936" s="28" t="n"/>
      <c r="H1936" s="28" t="n"/>
      <c r="I1936" s="27" t="n"/>
    </row>
    <row r="1937">
      <c r="A1937" s="23" t="n"/>
      <c r="B1937" s="24" t="n"/>
      <c r="C1937" s="24" t="n"/>
      <c r="D1937" s="24" t="n"/>
      <c r="E1937" s="24" t="n"/>
      <c r="F1937" s="24" t="n"/>
      <c r="G1937" s="29" t="n"/>
      <c r="H1937" s="29" t="n"/>
      <c r="I1937" s="24" t="n"/>
    </row>
    <row r="1938">
      <c r="A1938" s="26" t="n"/>
      <c r="B1938" s="27" t="n"/>
      <c r="C1938" s="27" t="n"/>
      <c r="D1938" s="27" t="n"/>
      <c r="E1938" s="27" t="n"/>
      <c r="F1938" s="27" t="n"/>
      <c r="G1938" s="28" t="n"/>
      <c r="H1938" s="28" t="n"/>
      <c r="I1938" s="27" t="n"/>
    </row>
    <row r="1939">
      <c r="A1939" s="23" t="n"/>
      <c r="B1939" s="24" t="n"/>
      <c r="C1939" s="24" t="n"/>
      <c r="D1939" s="24" t="n"/>
      <c r="E1939" s="24" t="n"/>
      <c r="F1939" s="24" t="n"/>
      <c r="G1939" s="29" t="n"/>
      <c r="H1939" s="29" t="n"/>
      <c r="I1939" s="24" t="n"/>
    </row>
    <row r="1940">
      <c r="A1940" s="26" t="n"/>
      <c r="B1940" s="27" t="n"/>
      <c r="C1940" s="27" t="n"/>
      <c r="D1940" s="27" t="n"/>
      <c r="E1940" s="27" t="n"/>
      <c r="F1940" s="27" t="n"/>
      <c r="G1940" s="28" t="n"/>
      <c r="H1940" s="28" t="n"/>
      <c r="I1940" s="27" t="n"/>
    </row>
    <row r="1941">
      <c r="A1941" s="23" t="n"/>
      <c r="B1941" s="24" t="n"/>
      <c r="C1941" s="24" t="n"/>
      <c r="D1941" s="24" t="n"/>
      <c r="E1941" s="24" t="n"/>
      <c r="F1941" s="24" t="n"/>
      <c r="G1941" s="29" t="n"/>
      <c r="H1941" s="29" t="n"/>
      <c r="I1941" s="24" t="n"/>
    </row>
    <row r="1942">
      <c r="A1942" s="26" t="n"/>
      <c r="B1942" s="27" t="n"/>
      <c r="C1942" s="27" t="n"/>
      <c r="D1942" s="27" t="n"/>
      <c r="E1942" s="27" t="n"/>
      <c r="F1942" s="27" t="n"/>
      <c r="G1942" s="28" t="n"/>
      <c r="H1942" s="28" t="n"/>
      <c r="I1942" s="27" t="n"/>
    </row>
    <row r="1943">
      <c r="A1943" s="23" t="n"/>
      <c r="B1943" s="24" t="n"/>
      <c r="C1943" s="24" t="n"/>
      <c r="D1943" s="24" t="n"/>
      <c r="E1943" s="24" t="n"/>
      <c r="F1943" s="24" t="n"/>
      <c r="G1943" s="29" t="n"/>
      <c r="H1943" s="29" t="n"/>
      <c r="I1943" s="24" t="n"/>
    </row>
    <row r="1944">
      <c r="A1944" s="26" t="n"/>
      <c r="B1944" s="27" t="n"/>
      <c r="C1944" s="27" t="n"/>
      <c r="D1944" s="27" t="n"/>
      <c r="E1944" s="27" t="n"/>
      <c r="F1944" s="27" t="n"/>
      <c r="G1944" s="28" t="n"/>
      <c r="H1944" s="28" t="n"/>
      <c r="I1944" s="27" t="n"/>
    </row>
    <row r="1945">
      <c r="A1945" s="23" t="n"/>
      <c r="B1945" s="24" t="n"/>
      <c r="C1945" s="24" t="n"/>
      <c r="D1945" s="24" t="n"/>
      <c r="E1945" s="24" t="n"/>
      <c r="F1945" s="24" t="n"/>
      <c r="G1945" s="29" t="n"/>
      <c r="H1945" s="29" t="n"/>
      <c r="I1945" s="24" t="n"/>
    </row>
    <row r="1946">
      <c r="A1946" s="26" t="n"/>
      <c r="B1946" s="27" t="n"/>
      <c r="C1946" s="27" t="n"/>
      <c r="D1946" s="27" t="n"/>
      <c r="E1946" s="27" t="n"/>
      <c r="F1946" s="27" t="n"/>
      <c r="G1946" s="28" t="n"/>
      <c r="H1946" s="28" t="n"/>
      <c r="I1946" s="27" t="n"/>
    </row>
    <row r="1947">
      <c r="A1947" s="23" t="n"/>
      <c r="B1947" s="24" t="n"/>
      <c r="C1947" s="24" t="n"/>
      <c r="D1947" s="24" t="n"/>
      <c r="E1947" s="24" t="n"/>
      <c r="F1947" s="24" t="n"/>
      <c r="G1947" s="29" t="n"/>
      <c r="H1947" s="29" t="n"/>
      <c r="I1947" s="24" t="n"/>
    </row>
    <row r="1948">
      <c r="A1948" s="26" t="n"/>
      <c r="B1948" s="27" t="n"/>
      <c r="C1948" s="27" t="n"/>
      <c r="D1948" s="27" t="n"/>
      <c r="E1948" s="27" t="n"/>
      <c r="F1948" s="27" t="n"/>
      <c r="G1948" s="28" t="n"/>
      <c r="H1948" s="28" t="n"/>
      <c r="I1948" s="27" t="n"/>
    </row>
    <row r="1949">
      <c r="A1949" s="23" t="n"/>
      <c r="B1949" s="24" t="n"/>
      <c r="C1949" s="24" t="n"/>
      <c r="D1949" s="24" t="n"/>
      <c r="E1949" s="24" t="n"/>
      <c r="F1949" s="24" t="n"/>
      <c r="G1949" s="29" t="n"/>
      <c r="H1949" s="29" t="n"/>
      <c r="I1949" s="24" t="n"/>
    </row>
    <row r="1950">
      <c r="A1950" s="26" t="n"/>
      <c r="B1950" s="27" t="n"/>
      <c r="C1950" s="27" t="n"/>
      <c r="D1950" s="27" t="n"/>
      <c r="E1950" s="27" t="n"/>
      <c r="F1950" s="27" t="n"/>
      <c r="G1950" s="28" t="n"/>
      <c r="H1950" s="28" t="n"/>
      <c r="I1950" s="27" t="n"/>
    </row>
    <row r="1951">
      <c r="A1951" s="23" t="n"/>
      <c r="B1951" s="24" t="n"/>
      <c r="C1951" s="24" t="n"/>
      <c r="D1951" s="24" t="n"/>
      <c r="E1951" s="24" t="n"/>
      <c r="F1951" s="24" t="n"/>
      <c r="G1951" s="29" t="n"/>
      <c r="H1951" s="29" t="n"/>
      <c r="I1951" s="24" t="n"/>
    </row>
    <row r="1952">
      <c r="A1952" s="26" t="n"/>
      <c r="B1952" s="27" t="n"/>
      <c r="C1952" s="27" t="n"/>
      <c r="D1952" s="27" t="n"/>
      <c r="E1952" s="27" t="n"/>
      <c r="F1952" s="27" t="n"/>
      <c r="G1952" s="28" t="n"/>
      <c r="H1952" s="28" t="n"/>
      <c r="I1952" s="27" t="n"/>
    </row>
    <row r="1953">
      <c r="A1953" s="23" t="n"/>
      <c r="B1953" s="24" t="n"/>
      <c r="C1953" s="24" t="n"/>
      <c r="D1953" s="24" t="n"/>
      <c r="E1953" s="24" t="n"/>
      <c r="F1953" s="24" t="n"/>
      <c r="G1953" s="29" t="n"/>
      <c r="H1953" s="29" t="n"/>
      <c r="I1953" s="24" t="n"/>
    </row>
    <row r="1954">
      <c r="A1954" s="26" t="n"/>
      <c r="B1954" s="27" t="n"/>
      <c r="C1954" s="27" t="n"/>
      <c r="D1954" s="27" t="n"/>
      <c r="E1954" s="27" t="n"/>
      <c r="F1954" s="27" t="n"/>
      <c r="G1954" s="28" t="n"/>
      <c r="H1954" s="28" t="n"/>
      <c r="I1954" s="27" t="n"/>
    </row>
    <row r="1955">
      <c r="A1955" s="23" t="n"/>
      <c r="B1955" s="24" t="n"/>
      <c r="C1955" s="24" t="n"/>
      <c r="D1955" s="24" t="n"/>
      <c r="E1955" s="24" t="n"/>
      <c r="F1955" s="24" t="n"/>
      <c r="G1955" s="29" t="n"/>
      <c r="H1955" s="29" t="n"/>
      <c r="I1955" s="24" t="n"/>
    </row>
    <row r="1956">
      <c r="A1956" s="26" t="n"/>
      <c r="B1956" s="27" t="n"/>
      <c r="C1956" s="27" t="n"/>
      <c r="D1956" s="27" t="n"/>
      <c r="E1956" s="27" t="n"/>
      <c r="F1956" s="27" t="n"/>
      <c r="G1956" s="28" t="n"/>
      <c r="H1956" s="28" t="n"/>
      <c r="I1956" s="27" t="n"/>
    </row>
    <row r="1957">
      <c r="A1957" s="23" t="n"/>
      <c r="B1957" s="24" t="n"/>
      <c r="C1957" s="24" t="n"/>
      <c r="D1957" s="24" t="n"/>
      <c r="E1957" s="24" t="n"/>
      <c r="F1957" s="24" t="n"/>
      <c r="G1957" s="29" t="n"/>
      <c r="H1957" s="29" t="n"/>
      <c r="I1957" s="24" t="n"/>
    </row>
    <row r="1958">
      <c r="A1958" s="26" t="n"/>
      <c r="B1958" s="27" t="n"/>
      <c r="C1958" s="27" t="n"/>
      <c r="D1958" s="27" t="n"/>
      <c r="E1958" s="27" t="n"/>
      <c r="F1958" s="27" t="n"/>
      <c r="G1958" s="28" t="n"/>
      <c r="H1958" s="28" t="n"/>
      <c r="I1958" s="27" t="n"/>
    </row>
    <row r="1959">
      <c r="A1959" s="23" t="n"/>
      <c r="B1959" s="24" t="n"/>
      <c r="C1959" s="24" t="n"/>
      <c r="D1959" s="24" t="n"/>
      <c r="E1959" s="24" t="n"/>
      <c r="F1959" s="24" t="n"/>
      <c r="G1959" s="29" t="n"/>
      <c r="H1959" s="29" t="n"/>
      <c r="I1959" s="24" t="n"/>
    </row>
    <row r="1960">
      <c r="A1960" s="26" t="n"/>
      <c r="B1960" s="27" t="n"/>
      <c r="C1960" s="27" t="n"/>
      <c r="D1960" s="27" t="n"/>
      <c r="E1960" s="27" t="n"/>
      <c r="F1960" s="27" t="n"/>
      <c r="G1960" s="28" t="n"/>
      <c r="H1960" s="28" t="n"/>
      <c r="I1960" s="27" t="n"/>
    </row>
    <row r="1961">
      <c r="A1961" s="23" t="n"/>
      <c r="B1961" s="24" t="n"/>
      <c r="C1961" s="24" t="n"/>
      <c r="D1961" s="24" t="n"/>
      <c r="E1961" s="24" t="n"/>
      <c r="F1961" s="24" t="n"/>
      <c r="G1961" s="29" t="n"/>
      <c r="H1961" s="29" t="n"/>
      <c r="I1961" s="24" t="n"/>
    </row>
    <row r="1962">
      <c r="A1962" s="26" t="n"/>
      <c r="B1962" s="27" t="n"/>
      <c r="C1962" s="27" t="n"/>
      <c r="D1962" s="27" t="n"/>
      <c r="E1962" s="27" t="n"/>
      <c r="F1962" s="27" t="n"/>
      <c r="G1962" s="28" t="n"/>
      <c r="H1962" s="28" t="n"/>
      <c r="I1962" s="27" t="n"/>
    </row>
    <row r="1963">
      <c r="A1963" s="23" t="n"/>
      <c r="B1963" s="24" t="n"/>
      <c r="C1963" s="24" t="n"/>
      <c r="D1963" s="24" t="n"/>
      <c r="E1963" s="24" t="n"/>
      <c r="F1963" s="24" t="n"/>
      <c r="G1963" s="29" t="n"/>
      <c r="H1963" s="29" t="n"/>
      <c r="I1963" s="24" t="n"/>
    </row>
    <row r="1964">
      <c r="A1964" s="26" t="n"/>
      <c r="B1964" s="27" t="n"/>
      <c r="C1964" s="27" t="n"/>
      <c r="D1964" s="27" t="n"/>
      <c r="E1964" s="27" t="n"/>
      <c r="F1964" s="27" t="n"/>
      <c r="G1964" s="28" t="n"/>
      <c r="H1964" s="28" t="n"/>
      <c r="I1964" s="27" t="n"/>
    </row>
    <row r="1965">
      <c r="A1965" s="23" t="n"/>
      <c r="B1965" s="24" t="n"/>
      <c r="C1965" s="24" t="n"/>
      <c r="D1965" s="24" t="n"/>
      <c r="E1965" s="24" t="n"/>
      <c r="F1965" s="24" t="n"/>
      <c r="G1965" s="29" t="n"/>
      <c r="H1965" s="29" t="n"/>
      <c r="I1965" s="24" t="n"/>
    </row>
    <row r="1966">
      <c r="A1966" s="26" t="n"/>
      <c r="B1966" s="27" t="n"/>
      <c r="C1966" s="27" t="n"/>
      <c r="D1966" s="27" t="n"/>
      <c r="E1966" s="27" t="n"/>
      <c r="F1966" s="27" t="n"/>
      <c r="G1966" s="28" t="n"/>
      <c r="H1966" s="28" t="n"/>
      <c r="I1966" s="27" t="n"/>
    </row>
    <row r="1967">
      <c r="A1967" s="23" t="n"/>
      <c r="B1967" s="24" t="n"/>
      <c r="C1967" s="24" t="n"/>
      <c r="D1967" s="24" t="n"/>
      <c r="E1967" s="24" t="n"/>
      <c r="F1967" s="24" t="n"/>
      <c r="G1967" s="29" t="n"/>
      <c r="H1967" s="29" t="n"/>
      <c r="I1967" s="24" t="n"/>
    </row>
    <row r="1968">
      <c r="A1968" s="26" t="n"/>
      <c r="B1968" s="27" t="n"/>
      <c r="C1968" s="27" t="n"/>
      <c r="D1968" s="27" t="n"/>
      <c r="E1968" s="27" t="n"/>
      <c r="F1968" s="27" t="n"/>
      <c r="G1968" s="28" t="n"/>
      <c r="H1968" s="28" t="n"/>
      <c r="I1968" s="27" t="n"/>
    </row>
    <row r="1969">
      <c r="A1969" s="23" t="n"/>
      <c r="B1969" s="24" t="n"/>
      <c r="C1969" s="24" t="n"/>
      <c r="D1969" s="24" t="n"/>
      <c r="E1969" s="24" t="n"/>
      <c r="F1969" s="24" t="n"/>
      <c r="G1969" s="29" t="n"/>
      <c r="H1969" s="29" t="n"/>
      <c r="I1969" s="24" t="n"/>
    </row>
    <row r="1970">
      <c r="A1970" s="26" t="n"/>
      <c r="B1970" s="27" t="n"/>
      <c r="C1970" s="27" t="n"/>
      <c r="D1970" s="27" t="n"/>
      <c r="E1970" s="27" t="n"/>
      <c r="F1970" s="27" t="n"/>
      <c r="G1970" s="28" t="n"/>
      <c r="H1970" s="28" t="n"/>
      <c r="I1970" s="27" t="n"/>
    </row>
    <row r="1971">
      <c r="A1971" s="23" t="n"/>
      <c r="B1971" s="24" t="n"/>
      <c r="C1971" s="24" t="n"/>
      <c r="D1971" s="24" t="n"/>
      <c r="E1971" s="24" t="n"/>
      <c r="F1971" s="24" t="n"/>
      <c r="G1971" s="29" t="n"/>
      <c r="H1971" s="29" t="n"/>
      <c r="I1971" s="24" t="n"/>
    </row>
    <row r="1972">
      <c r="A1972" s="26" t="n"/>
      <c r="B1972" s="27" t="n"/>
      <c r="C1972" s="27" t="n"/>
      <c r="D1972" s="27" t="n"/>
      <c r="E1972" s="27" t="n"/>
      <c r="F1972" s="27" t="n"/>
      <c r="G1972" s="28" t="n"/>
      <c r="H1972" s="28" t="n"/>
      <c r="I1972" s="27" t="n"/>
    </row>
    <row r="1973">
      <c r="A1973" s="23" t="n"/>
      <c r="B1973" s="24" t="n"/>
      <c r="C1973" s="24" t="n"/>
      <c r="D1973" s="24" t="n"/>
      <c r="E1973" s="24" t="n"/>
      <c r="F1973" s="24" t="n"/>
      <c r="G1973" s="29" t="n"/>
      <c r="H1973" s="29" t="n"/>
      <c r="I1973" s="24" t="n"/>
    </row>
    <row r="1974">
      <c r="A1974" s="26" t="n"/>
      <c r="B1974" s="27" t="n"/>
      <c r="C1974" s="27" t="n"/>
      <c r="D1974" s="27" t="n"/>
      <c r="E1974" s="27" t="n"/>
      <c r="F1974" s="27" t="n"/>
      <c r="G1974" s="28" t="n"/>
      <c r="H1974" s="28" t="n"/>
      <c r="I1974" s="27" t="n"/>
    </row>
    <row r="1975">
      <c r="A1975" s="23" t="n"/>
      <c r="B1975" s="24" t="n"/>
      <c r="C1975" s="24" t="n"/>
      <c r="D1975" s="24" t="n"/>
      <c r="E1975" s="24" t="n"/>
      <c r="F1975" s="24" t="n"/>
      <c r="G1975" s="29" t="n"/>
      <c r="H1975" s="29" t="n"/>
      <c r="I1975" s="24" t="n"/>
    </row>
    <row r="1976">
      <c r="A1976" s="26" t="n"/>
      <c r="B1976" s="27" t="n"/>
      <c r="C1976" s="27" t="n"/>
      <c r="D1976" s="27" t="n"/>
      <c r="E1976" s="27" t="n"/>
      <c r="F1976" s="27" t="n"/>
      <c r="G1976" s="28" t="n"/>
      <c r="H1976" s="28" t="n"/>
      <c r="I1976" s="27" t="n"/>
    </row>
    <row r="1977">
      <c r="A1977" s="23" t="n"/>
      <c r="B1977" s="24" t="n"/>
      <c r="C1977" s="24" t="n"/>
      <c r="D1977" s="24" t="n"/>
      <c r="E1977" s="24" t="n"/>
      <c r="F1977" s="24" t="n"/>
      <c r="G1977" s="29" t="n"/>
      <c r="H1977" s="29" t="n"/>
      <c r="I1977" s="24" t="n"/>
    </row>
    <row r="1978">
      <c r="A1978" s="26" t="n"/>
      <c r="B1978" s="27" t="n"/>
      <c r="C1978" s="27" t="n"/>
      <c r="D1978" s="27" t="n"/>
      <c r="E1978" s="27" t="n"/>
      <c r="F1978" s="27" t="n"/>
      <c r="G1978" s="28" t="n"/>
      <c r="H1978" s="28" t="n"/>
      <c r="I1978" s="27" t="n"/>
    </row>
    <row r="1979">
      <c r="A1979" s="23" t="n"/>
      <c r="B1979" s="24" t="n"/>
      <c r="C1979" s="24" t="n"/>
      <c r="D1979" s="24" t="n"/>
      <c r="E1979" s="24" t="n"/>
      <c r="F1979" s="24" t="n"/>
      <c r="G1979" s="29" t="n"/>
      <c r="H1979" s="29" t="n"/>
      <c r="I1979" s="24" t="n"/>
    </row>
    <row r="1980">
      <c r="A1980" s="26" t="n"/>
      <c r="B1980" s="27" t="n"/>
      <c r="C1980" s="27" t="n"/>
      <c r="D1980" s="27" t="n"/>
      <c r="E1980" s="27" t="n"/>
      <c r="F1980" s="27" t="n"/>
      <c r="G1980" s="28" t="n"/>
      <c r="H1980" s="28" t="n"/>
      <c r="I1980" s="27" t="n"/>
    </row>
    <row r="1981">
      <c r="A1981" s="23" t="n"/>
      <c r="B1981" s="24" t="n"/>
      <c r="C1981" s="24" t="n"/>
      <c r="D1981" s="24" t="n"/>
      <c r="E1981" s="24" t="n"/>
      <c r="F1981" s="24" t="n"/>
      <c r="G1981" s="29" t="n"/>
      <c r="H1981" s="29" t="n"/>
      <c r="I1981" s="24" t="n"/>
    </row>
    <row r="1982">
      <c r="A1982" s="26" t="n"/>
      <c r="B1982" s="27" t="n"/>
      <c r="C1982" s="27" t="n"/>
      <c r="D1982" s="27" t="n"/>
      <c r="E1982" s="27" t="n"/>
      <c r="F1982" s="27" t="n"/>
      <c r="G1982" s="28" t="n"/>
      <c r="H1982" s="28" t="n"/>
      <c r="I1982" s="27" t="n"/>
    </row>
    <row r="1983">
      <c r="A1983" s="23" t="n"/>
      <c r="B1983" s="24" t="n"/>
      <c r="C1983" s="24" t="n"/>
      <c r="D1983" s="24" t="n"/>
      <c r="E1983" s="24" t="n"/>
      <c r="F1983" s="24" t="n"/>
      <c r="G1983" s="29" t="n"/>
      <c r="H1983" s="29" t="n"/>
      <c r="I1983" s="24" t="n"/>
    </row>
    <row r="1984">
      <c r="A1984" s="26" t="n"/>
      <c r="B1984" s="27" t="n"/>
      <c r="C1984" s="27" t="n"/>
      <c r="D1984" s="27" t="n"/>
      <c r="E1984" s="27" t="n"/>
      <c r="F1984" s="27" t="n"/>
      <c r="G1984" s="28" t="n"/>
      <c r="H1984" s="28" t="n"/>
      <c r="I1984" s="27" t="n"/>
    </row>
    <row r="1985">
      <c r="A1985" s="23" t="n"/>
      <c r="B1985" s="24" t="n"/>
      <c r="C1985" s="24" t="n"/>
      <c r="D1985" s="24" t="n"/>
      <c r="E1985" s="24" t="n"/>
      <c r="F1985" s="24" t="n"/>
      <c r="G1985" s="29" t="n"/>
      <c r="H1985" s="29" t="n"/>
      <c r="I1985" s="24" t="n"/>
    </row>
    <row r="1986">
      <c r="A1986" s="26" t="n"/>
      <c r="B1986" s="27" t="n"/>
      <c r="C1986" s="27" t="n"/>
      <c r="D1986" s="27" t="n"/>
      <c r="E1986" s="27" t="n"/>
      <c r="F1986" s="27" t="n"/>
      <c r="G1986" s="28" t="n"/>
      <c r="H1986" s="28" t="n"/>
      <c r="I1986" s="27" t="n"/>
    </row>
    <row r="1987">
      <c r="A1987" s="23" t="n"/>
      <c r="B1987" s="24" t="n"/>
      <c r="C1987" s="24" t="n"/>
      <c r="D1987" s="24" t="n"/>
      <c r="E1987" s="24" t="n"/>
      <c r="F1987" s="24" t="n"/>
      <c r="G1987" s="29" t="n"/>
      <c r="H1987" s="29" t="n"/>
      <c r="I1987" s="24" t="n"/>
    </row>
    <row r="1988">
      <c r="A1988" s="26" t="n"/>
      <c r="B1988" s="27" t="n"/>
      <c r="C1988" s="27" t="n"/>
      <c r="D1988" s="27" t="n"/>
      <c r="E1988" s="27" t="n"/>
      <c r="F1988" s="27" t="n"/>
      <c r="G1988" s="28" t="n"/>
      <c r="H1988" s="28" t="n"/>
      <c r="I1988" s="27" t="n"/>
    </row>
    <row r="1989">
      <c r="A1989" s="23" t="n"/>
      <c r="B1989" s="24" t="n"/>
      <c r="C1989" s="24" t="n"/>
      <c r="D1989" s="24" t="n"/>
      <c r="E1989" s="24" t="n"/>
      <c r="F1989" s="24" t="n"/>
      <c r="G1989" s="29" t="n"/>
      <c r="H1989" s="29" t="n"/>
      <c r="I1989" s="24" t="n"/>
    </row>
    <row r="1990">
      <c r="A1990" s="26" t="n"/>
      <c r="B1990" s="27" t="n"/>
      <c r="C1990" s="27" t="n"/>
      <c r="D1990" s="27" t="n"/>
      <c r="E1990" s="27" t="n"/>
      <c r="F1990" s="27" t="n"/>
      <c r="G1990" s="28" t="n"/>
      <c r="H1990" s="28" t="n"/>
      <c r="I1990" s="27" t="n"/>
    </row>
    <row r="1991">
      <c r="A1991" s="23" t="n"/>
      <c r="B1991" s="24" t="n"/>
      <c r="C1991" s="24" t="n"/>
      <c r="D1991" s="24" t="n"/>
      <c r="E1991" s="24" t="n"/>
      <c r="F1991" s="24" t="n"/>
      <c r="G1991" s="29" t="n"/>
      <c r="H1991" s="29" t="n"/>
      <c r="I1991" s="24" t="n"/>
    </row>
    <row r="1992">
      <c r="A1992" s="26" t="n"/>
      <c r="B1992" s="27" t="n"/>
      <c r="C1992" s="27" t="n"/>
      <c r="D1992" s="27" t="n"/>
      <c r="E1992" s="27" t="n"/>
      <c r="F1992" s="27" t="n"/>
      <c r="G1992" s="28" t="n"/>
      <c r="H1992" s="28" t="n"/>
      <c r="I1992" s="27" t="n"/>
    </row>
    <row r="1993">
      <c r="A1993" s="23" t="n"/>
      <c r="B1993" s="24" t="n"/>
      <c r="C1993" s="24" t="n"/>
      <c r="D1993" s="24" t="n"/>
      <c r="E1993" s="24" t="n"/>
      <c r="F1993" s="24" t="n"/>
      <c r="G1993" s="29" t="n"/>
      <c r="H1993" s="29" t="n"/>
      <c r="I1993" s="24" t="n"/>
    </row>
    <row r="1994">
      <c r="A1994" s="26" t="n"/>
      <c r="B1994" s="27" t="n"/>
      <c r="C1994" s="27" t="n"/>
      <c r="D1994" s="27" t="n"/>
      <c r="E1994" s="27" t="n"/>
      <c r="F1994" s="27" t="n"/>
      <c r="G1994" s="28" t="n"/>
      <c r="H1994" s="28" t="n"/>
      <c r="I1994" s="27" t="n"/>
    </row>
    <row r="1995">
      <c r="A1995" s="23" t="n"/>
      <c r="B1995" s="24" t="n"/>
      <c r="C1995" s="24" t="n"/>
      <c r="D1995" s="24" t="n"/>
      <c r="E1995" s="24" t="n"/>
      <c r="F1995" s="24" t="n"/>
      <c r="G1995" s="29" t="n"/>
      <c r="H1995" s="29" t="n"/>
      <c r="I1995" s="24" t="n"/>
    </row>
    <row r="1996">
      <c r="A1996" s="26" t="n"/>
      <c r="B1996" s="27" t="n"/>
      <c r="C1996" s="27" t="n"/>
      <c r="D1996" s="27" t="n"/>
      <c r="E1996" s="27" t="n"/>
      <c r="F1996" s="27" t="n"/>
      <c r="G1996" s="28" t="n"/>
      <c r="H1996" s="28" t="n"/>
      <c r="I1996" s="27" t="n"/>
    </row>
    <row r="1997">
      <c r="A1997" s="23" t="n"/>
      <c r="B1997" s="24" t="n"/>
      <c r="C1997" s="24" t="n"/>
      <c r="D1997" s="24" t="n"/>
      <c r="E1997" s="24" t="n"/>
      <c r="F1997" s="24" t="n"/>
      <c r="G1997" s="29" t="n"/>
      <c r="H1997" s="29" t="n"/>
      <c r="I1997" s="24" t="n"/>
    </row>
    <row r="1998">
      <c r="A1998" s="26" t="n"/>
      <c r="B1998" s="27" t="n"/>
      <c r="C1998" s="27" t="n"/>
      <c r="D1998" s="27" t="n"/>
      <c r="E1998" s="27" t="n"/>
      <c r="F1998" s="27" t="n"/>
      <c r="G1998" s="28" t="n"/>
      <c r="H1998" s="28" t="n"/>
      <c r="I1998" s="27" t="n"/>
    </row>
    <row r="1999">
      <c r="A1999" s="23" t="n"/>
      <c r="B1999" s="24" t="n"/>
      <c r="C1999" s="24" t="n"/>
      <c r="D1999" s="24" t="n"/>
      <c r="E1999" s="24" t="n"/>
      <c r="F1999" s="24" t="n"/>
      <c r="G1999" s="29" t="n"/>
      <c r="H1999" s="29" t="n"/>
      <c r="I1999" s="24" t="n"/>
    </row>
    <row r="2000">
      <c r="A2000" s="26" t="n"/>
      <c r="B2000" s="27" t="n"/>
      <c r="C2000" s="27" t="n"/>
      <c r="D2000" s="27" t="n"/>
      <c r="E2000" s="27" t="n"/>
      <c r="F2000" s="27" t="n"/>
      <c r="G2000" s="28" t="n"/>
      <c r="H2000" s="28" t="n"/>
      <c r="I2000" s="27" t="n"/>
    </row>
    <row r="2001">
      <c r="A2001" s="23" t="n"/>
      <c r="B2001" s="24" t="n"/>
      <c r="C2001" s="24" t="n"/>
      <c r="D2001" s="24" t="n"/>
      <c r="E2001" s="24" t="n"/>
      <c r="F2001" s="24" t="n"/>
      <c r="G2001" s="29" t="n"/>
      <c r="H2001" s="29" t="n"/>
      <c r="I2001" s="24" t="n"/>
    </row>
    <row r="2002">
      <c r="A2002" s="26" t="n"/>
      <c r="B2002" s="27" t="n"/>
      <c r="C2002" s="27" t="n"/>
      <c r="D2002" s="27" t="n"/>
      <c r="E2002" s="27" t="n"/>
      <c r="F2002" s="27" t="n"/>
      <c r="G2002" s="28" t="n"/>
      <c r="H2002" s="28" t="n"/>
      <c r="I2002" s="27" t="n"/>
    </row>
    <row r="2003">
      <c r="A2003" s="23" t="n"/>
      <c r="B2003" s="24" t="n"/>
      <c r="C2003" s="24" t="n"/>
      <c r="D2003" s="24" t="n"/>
      <c r="E2003" s="24" t="n"/>
      <c r="F2003" s="24" t="n"/>
      <c r="G2003" s="29" t="n"/>
      <c r="H2003" s="29" t="n"/>
      <c r="I2003" s="24" t="n"/>
    </row>
    <row r="2004">
      <c r="A2004" s="26" t="n"/>
      <c r="B2004" s="27" t="n"/>
      <c r="C2004" s="27" t="n"/>
      <c r="D2004" s="27" t="n"/>
      <c r="E2004" s="27" t="n"/>
      <c r="F2004" s="27" t="n"/>
      <c r="G2004" s="28" t="n"/>
      <c r="H2004" s="28" t="n"/>
      <c r="I2004" s="27" t="n"/>
    </row>
    <row r="2005">
      <c r="A2005" s="23" t="n"/>
      <c r="B2005" s="24" t="n"/>
      <c r="C2005" s="24" t="n"/>
      <c r="D2005" s="24" t="n"/>
      <c r="E2005" s="24" t="n"/>
      <c r="F2005" s="24" t="n"/>
      <c r="G2005" s="29" t="n"/>
      <c r="H2005" s="29" t="n"/>
      <c r="I2005" s="24" t="n"/>
    </row>
    <row r="2006">
      <c r="A2006" s="26" t="n"/>
      <c r="B2006" s="27" t="n"/>
      <c r="C2006" s="27" t="n"/>
      <c r="D2006" s="27" t="n"/>
      <c r="E2006" s="27" t="n"/>
      <c r="F2006" s="27" t="n"/>
      <c r="G2006" s="28" t="n"/>
      <c r="H2006" s="28" t="n"/>
      <c r="I2006" s="27" t="n"/>
    </row>
    <row r="2007">
      <c r="A2007" s="23" t="n"/>
      <c r="B2007" s="24" t="n"/>
      <c r="C2007" s="24" t="n"/>
      <c r="D2007" s="24" t="n"/>
      <c r="E2007" s="24" t="n"/>
      <c r="F2007" s="24" t="n"/>
      <c r="G2007" s="29" t="n"/>
      <c r="H2007" s="29" t="n"/>
      <c r="I2007" s="24" t="n"/>
    </row>
    <row r="2008">
      <c r="A2008" s="26" t="n"/>
      <c r="B2008" s="27" t="n"/>
      <c r="C2008" s="27" t="n"/>
      <c r="D2008" s="27" t="n"/>
      <c r="E2008" s="27" t="n"/>
      <c r="F2008" s="27" t="n"/>
      <c r="G2008" s="28" t="n"/>
      <c r="H2008" s="28" t="n"/>
      <c r="I2008" s="27" t="n"/>
    </row>
    <row r="2009">
      <c r="A2009" s="23" t="n"/>
      <c r="B2009" s="24" t="n"/>
      <c r="C2009" s="24" t="n"/>
      <c r="D2009" s="24" t="n"/>
      <c r="E2009" s="24" t="n"/>
      <c r="F2009" s="24" t="n"/>
      <c r="G2009" s="29" t="n"/>
      <c r="H2009" s="29" t="n"/>
      <c r="I2009" s="24" t="n"/>
    </row>
    <row r="2010">
      <c r="A2010" s="26" t="n"/>
      <c r="B2010" s="27" t="n"/>
      <c r="C2010" s="27" t="n"/>
      <c r="D2010" s="27" t="n"/>
      <c r="E2010" s="27" t="n"/>
      <c r="F2010" s="27" t="n"/>
      <c r="G2010" s="28" t="n"/>
      <c r="H2010" s="28" t="n"/>
      <c r="I2010" s="27" t="n"/>
    </row>
    <row r="2011">
      <c r="A2011" s="23" t="n"/>
      <c r="B2011" s="24" t="n"/>
      <c r="C2011" s="24" t="n"/>
      <c r="D2011" s="24" t="n"/>
      <c r="E2011" s="24" t="n"/>
      <c r="F2011" s="24" t="n"/>
      <c r="G2011" s="29" t="n"/>
      <c r="H2011" s="29" t="n"/>
      <c r="I2011" s="24" t="n"/>
    </row>
    <row r="2012">
      <c r="A2012" s="26" t="n"/>
      <c r="B2012" s="27" t="n"/>
      <c r="C2012" s="27" t="n"/>
      <c r="D2012" s="27" t="n"/>
      <c r="E2012" s="27" t="n"/>
      <c r="F2012" s="27" t="n"/>
      <c r="G2012" s="28" t="n"/>
      <c r="H2012" s="28" t="n"/>
      <c r="I2012" s="27" t="n"/>
    </row>
    <row r="2013">
      <c r="A2013" s="23" t="n"/>
      <c r="B2013" s="24" t="n"/>
      <c r="C2013" s="24" t="n"/>
      <c r="D2013" s="24" t="n"/>
      <c r="E2013" s="24" t="n"/>
      <c r="F2013" s="24" t="n"/>
      <c r="G2013" s="29" t="n"/>
      <c r="H2013" s="29" t="n"/>
      <c r="I2013" s="24" t="n"/>
    </row>
    <row r="2014">
      <c r="A2014" s="26" t="n"/>
      <c r="B2014" s="27" t="n"/>
      <c r="C2014" s="27" t="n"/>
      <c r="D2014" s="27" t="n"/>
      <c r="E2014" s="27" t="n"/>
      <c r="F2014" s="27" t="n"/>
      <c r="G2014" s="28" t="n"/>
      <c r="H2014" s="28" t="n"/>
      <c r="I2014" s="27" t="n"/>
    </row>
    <row r="2015">
      <c r="A2015" s="23" t="n"/>
      <c r="B2015" s="24" t="n"/>
      <c r="C2015" s="24" t="n"/>
      <c r="D2015" s="24" t="n"/>
      <c r="E2015" s="24" t="n"/>
      <c r="F2015" s="24" t="n"/>
      <c r="G2015" s="29" t="n"/>
      <c r="H2015" s="29" t="n"/>
      <c r="I2015" s="24" t="n"/>
    </row>
    <row r="2016">
      <c r="A2016" s="26" t="n"/>
      <c r="B2016" s="27" t="n"/>
      <c r="C2016" s="27" t="n"/>
      <c r="D2016" s="27" t="n"/>
      <c r="E2016" s="27" t="n"/>
      <c r="F2016" s="27" t="n"/>
      <c r="G2016" s="28" t="n"/>
      <c r="H2016" s="28" t="n"/>
      <c r="I2016" s="27" t="n"/>
    </row>
    <row r="2017">
      <c r="A2017" s="23" t="n"/>
      <c r="B2017" s="24" t="n"/>
      <c r="C2017" s="24" t="n"/>
      <c r="D2017" s="24" t="n"/>
      <c r="E2017" s="24" t="n"/>
      <c r="F2017" s="24" t="n"/>
      <c r="G2017" s="29" t="n"/>
      <c r="H2017" s="29" t="n"/>
      <c r="I2017" s="24" t="n"/>
    </row>
    <row r="2018">
      <c r="A2018" s="26" t="n"/>
      <c r="B2018" s="27" t="n"/>
      <c r="C2018" s="27" t="n"/>
      <c r="D2018" s="27" t="n"/>
      <c r="E2018" s="27" t="n"/>
      <c r="F2018" s="27" t="n"/>
      <c r="G2018" s="28" t="n"/>
      <c r="H2018" s="28" t="n"/>
      <c r="I2018" s="27" t="n"/>
    </row>
    <row r="2019">
      <c r="A2019" s="23" t="n"/>
      <c r="B2019" s="24" t="n"/>
      <c r="C2019" s="24" t="n"/>
      <c r="D2019" s="24" t="n"/>
      <c r="E2019" s="24" t="n"/>
      <c r="F2019" s="24" t="n"/>
      <c r="G2019" s="29" t="n"/>
      <c r="H2019" s="29" t="n"/>
      <c r="I2019" s="24" t="n"/>
    </row>
    <row r="2020">
      <c r="A2020" s="26" t="n"/>
      <c r="B2020" s="27" t="n"/>
      <c r="C2020" s="27" t="n"/>
      <c r="D2020" s="27" t="n"/>
      <c r="E2020" s="27" t="n"/>
      <c r="F2020" s="27" t="n"/>
      <c r="G2020" s="28" t="n"/>
      <c r="H2020" s="28" t="n"/>
      <c r="I2020" s="27" t="n"/>
    </row>
    <row r="2021">
      <c r="A2021" s="23" t="n"/>
      <c r="B2021" s="24" t="n"/>
      <c r="C2021" s="24" t="n"/>
      <c r="D2021" s="24" t="n"/>
      <c r="E2021" s="24" t="n"/>
      <c r="F2021" s="24" t="n"/>
      <c r="G2021" s="29" t="n"/>
      <c r="H2021" s="29" t="n"/>
      <c r="I2021" s="24" t="n"/>
    </row>
    <row r="2022">
      <c r="A2022" s="26" t="n"/>
      <c r="B2022" s="27" t="n"/>
      <c r="C2022" s="27" t="n"/>
      <c r="D2022" s="27" t="n"/>
      <c r="E2022" s="27" t="n"/>
      <c r="F2022" s="27" t="n"/>
      <c r="G2022" s="28" t="n"/>
      <c r="H2022" s="28" t="n"/>
      <c r="I2022" s="27" t="n"/>
    </row>
    <row r="2023">
      <c r="A2023" s="23" t="n"/>
      <c r="B2023" s="24" t="n"/>
      <c r="C2023" s="24" t="n"/>
      <c r="D2023" s="24" t="n"/>
      <c r="E2023" s="24" t="n"/>
      <c r="F2023" s="24" t="n"/>
      <c r="G2023" s="29" t="n"/>
      <c r="H2023" s="29" t="n"/>
      <c r="I2023" s="24" t="n"/>
    </row>
    <row r="2024">
      <c r="A2024" s="26" t="n"/>
      <c r="B2024" s="27" t="n"/>
      <c r="C2024" s="27" t="n"/>
      <c r="D2024" s="27" t="n"/>
      <c r="E2024" s="27" t="n"/>
      <c r="F2024" s="27" t="n"/>
      <c r="G2024" s="28" t="n"/>
      <c r="H2024" s="28" t="n"/>
      <c r="I2024" s="27" t="n"/>
    </row>
    <row r="2025">
      <c r="A2025" s="23" t="n"/>
      <c r="B2025" s="24" t="n"/>
      <c r="C2025" s="24" t="n"/>
      <c r="D2025" s="24" t="n"/>
      <c r="E2025" s="24" t="n"/>
      <c r="F2025" s="24" t="n"/>
      <c r="G2025" s="29" t="n"/>
      <c r="H2025" s="29" t="n"/>
      <c r="I2025" s="24" t="n"/>
    </row>
    <row r="2026">
      <c r="A2026" s="26" t="n"/>
      <c r="B2026" s="27" t="n"/>
      <c r="C2026" s="27" t="n"/>
      <c r="D2026" s="27" t="n"/>
      <c r="E2026" s="27" t="n"/>
      <c r="F2026" s="27" t="n"/>
      <c r="G2026" s="28" t="n"/>
      <c r="H2026" s="28" t="n"/>
      <c r="I2026" s="27" t="n"/>
    </row>
    <row r="2027">
      <c r="A2027" s="23" t="n"/>
      <c r="B2027" s="24" t="n"/>
      <c r="C2027" s="24" t="n"/>
      <c r="D2027" s="24" t="n"/>
      <c r="E2027" s="24" t="n"/>
      <c r="F2027" s="24" t="n"/>
      <c r="G2027" s="29" t="n"/>
      <c r="H2027" s="29" t="n"/>
      <c r="I2027" s="24" t="n"/>
    </row>
    <row r="2028">
      <c r="A2028" s="26" t="n"/>
      <c r="B2028" s="27" t="n"/>
      <c r="C2028" s="27" t="n"/>
      <c r="D2028" s="27" t="n"/>
      <c r="E2028" s="27" t="n"/>
      <c r="F2028" s="27" t="n"/>
      <c r="G2028" s="28" t="n"/>
      <c r="H2028" s="28" t="n"/>
      <c r="I2028" s="27" t="n"/>
    </row>
    <row r="2029">
      <c r="A2029" s="23" t="n"/>
      <c r="B2029" s="24" t="n"/>
      <c r="C2029" s="24" t="n"/>
      <c r="D2029" s="24" t="n"/>
      <c r="E2029" s="24" t="n"/>
      <c r="F2029" s="24" t="n"/>
      <c r="G2029" s="29" t="n"/>
      <c r="H2029" s="29" t="n"/>
      <c r="I2029" s="24" t="n"/>
    </row>
    <row r="2030">
      <c r="A2030" s="26" t="n"/>
      <c r="B2030" s="27" t="n"/>
      <c r="C2030" s="27" t="n"/>
      <c r="D2030" s="27" t="n"/>
      <c r="E2030" s="27" t="n"/>
      <c r="F2030" s="27" t="n"/>
      <c r="G2030" s="28" t="n"/>
      <c r="H2030" s="28" t="n"/>
      <c r="I2030" s="27" t="n"/>
    </row>
    <row r="2031">
      <c r="A2031" s="23" t="n"/>
      <c r="B2031" s="24" t="n"/>
      <c r="C2031" s="24" t="n"/>
      <c r="D2031" s="24" t="n"/>
      <c r="E2031" s="24" t="n"/>
      <c r="F2031" s="24" t="n"/>
      <c r="G2031" s="29" t="n"/>
      <c r="H2031" s="29" t="n"/>
      <c r="I2031" s="24" t="n"/>
    </row>
    <row r="2032">
      <c r="A2032" s="26" t="n"/>
      <c r="B2032" s="27" t="n"/>
      <c r="C2032" s="27" t="n"/>
      <c r="D2032" s="27" t="n"/>
      <c r="E2032" s="27" t="n"/>
      <c r="F2032" s="27" t="n"/>
      <c r="G2032" s="28" t="n"/>
      <c r="H2032" s="28" t="n"/>
      <c r="I2032" s="27" t="n"/>
    </row>
    <row r="2033">
      <c r="A2033" s="23" t="n"/>
      <c r="B2033" s="24" t="n"/>
      <c r="C2033" s="24" t="n"/>
      <c r="D2033" s="24" t="n"/>
      <c r="E2033" s="24" t="n"/>
      <c r="F2033" s="24" t="n"/>
      <c r="G2033" s="29" t="n"/>
      <c r="H2033" s="29" t="n"/>
      <c r="I2033" s="24" t="n"/>
    </row>
    <row r="2034">
      <c r="A2034" s="26" t="n"/>
      <c r="B2034" s="27" t="n"/>
      <c r="C2034" s="27" t="n"/>
      <c r="D2034" s="27" t="n"/>
      <c r="E2034" s="27" t="n"/>
      <c r="F2034" s="27" t="n"/>
      <c r="G2034" s="28" t="n"/>
      <c r="H2034" s="28" t="n"/>
      <c r="I2034" s="27" t="n"/>
    </row>
    <row r="2035">
      <c r="A2035" s="23" t="n"/>
      <c r="B2035" s="24" t="n"/>
      <c r="C2035" s="24" t="n"/>
      <c r="D2035" s="24" t="n"/>
      <c r="E2035" s="24" t="n"/>
      <c r="F2035" s="24" t="n"/>
      <c r="G2035" s="29" t="n"/>
      <c r="H2035" s="29" t="n"/>
      <c r="I2035" s="24" t="n"/>
    </row>
    <row r="2036">
      <c r="A2036" s="26" t="n"/>
      <c r="B2036" s="27" t="n"/>
      <c r="C2036" s="27" t="n"/>
      <c r="D2036" s="27" t="n"/>
      <c r="E2036" s="27" t="n"/>
      <c r="F2036" s="27" t="n"/>
      <c r="G2036" s="28" t="n"/>
      <c r="H2036" s="28" t="n"/>
      <c r="I2036" s="27" t="n"/>
    </row>
    <row r="2037">
      <c r="A2037" s="23" t="n"/>
      <c r="B2037" s="24" t="n"/>
      <c r="C2037" s="24" t="n"/>
      <c r="D2037" s="24" t="n"/>
      <c r="E2037" s="24" t="n"/>
      <c r="F2037" s="24" t="n"/>
      <c r="G2037" s="29" t="n"/>
      <c r="H2037" s="29" t="n"/>
      <c r="I2037" s="24" t="n"/>
    </row>
    <row r="2038">
      <c r="A2038" s="26" t="n"/>
      <c r="B2038" s="27" t="n"/>
      <c r="C2038" s="27" t="n"/>
      <c r="D2038" s="27" t="n"/>
      <c r="E2038" s="27" t="n"/>
      <c r="F2038" s="27" t="n"/>
      <c r="G2038" s="28" t="n"/>
      <c r="H2038" s="28" t="n"/>
      <c r="I2038" s="27" t="n"/>
    </row>
    <row r="2039">
      <c r="A2039" s="23" t="n"/>
      <c r="B2039" s="24" t="n"/>
      <c r="C2039" s="24" t="n"/>
      <c r="D2039" s="24" t="n"/>
      <c r="E2039" s="24" t="n"/>
      <c r="F2039" s="24" t="n"/>
      <c r="G2039" s="29" t="n"/>
      <c r="H2039" s="29" t="n"/>
      <c r="I2039" s="24" t="n"/>
    </row>
    <row r="2040">
      <c r="A2040" s="26" t="n"/>
      <c r="B2040" s="27" t="n"/>
      <c r="C2040" s="27" t="n"/>
      <c r="D2040" s="27" t="n"/>
      <c r="E2040" s="27" t="n"/>
      <c r="F2040" s="27" t="n"/>
      <c r="G2040" s="28" t="n"/>
      <c r="H2040" s="28" t="n"/>
      <c r="I2040" s="27" t="n"/>
    </row>
    <row r="2041">
      <c r="A2041" s="23" t="n"/>
      <c r="B2041" s="24" t="n"/>
      <c r="C2041" s="24" t="n"/>
      <c r="D2041" s="24" t="n"/>
      <c r="E2041" s="24" t="n"/>
      <c r="F2041" s="24" t="n"/>
      <c r="G2041" s="29" t="n"/>
      <c r="H2041" s="29" t="n"/>
      <c r="I2041" s="24" t="n"/>
    </row>
    <row r="2042">
      <c r="A2042" s="26" t="n"/>
      <c r="B2042" s="27" t="n"/>
      <c r="C2042" s="27" t="n"/>
      <c r="D2042" s="27" t="n"/>
      <c r="E2042" s="27" t="n"/>
      <c r="F2042" s="27" t="n"/>
      <c r="G2042" s="28" t="n"/>
      <c r="H2042" s="28" t="n"/>
      <c r="I2042" s="27" t="n"/>
    </row>
    <row r="2043">
      <c r="A2043" s="23" t="n"/>
      <c r="B2043" s="24" t="n"/>
      <c r="C2043" s="24" t="n"/>
      <c r="D2043" s="24" t="n"/>
      <c r="E2043" s="24" t="n"/>
      <c r="F2043" s="24" t="n"/>
      <c r="G2043" s="29" t="n"/>
      <c r="H2043" s="29" t="n"/>
      <c r="I2043" s="24" t="n"/>
    </row>
    <row r="2044">
      <c r="A2044" s="26" t="n"/>
      <c r="B2044" s="27" t="n"/>
      <c r="C2044" s="27" t="n"/>
      <c r="D2044" s="27" t="n"/>
      <c r="E2044" s="27" t="n"/>
      <c r="F2044" s="27" t="n"/>
      <c r="G2044" s="28" t="n"/>
      <c r="H2044" s="28" t="n"/>
      <c r="I2044" s="27" t="n"/>
    </row>
    <row r="2045">
      <c r="A2045" s="23" t="n"/>
      <c r="B2045" s="24" t="n"/>
      <c r="C2045" s="24" t="n"/>
      <c r="D2045" s="24" t="n"/>
      <c r="E2045" s="24" t="n"/>
      <c r="F2045" s="24" t="n"/>
      <c r="G2045" s="29" t="n"/>
      <c r="H2045" s="29" t="n"/>
      <c r="I2045" s="24" t="n"/>
    </row>
    <row r="2046">
      <c r="A2046" s="26" t="n"/>
      <c r="B2046" s="27" t="n"/>
      <c r="C2046" s="27" t="n"/>
      <c r="D2046" s="27" t="n"/>
      <c r="E2046" s="27" t="n"/>
      <c r="F2046" s="27" t="n"/>
      <c r="G2046" s="28" t="n"/>
      <c r="H2046" s="28" t="n"/>
      <c r="I2046" s="27" t="n"/>
    </row>
    <row r="2047">
      <c r="A2047" s="23" t="n"/>
      <c r="B2047" s="24" t="n"/>
      <c r="C2047" s="24" t="n"/>
      <c r="D2047" s="24" t="n"/>
      <c r="E2047" s="24" t="n"/>
      <c r="F2047" s="24" t="n"/>
      <c r="G2047" s="29" t="n"/>
      <c r="H2047" s="29" t="n"/>
      <c r="I2047" s="24" t="n"/>
    </row>
    <row r="2048">
      <c r="A2048" s="26" t="n"/>
      <c r="B2048" s="27" t="n"/>
      <c r="C2048" s="27" t="n"/>
      <c r="D2048" s="27" t="n"/>
      <c r="E2048" s="27" t="n"/>
      <c r="F2048" s="27" t="n"/>
      <c r="G2048" s="28" t="n"/>
      <c r="H2048" s="28" t="n"/>
      <c r="I2048" s="27" t="n"/>
    </row>
    <row r="2049">
      <c r="A2049" s="23" t="n"/>
      <c r="B2049" s="24" t="n"/>
      <c r="C2049" s="24" t="n"/>
      <c r="D2049" s="24" t="n"/>
      <c r="E2049" s="24" t="n"/>
      <c r="F2049" s="24" t="n"/>
      <c r="G2049" s="29" t="n"/>
      <c r="H2049" s="29" t="n"/>
      <c r="I2049" s="24" t="n"/>
    </row>
    <row r="2050">
      <c r="A2050" s="26" t="n"/>
      <c r="B2050" s="27" t="n"/>
      <c r="C2050" s="27" t="n"/>
      <c r="D2050" s="27" t="n"/>
      <c r="E2050" s="27" t="n"/>
      <c r="F2050" s="27" t="n"/>
      <c r="G2050" s="28" t="n"/>
      <c r="H2050" s="28" t="n"/>
      <c r="I2050" s="27" t="n"/>
    </row>
    <row r="2051">
      <c r="A2051" s="23" t="n"/>
      <c r="B2051" s="24" t="n"/>
      <c r="C2051" s="24" t="n"/>
      <c r="D2051" s="24" t="n"/>
      <c r="E2051" s="24" t="n"/>
      <c r="F2051" s="24" t="n"/>
      <c r="G2051" s="29" t="n"/>
      <c r="H2051" s="29" t="n"/>
      <c r="I2051" s="24" t="n"/>
    </row>
    <row r="2052">
      <c r="A2052" s="26" t="n"/>
      <c r="B2052" s="27" t="n"/>
      <c r="C2052" s="27" t="n"/>
      <c r="D2052" s="27" t="n"/>
      <c r="E2052" s="27" t="n"/>
      <c r="F2052" s="27" t="n"/>
      <c r="G2052" s="28" t="n"/>
      <c r="H2052" s="28" t="n"/>
      <c r="I2052" s="27" t="n"/>
    </row>
    <row r="2053">
      <c r="A2053" s="23" t="n"/>
      <c r="B2053" s="24" t="n"/>
      <c r="C2053" s="24" t="n"/>
      <c r="D2053" s="24" t="n"/>
      <c r="E2053" s="24" t="n"/>
      <c r="F2053" s="24" t="n"/>
      <c r="G2053" s="29" t="n"/>
      <c r="H2053" s="29" t="n"/>
      <c r="I2053" s="24" t="n"/>
    </row>
    <row r="2054">
      <c r="A2054" s="26" t="n"/>
      <c r="B2054" s="27" t="n"/>
      <c r="C2054" s="27" t="n"/>
      <c r="D2054" s="27" t="n"/>
      <c r="E2054" s="27" t="n"/>
      <c r="F2054" s="27" t="n"/>
      <c r="G2054" s="28" t="n"/>
      <c r="H2054" s="28" t="n"/>
      <c r="I2054" s="27" t="n"/>
    </row>
    <row r="2055">
      <c r="A2055" s="23" t="n"/>
      <c r="B2055" s="24" t="n"/>
      <c r="C2055" s="24" t="n"/>
      <c r="D2055" s="24" t="n"/>
      <c r="E2055" s="24" t="n"/>
      <c r="F2055" s="24" t="n"/>
      <c r="G2055" s="29" t="n"/>
      <c r="H2055" s="29" t="n"/>
      <c r="I2055" s="24" t="n"/>
    </row>
    <row r="2056">
      <c r="A2056" s="26" t="n"/>
      <c r="B2056" s="27" t="n"/>
      <c r="C2056" s="27" t="n"/>
      <c r="D2056" s="27" t="n"/>
      <c r="E2056" s="27" t="n"/>
      <c r="F2056" s="27" t="n"/>
      <c r="G2056" s="28" t="n"/>
      <c r="H2056" s="28" t="n"/>
      <c r="I2056" s="27" t="n"/>
    </row>
    <row r="2057">
      <c r="A2057" s="23" t="n"/>
      <c r="B2057" s="24" t="n"/>
      <c r="C2057" s="24" t="n"/>
      <c r="D2057" s="24" t="n"/>
      <c r="E2057" s="24" t="n"/>
      <c r="F2057" s="24" t="n"/>
      <c r="G2057" s="29" t="n"/>
      <c r="H2057" s="29" t="n"/>
      <c r="I2057" s="24" t="n"/>
    </row>
    <row r="2058">
      <c r="A2058" s="26" t="n"/>
      <c r="B2058" s="27" t="n"/>
      <c r="C2058" s="27" t="n"/>
      <c r="D2058" s="27" t="n"/>
      <c r="E2058" s="27" t="n"/>
      <c r="F2058" s="27" t="n"/>
      <c r="G2058" s="28" t="n"/>
      <c r="H2058" s="28" t="n"/>
      <c r="I2058" s="27" t="n"/>
    </row>
    <row r="2059">
      <c r="A2059" s="23" t="n"/>
      <c r="B2059" s="24" t="n"/>
      <c r="C2059" s="24" t="n"/>
      <c r="D2059" s="24" t="n"/>
      <c r="E2059" s="24" t="n"/>
      <c r="F2059" s="24" t="n"/>
      <c r="G2059" s="29" t="n"/>
      <c r="H2059" s="29" t="n"/>
      <c r="I2059" s="24" t="n"/>
    </row>
    <row r="2060">
      <c r="A2060" s="26" t="n"/>
      <c r="B2060" s="27" t="n"/>
      <c r="C2060" s="27" t="n"/>
      <c r="D2060" s="27" t="n"/>
      <c r="E2060" s="27" t="n"/>
      <c r="F2060" s="27" t="n"/>
      <c r="G2060" s="28" t="n"/>
      <c r="H2060" s="28" t="n"/>
      <c r="I2060" s="27" t="n"/>
    </row>
    <row r="2061">
      <c r="A2061" s="23" t="n"/>
      <c r="B2061" s="24" t="n"/>
      <c r="C2061" s="24" t="n"/>
      <c r="D2061" s="24" t="n"/>
      <c r="E2061" s="24" t="n"/>
      <c r="F2061" s="24" t="n"/>
      <c r="G2061" s="29" t="n"/>
      <c r="H2061" s="29" t="n"/>
      <c r="I2061" s="24" t="n"/>
    </row>
    <row r="2062">
      <c r="A2062" s="26" t="n"/>
      <c r="B2062" s="27" t="n"/>
      <c r="C2062" s="27" t="n"/>
      <c r="D2062" s="27" t="n"/>
      <c r="E2062" s="27" t="n"/>
      <c r="F2062" s="27" t="n"/>
      <c r="G2062" s="28" t="n"/>
      <c r="H2062" s="28" t="n"/>
      <c r="I2062" s="27" t="n"/>
    </row>
    <row r="2063">
      <c r="A2063" s="23" t="n"/>
      <c r="B2063" s="24" t="n"/>
      <c r="C2063" s="24" t="n"/>
      <c r="D2063" s="24" t="n"/>
      <c r="E2063" s="24" t="n"/>
      <c r="F2063" s="24" t="n"/>
      <c r="G2063" s="29" t="n"/>
      <c r="H2063" s="29" t="n"/>
      <c r="I2063" s="24" t="n"/>
    </row>
    <row r="2064">
      <c r="A2064" s="26" t="n"/>
      <c r="B2064" s="27" t="n"/>
      <c r="C2064" s="27" t="n"/>
      <c r="D2064" s="27" t="n"/>
      <c r="E2064" s="27" t="n"/>
      <c r="F2064" s="27" t="n"/>
      <c r="G2064" s="28" t="n"/>
      <c r="H2064" s="28" t="n"/>
      <c r="I2064" s="27" t="n"/>
    </row>
    <row r="2065">
      <c r="A2065" s="23" t="n"/>
      <c r="B2065" s="24" t="n"/>
      <c r="C2065" s="24" t="n"/>
      <c r="D2065" s="24" t="n"/>
      <c r="E2065" s="24" t="n"/>
      <c r="F2065" s="24" t="n"/>
      <c r="G2065" s="29" t="n"/>
      <c r="H2065" s="29" t="n"/>
      <c r="I2065" s="24" t="n"/>
    </row>
    <row r="2066">
      <c r="A2066" s="26" t="n"/>
      <c r="B2066" s="27" t="n"/>
      <c r="C2066" s="27" t="n"/>
      <c r="D2066" s="27" t="n"/>
      <c r="E2066" s="27" t="n"/>
      <c r="F2066" s="27" t="n"/>
      <c r="G2066" s="28" t="n"/>
      <c r="H2066" s="28" t="n"/>
      <c r="I2066" s="27" t="n"/>
    </row>
    <row r="2067">
      <c r="A2067" s="23" t="n"/>
      <c r="B2067" s="24" t="n"/>
      <c r="C2067" s="24" t="n"/>
      <c r="D2067" s="24" t="n"/>
      <c r="E2067" s="24" t="n"/>
      <c r="F2067" s="24" t="n"/>
      <c r="G2067" s="29" t="n"/>
      <c r="H2067" s="29" t="n"/>
      <c r="I2067" s="24" t="n"/>
    </row>
    <row r="2068">
      <c r="A2068" s="26" t="n"/>
      <c r="B2068" s="27" t="n"/>
      <c r="C2068" s="27" t="n"/>
      <c r="D2068" s="27" t="n"/>
      <c r="E2068" s="27" t="n"/>
      <c r="F2068" s="27" t="n"/>
      <c r="G2068" s="28" t="n"/>
      <c r="H2068" s="28" t="n"/>
      <c r="I2068" s="27" t="n"/>
    </row>
    <row r="2069">
      <c r="A2069" s="23" t="n"/>
      <c r="B2069" s="24" t="n"/>
      <c r="C2069" s="24" t="n"/>
      <c r="D2069" s="24" t="n"/>
      <c r="E2069" s="24" t="n"/>
      <c r="F2069" s="24" t="n"/>
      <c r="G2069" s="29" t="n"/>
      <c r="H2069" s="29" t="n"/>
      <c r="I2069" s="24" t="n"/>
    </row>
    <row r="2070">
      <c r="A2070" s="26" t="n"/>
      <c r="B2070" s="27" t="n"/>
      <c r="C2070" s="27" t="n"/>
      <c r="D2070" s="27" t="n"/>
      <c r="E2070" s="27" t="n"/>
      <c r="F2070" s="27" t="n"/>
      <c r="G2070" s="28" t="n"/>
      <c r="H2070" s="28" t="n"/>
      <c r="I2070" s="27" t="n"/>
    </row>
    <row r="2071">
      <c r="A2071" s="23" t="n"/>
      <c r="B2071" s="24" t="n"/>
      <c r="C2071" s="24" t="n"/>
      <c r="D2071" s="24" t="n"/>
      <c r="E2071" s="24" t="n"/>
      <c r="F2071" s="24" t="n"/>
      <c r="G2071" s="29" t="n"/>
      <c r="H2071" s="29" t="n"/>
      <c r="I2071" s="24" t="n"/>
    </row>
    <row r="2072">
      <c r="A2072" s="26" t="n"/>
      <c r="B2072" s="27" t="n"/>
      <c r="C2072" s="27" t="n"/>
      <c r="D2072" s="27" t="n"/>
      <c r="E2072" s="27" t="n"/>
      <c r="F2072" s="27" t="n"/>
      <c r="G2072" s="28" t="n"/>
      <c r="H2072" s="28" t="n"/>
      <c r="I2072" s="27" t="n"/>
    </row>
    <row r="2073">
      <c r="A2073" s="23" t="n"/>
      <c r="B2073" s="24" t="n"/>
      <c r="C2073" s="24" t="n"/>
      <c r="D2073" s="24" t="n"/>
      <c r="E2073" s="24" t="n"/>
      <c r="F2073" s="24" t="n"/>
      <c r="G2073" s="29" t="n"/>
      <c r="H2073" s="29" t="n"/>
      <c r="I2073" s="24" t="n"/>
    </row>
    <row r="2074">
      <c r="A2074" s="26" t="n"/>
      <c r="B2074" s="27" t="n"/>
      <c r="C2074" s="27" t="n"/>
      <c r="D2074" s="27" t="n"/>
      <c r="E2074" s="27" t="n"/>
      <c r="F2074" s="27" t="n"/>
      <c r="G2074" s="28" t="n"/>
      <c r="H2074" s="28" t="n"/>
      <c r="I2074" s="27" t="n"/>
    </row>
    <row r="2075">
      <c r="A2075" s="23" t="n"/>
      <c r="B2075" s="24" t="n"/>
      <c r="C2075" s="24" t="n"/>
      <c r="D2075" s="24" t="n"/>
      <c r="E2075" s="24" t="n"/>
      <c r="F2075" s="24" t="n"/>
      <c r="G2075" s="29" t="n"/>
      <c r="H2075" s="29" t="n"/>
      <c r="I2075" s="24" t="n"/>
    </row>
    <row r="2076">
      <c r="A2076" s="26" t="n"/>
      <c r="B2076" s="27" t="n"/>
      <c r="C2076" s="27" t="n"/>
      <c r="D2076" s="27" t="n"/>
      <c r="E2076" s="27" t="n"/>
      <c r="F2076" s="27" t="n"/>
      <c r="G2076" s="28" t="n"/>
      <c r="H2076" s="28" t="n"/>
      <c r="I2076" s="27" t="n"/>
    </row>
    <row r="2077">
      <c r="A2077" s="23" t="n"/>
      <c r="B2077" s="24" t="n"/>
      <c r="C2077" s="24" t="n"/>
      <c r="D2077" s="24" t="n"/>
      <c r="E2077" s="24" t="n"/>
      <c r="F2077" s="24" t="n"/>
      <c r="G2077" s="29" t="n"/>
      <c r="H2077" s="29" t="n"/>
      <c r="I2077" s="24" t="n"/>
    </row>
    <row r="2078">
      <c r="A2078" s="26" t="n"/>
      <c r="B2078" s="27" t="n"/>
      <c r="C2078" s="27" t="n"/>
      <c r="D2078" s="27" t="n"/>
      <c r="E2078" s="27" t="n"/>
      <c r="F2078" s="27" t="n"/>
      <c r="G2078" s="28" t="n"/>
      <c r="H2078" s="28" t="n"/>
      <c r="I2078" s="27" t="n"/>
    </row>
    <row r="2079">
      <c r="A2079" s="23" t="n"/>
      <c r="B2079" s="24" t="n"/>
      <c r="C2079" s="24" t="n"/>
      <c r="D2079" s="24" t="n"/>
      <c r="E2079" s="24" t="n"/>
      <c r="F2079" s="24" t="n"/>
      <c r="G2079" s="29" t="n"/>
      <c r="H2079" s="29" t="n"/>
      <c r="I2079" s="24" t="n"/>
    </row>
    <row r="2080">
      <c r="A2080" s="26" t="n"/>
      <c r="B2080" s="27" t="n"/>
      <c r="C2080" s="27" t="n"/>
      <c r="D2080" s="27" t="n"/>
      <c r="E2080" s="27" t="n"/>
      <c r="F2080" s="27" t="n"/>
      <c r="G2080" s="28" t="n"/>
      <c r="H2080" s="28" t="n"/>
      <c r="I2080" s="27" t="n"/>
    </row>
    <row r="2081">
      <c r="A2081" s="23" t="n"/>
      <c r="B2081" s="24" t="n"/>
      <c r="C2081" s="24" t="n"/>
      <c r="D2081" s="24" t="n"/>
      <c r="E2081" s="24" t="n"/>
      <c r="F2081" s="24" t="n"/>
      <c r="G2081" s="29" t="n"/>
      <c r="H2081" s="29" t="n"/>
      <c r="I2081" s="24" t="n"/>
    </row>
    <row r="2082">
      <c r="A2082" s="26" t="n"/>
      <c r="B2082" s="27" t="n"/>
      <c r="C2082" s="27" t="n"/>
      <c r="D2082" s="27" t="n"/>
      <c r="E2082" s="27" t="n"/>
      <c r="F2082" s="27" t="n"/>
      <c r="G2082" s="28" t="n"/>
      <c r="H2082" s="28" t="n"/>
      <c r="I2082" s="27" t="n"/>
    </row>
    <row r="2083">
      <c r="A2083" s="23" t="n"/>
      <c r="B2083" s="24" t="n"/>
      <c r="C2083" s="24" t="n"/>
      <c r="D2083" s="24" t="n"/>
      <c r="E2083" s="24" t="n"/>
      <c r="F2083" s="24" t="n"/>
      <c r="G2083" s="29" t="n"/>
      <c r="H2083" s="29" t="n"/>
      <c r="I2083" s="24" t="n"/>
    </row>
    <row r="2084">
      <c r="A2084" s="26" t="n"/>
      <c r="B2084" s="27" t="n"/>
      <c r="C2084" s="27" t="n"/>
      <c r="D2084" s="27" t="n"/>
      <c r="E2084" s="27" t="n"/>
      <c r="F2084" s="27" t="n"/>
      <c r="G2084" s="28" t="n"/>
      <c r="H2084" s="28" t="n"/>
      <c r="I2084" s="27" t="n"/>
    </row>
    <row r="2085">
      <c r="A2085" s="23" t="n"/>
      <c r="B2085" s="24" t="n"/>
      <c r="C2085" s="24" t="n"/>
      <c r="D2085" s="24" t="n"/>
      <c r="E2085" s="24" t="n"/>
      <c r="F2085" s="24" t="n"/>
      <c r="G2085" s="29" t="n"/>
      <c r="H2085" s="29" t="n"/>
      <c r="I2085" s="24" t="n"/>
    </row>
    <row r="2086">
      <c r="A2086" s="26" t="n"/>
      <c r="B2086" s="27" t="n"/>
      <c r="C2086" s="27" t="n"/>
      <c r="D2086" s="27" t="n"/>
      <c r="E2086" s="27" t="n"/>
      <c r="F2086" s="27" t="n"/>
      <c r="G2086" s="28" t="n"/>
      <c r="H2086" s="28" t="n"/>
      <c r="I2086" s="27" t="n"/>
    </row>
    <row r="2087">
      <c r="A2087" s="23" t="n"/>
      <c r="B2087" s="24" t="n"/>
      <c r="C2087" s="24" t="n"/>
      <c r="D2087" s="24" t="n"/>
      <c r="E2087" s="24" t="n"/>
      <c r="F2087" s="24" t="n"/>
      <c r="G2087" s="29" t="n"/>
      <c r="H2087" s="29" t="n"/>
      <c r="I2087" s="24" t="n"/>
    </row>
    <row r="2088">
      <c r="A2088" s="26" t="n"/>
      <c r="B2088" s="27" t="n"/>
      <c r="C2088" s="27" t="n"/>
      <c r="D2088" s="27" t="n"/>
      <c r="E2088" s="27" t="n"/>
      <c r="F2088" s="27" t="n"/>
      <c r="G2088" s="28" t="n"/>
      <c r="H2088" s="28" t="n"/>
      <c r="I2088" s="27" t="n"/>
    </row>
    <row r="2089">
      <c r="A2089" s="23" t="n"/>
      <c r="B2089" s="24" t="n"/>
      <c r="C2089" s="24" t="n"/>
      <c r="D2089" s="24" t="n"/>
      <c r="E2089" s="24" t="n"/>
      <c r="F2089" s="24" t="n"/>
      <c r="G2089" s="29" t="n"/>
      <c r="H2089" s="29" t="n"/>
      <c r="I2089" s="24" t="n"/>
    </row>
    <row r="2090">
      <c r="A2090" s="26" t="n"/>
      <c r="B2090" s="27" t="n"/>
      <c r="C2090" s="27" t="n"/>
      <c r="D2090" s="27" t="n"/>
      <c r="E2090" s="27" t="n"/>
      <c r="F2090" s="27" t="n"/>
      <c r="G2090" s="28" t="n"/>
      <c r="H2090" s="28" t="n"/>
      <c r="I2090" s="27" t="n"/>
    </row>
    <row r="2091">
      <c r="A2091" s="23" t="n"/>
      <c r="B2091" s="24" t="n"/>
      <c r="C2091" s="24" t="n"/>
      <c r="D2091" s="24" t="n"/>
      <c r="E2091" s="24" t="n"/>
      <c r="F2091" s="24" t="n"/>
      <c r="G2091" s="29" t="n"/>
      <c r="H2091" s="29" t="n"/>
      <c r="I2091" s="24" t="n"/>
    </row>
    <row r="2092">
      <c r="A2092" s="26" t="n"/>
      <c r="B2092" s="27" t="n"/>
      <c r="C2092" s="27" t="n"/>
      <c r="D2092" s="27" t="n"/>
      <c r="E2092" s="27" t="n"/>
      <c r="F2092" s="27" t="n"/>
      <c r="G2092" s="28" t="n"/>
      <c r="H2092" s="28" t="n"/>
      <c r="I2092" s="27" t="n"/>
    </row>
    <row r="2093">
      <c r="A2093" s="23" t="n"/>
      <c r="B2093" s="24" t="n"/>
      <c r="C2093" s="24" t="n"/>
      <c r="D2093" s="24" t="n"/>
      <c r="E2093" s="24" t="n"/>
      <c r="F2093" s="24" t="n"/>
      <c r="G2093" s="29" t="n"/>
      <c r="H2093" s="29" t="n"/>
      <c r="I2093" s="24" t="n"/>
    </row>
    <row r="2094">
      <c r="A2094" s="26" t="n"/>
      <c r="B2094" s="27" t="n"/>
      <c r="C2094" s="27" t="n"/>
      <c r="D2094" s="27" t="n"/>
      <c r="E2094" s="27" t="n"/>
      <c r="F2094" s="27" t="n"/>
      <c r="G2094" s="28" t="n"/>
      <c r="H2094" s="28" t="n"/>
      <c r="I2094" s="27" t="n"/>
    </row>
    <row r="2095">
      <c r="A2095" s="23" t="n"/>
      <c r="B2095" s="24" t="n"/>
      <c r="C2095" s="24" t="n"/>
      <c r="D2095" s="24" t="n"/>
      <c r="E2095" s="24" t="n"/>
      <c r="F2095" s="24" t="n"/>
      <c r="G2095" s="29" t="n"/>
      <c r="H2095" s="29" t="n"/>
      <c r="I2095" s="24" t="n"/>
    </row>
    <row r="2096">
      <c r="A2096" s="26" t="n"/>
      <c r="B2096" s="27" t="n"/>
      <c r="C2096" s="27" t="n"/>
      <c r="D2096" s="27" t="n"/>
      <c r="E2096" s="27" t="n"/>
      <c r="F2096" s="27" t="n"/>
      <c r="G2096" s="28" t="n"/>
      <c r="H2096" s="28" t="n"/>
      <c r="I2096" s="27" t="n"/>
    </row>
    <row r="2097">
      <c r="A2097" s="23" t="n"/>
      <c r="B2097" s="24" t="n"/>
      <c r="C2097" s="24" t="n"/>
      <c r="D2097" s="24" t="n"/>
      <c r="E2097" s="24" t="n"/>
      <c r="F2097" s="24" t="n"/>
      <c r="G2097" s="29" t="n"/>
      <c r="H2097" s="29" t="n"/>
      <c r="I2097" s="24" t="n"/>
    </row>
    <row r="2098">
      <c r="A2098" s="26" t="n"/>
      <c r="B2098" s="27" t="n"/>
      <c r="C2098" s="27" t="n"/>
      <c r="D2098" s="27" t="n"/>
      <c r="E2098" s="27" t="n"/>
      <c r="F2098" s="27" t="n"/>
      <c r="G2098" s="28" t="n"/>
      <c r="H2098" s="28" t="n"/>
      <c r="I2098" s="27" t="n"/>
    </row>
    <row r="2099">
      <c r="A2099" s="23" t="n"/>
      <c r="B2099" s="24" t="n"/>
      <c r="C2099" s="24" t="n"/>
      <c r="D2099" s="24" t="n"/>
      <c r="E2099" s="24" t="n"/>
      <c r="F2099" s="24" t="n"/>
      <c r="G2099" s="29" t="n"/>
      <c r="H2099" s="29" t="n"/>
      <c r="I2099" s="24" t="n"/>
    </row>
    <row r="2100">
      <c r="A2100" s="26" t="n"/>
      <c r="B2100" s="27" t="n"/>
      <c r="C2100" s="27" t="n"/>
      <c r="D2100" s="27" t="n"/>
      <c r="E2100" s="27" t="n"/>
      <c r="F2100" s="27" t="n"/>
      <c r="G2100" s="28" t="n"/>
      <c r="H2100" s="28" t="n"/>
      <c r="I2100" s="27" t="n"/>
    </row>
    <row r="2101">
      <c r="A2101" s="23" t="n"/>
      <c r="B2101" s="24" t="n"/>
      <c r="C2101" s="24" t="n"/>
      <c r="D2101" s="24" t="n"/>
      <c r="E2101" s="24" t="n"/>
      <c r="F2101" s="24" t="n"/>
      <c r="G2101" s="29" t="n"/>
      <c r="H2101" s="29" t="n"/>
      <c r="I2101" s="24" t="n"/>
    </row>
    <row r="2102">
      <c r="A2102" s="26" t="n"/>
      <c r="B2102" s="27" t="n"/>
      <c r="C2102" s="27" t="n"/>
      <c r="D2102" s="27" t="n"/>
      <c r="E2102" s="27" t="n"/>
      <c r="F2102" s="27" t="n"/>
      <c r="G2102" s="28" t="n"/>
      <c r="H2102" s="28" t="n"/>
      <c r="I2102" s="27" t="n"/>
    </row>
    <row r="2103">
      <c r="A2103" s="23" t="n"/>
      <c r="B2103" s="24" t="n"/>
      <c r="C2103" s="24" t="n"/>
      <c r="D2103" s="24" t="n"/>
      <c r="E2103" s="24" t="n"/>
      <c r="F2103" s="24" t="n"/>
      <c r="G2103" s="29" t="n"/>
      <c r="H2103" s="29" t="n"/>
      <c r="I2103" s="24" t="n"/>
    </row>
    <row r="2104">
      <c r="A2104" s="26" t="n"/>
      <c r="B2104" s="27" t="n"/>
      <c r="C2104" s="27" t="n"/>
      <c r="D2104" s="27" t="n"/>
      <c r="E2104" s="27" t="n"/>
      <c r="F2104" s="27" t="n"/>
      <c r="G2104" s="28" t="n"/>
      <c r="H2104" s="28" t="n"/>
      <c r="I2104" s="27" t="n"/>
    </row>
    <row r="2105">
      <c r="A2105" s="23" t="n"/>
      <c r="B2105" s="24" t="n"/>
      <c r="C2105" s="24" t="n"/>
      <c r="D2105" s="24" t="n"/>
      <c r="E2105" s="24" t="n"/>
      <c r="F2105" s="24" t="n"/>
      <c r="G2105" s="29" t="n"/>
      <c r="H2105" s="29" t="n"/>
      <c r="I2105" s="24" t="n"/>
    </row>
    <row r="2106">
      <c r="A2106" s="26" t="n"/>
      <c r="B2106" s="27" t="n"/>
      <c r="C2106" s="27" t="n"/>
      <c r="D2106" s="27" t="n"/>
      <c r="E2106" s="27" t="n"/>
      <c r="F2106" s="27" t="n"/>
      <c r="G2106" s="28" t="n"/>
      <c r="H2106" s="28" t="n"/>
      <c r="I2106" s="27" t="n"/>
    </row>
    <row r="2107">
      <c r="A2107" s="23" t="n"/>
      <c r="B2107" s="24" t="n"/>
      <c r="C2107" s="24" t="n"/>
      <c r="D2107" s="24" t="n"/>
      <c r="E2107" s="24" t="n"/>
      <c r="F2107" s="24" t="n"/>
      <c r="G2107" s="29" t="n"/>
      <c r="H2107" s="29" t="n"/>
      <c r="I2107" s="24" t="n"/>
    </row>
    <row r="2108">
      <c r="A2108" s="26" t="n"/>
      <c r="B2108" s="27" t="n"/>
      <c r="C2108" s="27" t="n"/>
      <c r="D2108" s="27" t="n"/>
      <c r="E2108" s="27" t="n"/>
      <c r="F2108" s="27" t="n"/>
      <c r="G2108" s="28" t="n"/>
      <c r="H2108" s="28" t="n"/>
      <c r="I2108" s="27" t="n"/>
    </row>
    <row r="2109">
      <c r="A2109" s="23" t="n"/>
      <c r="B2109" s="24" t="n"/>
      <c r="C2109" s="24" t="n"/>
      <c r="D2109" s="24" t="n"/>
      <c r="E2109" s="24" t="n"/>
      <c r="F2109" s="24" t="n"/>
      <c r="G2109" s="29" t="n"/>
      <c r="H2109" s="29" t="n"/>
      <c r="I2109" s="24" t="n"/>
    </row>
    <row r="2110">
      <c r="A2110" s="26" t="n"/>
      <c r="B2110" s="27" t="n"/>
      <c r="C2110" s="27" t="n"/>
      <c r="D2110" s="27" t="n"/>
      <c r="E2110" s="27" t="n"/>
      <c r="F2110" s="27" t="n"/>
      <c r="G2110" s="28" t="n"/>
      <c r="H2110" s="28" t="n"/>
      <c r="I2110" s="27" t="n"/>
    </row>
    <row r="2111">
      <c r="A2111" s="23" t="n"/>
      <c r="B2111" s="24" t="n"/>
      <c r="C2111" s="24" t="n"/>
      <c r="D2111" s="24" t="n"/>
      <c r="E2111" s="24" t="n"/>
      <c r="F2111" s="24" t="n"/>
      <c r="G2111" s="29" t="n"/>
      <c r="H2111" s="29" t="n"/>
      <c r="I2111" s="24" t="n"/>
    </row>
    <row r="2112">
      <c r="A2112" s="26" t="n"/>
      <c r="B2112" s="27" t="n"/>
      <c r="C2112" s="27" t="n"/>
      <c r="D2112" s="27" t="n"/>
      <c r="E2112" s="27" t="n"/>
      <c r="F2112" s="27" t="n"/>
      <c r="G2112" s="28" t="n"/>
      <c r="H2112" s="28" t="n"/>
      <c r="I2112" s="27" t="n"/>
    </row>
    <row r="2113">
      <c r="A2113" s="23" t="n"/>
      <c r="B2113" s="24" t="n"/>
      <c r="C2113" s="24" t="n"/>
      <c r="D2113" s="24" t="n"/>
      <c r="E2113" s="24" t="n"/>
      <c r="F2113" s="24" t="n"/>
      <c r="G2113" s="29" t="n"/>
      <c r="H2113" s="29" t="n"/>
      <c r="I2113" s="24" t="n"/>
    </row>
    <row r="2114">
      <c r="A2114" s="26" t="n"/>
      <c r="B2114" s="27" t="n"/>
      <c r="C2114" s="27" t="n"/>
      <c r="D2114" s="27" t="n"/>
      <c r="E2114" s="27" t="n"/>
      <c r="F2114" s="27" t="n"/>
      <c r="G2114" s="28" t="n"/>
      <c r="H2114" s="28" t="n"/>
      <c r="I2114" s="27" t="n"/>
    </row>
    <row r="2115">
      <c r="A2115" s="23" t="n"/>
      <c r="B2115" s="24" t="n"/>
      <c r="C2115" s="24" t="n"/>
      <c r="D2115" s="24" t="n"/>
      <c r="E2115" s="24" t="n"/>
      <c r="F2115" s="24" t="n"/>
      <c r="G2115" s="29" t="n"/>
      <c r="H2115" s="29" t="n"/>
      <c r="I2115" s="24" t="n"/>
    </row>
    <row r="2116">
      <c r="A2116" s="26" t="n"/>
      <c r="B2116" s="27" t="n"/>
      <c r="C2116" s="27" t="n"/>
      <c r="D2116" s="27" t="n"/>
      <c r="E2116" s="27" t="n"/>
      <c r="F2116" s="27" t="n"/>
      <c r="G2116" s="28" t="n"/>
      <c r="H2116" s="28" t="n"/>
      <c r="I2116" s="27" t="n"/>
    </row>
    <row r="2117">
      <c r="A2117" s="23" t="n"/>
      <c r="B2117" s="24" t="n"/>
      <c r="C2117" s="24" t="n"/>
      <c r="D2117" s="24" t="n"/>
      <c r="E2117" s="24" t="n"/>
      <c r="F2117" s="24" t="n"/>
      <c r="G2117" s="29" t="n"/>
      <c r="H2117" s="29" t="n"/>
      <c r="I2117" s="24" t="n"/>
    </row>
    <row r="2118">
      <c r="A2118" s="26" t="n"/>
      <c r="B2118" s="27" t="n"/>
      <c r="C2118" s="27" t="n"/>
      <c r="D2118" s="27" t="n"/>
      <c r="E2118" s="27" t="n"/>
      <c r="F2118" s="27" t="n"/>
      <c r="G2118" s="28" t="n"/>
      <c r="H2118" s="28" t="n"/>
      <c r="I2118" s="27" t="n"/>
    </row>
    <row r="2119">
      <c r="A2119" s="23" t="n"/>
      <c r="B2119" s="24" t="n"/>
      <c r="C2119" s="24" t="n"/>
      <c r="D2119" s="24" t="n"/>
      <c r="E2119" s="24" t="n"/>
      <c r="F2119" s="24" t="n"/>
      <c r="G2119" s="29" t="n"/>
      <c r="H2119" s="29" t="n"/>
      <c r="I2119" s="24" t="n"/>
    </row>
    <row r="2120">
      <c r="A2120" s="26" t="n"/>
      <c r="B2120" s="27" t="n"/>
      <c r="C2120" s="27" t="n"/>
      <c r="D2120" s="27" t="n"/>
      <c r="E2120" s="27" t="n"/>
      <c r="F2120" s="27" t="n"/>
      <c r="G2120" s="28" t="n"/>
      <c r="H2120" s="28" t="n"/>
      <c r="I2120" s="27" t="n"/>
    </row>
    <row r="2121">
      <c r="A2121" s="23" t="n"/>
      <c r="B2121" s="24" t="n"/>
      <c r="C2121" s="24" t="n"/>
      <c r="D2121" s="24" t="n"/>
      <c r="E2121" s="24" t="n"/>
      <c r="F2121" s="24" t="n"/>
      <c r="G2121" s="29" t="n"/>
      <c r="H2121" s="29" t="n"/>
      <c r="I2121" s="24" t="n"/>
    </row>
    <row r="2122">
      <c r="A2122" s="26" t="n"/>
      <c r="B2122" s="27" t="n"/>
      <c r="C2122" s="27" t="n"/>
      <c r="D2122" s="27" t="n"/>
      <c r="E2122" s="27" t="n"/>
      <c r="F2122" s="27" t="n"/>
      <c r="G2122" s="28" t="n"/>
      <c r="H2122" s="28" t="n"/>
      <c r="I2122" s="27" t="n"/>
    </row>
    <row r="2123">
      <c r="A2123" s="23" t="n"/>
      <c r="B2123" s="24" t="n"/>
      <c r="C2123" s="24" t="n"/>
      <c r="D2123" s="24" t="n"/>
      <c r="E2123" s="24" t="n"/>
      <c r="F2123" s="24" t="n"/>
      <c r="G2123" s="29" t="n"/>
      <c r="H2123" s="29" t="n"/>
      <c r="I2123" s="24" t="n"/>
    </row>
    <row r="2124">
      <c r="A2124" s="26" t="n"/>
      <c r="B2124" s="27" t="n"/>
      <c r="C2124" s="27" t="n"/>
      <c r="D2124" s="27" t="n"/>
      <c r="E2124" s="27" t="n"/>
      <c r="F2124" s="27" t="n"/>
      <c r="G2124" s="28" t="n"/>
      <c r="H2124" s="28" t="n"/>
      <c r="I2124" s="27" t="n"/>
    </row>
    <row r="2125">
      <c r="A2125" s="23" t="n"/>
      <c r="B2125" s="24" t="n"/>
      <c r="C2125" s="24" t="n"/>
      <c r="D2125" s="24" t="n"/>
      <c r="E2125" s="24" t="n"/>
      <c r="F2125" s="24" t="n"/>
      <c r="G2125" s="29" t="n"/>
      <c r="H2125" s="29" t="n"/>
      <c r="I2125" s="24" t="n"/>
    </row>
    <row r="2126">
      <c r="A2126" s="26" t="n"/>
      <c r="B2126" s="27" t="n"/>
      <c r="C2126" s="27" t="n"/>
      <c r="D2126" s="27" t="n"/>
      <c r="E2126" s="27" t="n"/>
      <c r="F2126" s="27" t="n"/>
      <c r="G2126" s="28" t="n"/>
      <c r="H2126" s="28" t="n"/>
      <c r="I2126" s="27" t="n"/>
    </row>
    <row r="2127">
      <c r="A2127" s="23" t="n"/>
      <c r="B2127" s="24" t="n"/>
      <c r="C2127" s="24" t="n"/>
      <c r="D2127" s="24" t="n"/>
      <c r="E2127" s="24" t="n"/>
      <c r="F2127" s="24" t="n"/>
      <c r="G2127" s="29" t="n"/>
      <c r="H2127" s="29" t="n"/>
      <c r="I2127" s="24" t="n"/>
    </row>
    <row r="2128">
      <c r="A2128" s="26" t="n"/>
      <c r="B2128" s="27" t="n"/>
      <c r="C2128" s="27" t="n"/>
      <c r="D2128" s="27" t="n"/>
      <c r="E2128" s="27" t="n"/>
      <c r="F2128" s="27" t="n"/>
      <c r="G2128" s="28" t="n"/>
      <c r="H2128" s="28" t="n"/>
      <c r="I2128" s="27" t="n"/>
    </row>
    <row r="2129">
      <c r="A2129" s="23" t="n"/>
      <c r="B2129" s="24" t="n"/>
      <c r="C2129" s="24" t="n"/>
      <c r="D2129" s="24" t="n"/>
      <c r="E2129" s="24" t="n"/>
      <c r="F2129" s="24" t="n"/>
      <c r="G2129" s="29" t="n"/>
      <c r="H2129" s="29" t="n"/>
      <c r="I2129" s="24" t="n"/>
    </row>
    <row r="2130">
      <c r="A2130" s="26" t="n"/>
      <c r="B2130" s="27" t="n"/>
      <c r="C2130" s="27" t="n"/>
      <c r="D2130" s="27" t="n"/>
      <c r="E2130" s="27" t="n"/>
      <c r="F2130" s="27" t="n"/>
      <c r="G2130" s="28" t="n"/>
      <c r="H2130" s="28" t="n"/>
      <c r="I2130" s="27" t="n"/>
    </row>
    <row r="2131">
      <c r="A2131" s="23" t="n"/>
      <c r="B2131" s="24" t="n"/>
      <c r="C2131" s="24" t="n"/>
      <c r="D2131" s="24" t="n"/>
      <c r="E2131" s="24" t="n"/>
      <c r="F2131" s="24" t="n"/>
      <c r="G2131" s="29" t="n"/>
      <c r="H2131" s="29" t="n"/>
      <c r="I2131" s="24" t="n"/>
    </row>
    <row r="2132">
      <c r="A2132" s="26" t="n"/>
      <c r="B2132" s="27" t="n"/>
      <c r="C2132" s="27" t="n"/>
      <c r="D2132" s="27" t="n"/>
      <c r="E2132" s="27" t="n"/>
      <c r="F2132" s="27" t="n"/>
      <c r="G2132" s="28" t="n"/>
      <c r="H2132" s="28" t="n"/>
      <c r="I2132" s="27" t="n"/>
    </row>
    <row r="2133">
      <c r="A2133" s="23" t="n"/>
      <c r="B2133" s="24" t="n"/>
      <c r="C2133" s="24" t="n"/>
      <c r="D2133" s="24" t="n"/>
      <c r="E2133" s="24" t="n"/>
      <c r="F2133" s="24" t="n"/>
      <c r="G2133" s="29" t="n"/>
      <c r="H2133" s="29" t="n"/>
      <c r="I2133" s="24" t="n"/>
    </row>
    <row r="2134">
      <c r="A2134" s="26" t="n"/>
      <c r="B2134" s="27" t="n"/>
      <c r="C2134" s="27" t="n"/>
      <c r="D2134" s="27" t="n"/>
      <c r="E2134" s="27" t="n"/>
      <c r="F2134" s="27" t="n"/>
      <c r="G2134" s="28" t="n"/>
      <c r="H2134" s="28" t="n"/>
      <c r="I2134" s="27" t="n"/>
    </row>
    <row r="2135">
      <c r="A2135" s="23" t="n"/>
      <c r="B2135" s="24" t="n"/>
      <c r="C2135" s="24" t="n"/>
      <c r="D2135" s="24" t="n"/>
      <c r="E2135" s="24" t="n"/>
      <c r="F2135" s="24" t="n"/>
      <c r="G2135" s="29" t="n"/>
      <c r="H2135" s="29" t="n"/>
      <c r="I2135" s="24" t="n"/>
    </row>
    <row r="2136">
      <c r="A2136" s="26" t="n"/>
      <c r="B2136" s="27" t="n"/>
      <c r="C2136" s="27" t="n"/>
      <c r="D2136" s="27" t="n"/>
      <c r="E2136" s="27" t="n"/>
      <c r="F2136" s="27" t="n"/>
      <c r="G2136" s="28" t="n"/>
      <c r="H2136" s="28" t="n"/>
      <c r="I2136" s="27" t="n"/>
    </row>
    <row r="2137">
      <c r="A2137" s="23" t="n"/>
      <c r="B2137" s="24" t="n"/>
      <c r="C2137" s="24" t="n"/>
      <c r="D2137" s="24" t="n"/>
      <c r="E2137" s="24" t="n"/>
      <c r="F2137" s="24" t="n"/>
      <c r="G2137" s="29" t="n"/>
      <c r="H2137" s="29" t="n"/>
      <c r="I2137" s="24" t="n"/>
    </row>
    <row r="2138">
      <c r="A2138" s="26" t="n"/>
      <c r="B2138" s="27" t="n"/>
      <c r="C2138" s="27" t="n"/>
      <c r="D2138" s="27" t="n"/>
      <c r="E2138" s="27" t="n"/>
      <c r="F2138" s="27" t="n"/>
      <c r="G2138" s="28" t="n"/>
      <c r="H2138" s="28" t="n"/>
      <c r="I2138" s="27" t="n"/>
    </row>
    <row r="2139">
      <c r="A2139" s="23" t="n"/>
      <c r="B2139" s="24" t="n"/>
      <c r="C2139" s="24" t="n"/>
      <c r="D2139" s="24" t="n"/>
      <c r="E2139" s="24" t="n"/>
      <c r="F2139" s="24" t="n"/>
      <c r="G2139" s="29" t="n"/>
      <c r="H2139" s="29" t="n"/>
      <c r="I2139" s="24" t="n"/>
    </row>
    <row r="2140">
      <c r="A2140" s="26" t="n"/>
      <c r="B2140" s="27" t="n"/>
      <c r="C2140" s="27" t="n"/>
      <c r="D2140" s="27" t="n"/>
      <c r="E2140" s="27" t="n"/>
      <c r="F2140" s="27" t="n"/>
      <c r="G2140" s="28" t="n"/>
      <c r="H2140" s="28" t="n"/>
      <c r="I2140" s="27" t="n"/>
    </row>
    <row r="2141">
      <c r="A2141" s="23" t="n"/>
      <c r="B2141" s="24" t="n"/>
      <c r="C2141" s="24" t="n"/>
      <c r="D2141" s="24" t="n"/>
      <c r="E2141" s="24" t="n"/>
      <c r="F2141" s="24" t="n"/>
      <c r="G2141" s="29" t="n"/>
      <c r="H2141" s="29" t="n"/>
      <c r="I2141" s="24" t="n"/>
    </row>
    <row r="2142">
      <c r="A2142" s="26" t="n"/>
      <c r="B2142" s="27" t="n"/>
      <c r="C2142" s="27" t="n"/>
      <c r="D2142" s="27" t="n"/>
      <c r="E2142" s="27" t="n"/>
      <c r="F2142" s="27" t="n"/>
      <c r="G2142" s="28" t="n"/>
      <c r="H2142" s="28" t="n"/>
      <c r="I2142" s="27" t="n"/>
    </row>
    <row r="2143">
      <c r="A2143" s="23" t="n"/>
      <c r="B2143" s="24" t="n"/>
      <c r="C2143" s="24" t="n"/>
      <c r="D2143" s="24" t="n"/>
      <c r="E2143" s="24" t="n"/>
      <c r="F2143" s="24" t="n"/>
      <c r="G2143" s="29" t="n"/>
      <c r="H2143" s="29" t="n"/>
      <c r="I2143" s="24" t="n"/>
    </row>
    <row r="2144">
      <c r="A2144" s="26" t="n"/>
      <c r="B2144" s="27" t="n"/>
      <c r="C2144" s="27" t="n"/>
      <c r="D2144" s="27" t="n"/>
      <c r="E2144" s="27" t="n"/>
      <c r="F2144" s="27" t="n"/>
      <c r="G2144" s="28" t="n"/>
      <c r="H2144" s="28" t="n"/>
      <c r="I2144" s="27" t="n"/>
    </row>
    <row r="2145">
      <c r="A2145" s="23" t="n"/>
      <c r="B2145" s="24" t="n"/>
      <c r="C2145" s="24" t="n"/>
      <c r="D2145" s="24" t="n"/>
      <c r="E2145" s="24" t="n"/>
      <c r="F2145" s="24" t="n"/>
      <c r="G2145" s="29" t="n"/>
      <c r="H2145" s="29" t="n"/>
      <c r="I2145" s="24" t="n"/>
    </row>
    <row r="2146">
      <c r="A2146" s="26" t="n"/>
      <c r="B2146" s="27" t="n"/>
      <c r="C2146" s="27" t="n"/>
      <c r="D2146" s="27" t="n"/>
      <c r="E2146" s="27" t="n"/>
      <c r="F2146" s="27" t="n"/>
      <c r="G2146" s="28" t="n"/>
      <c r="H2146" s="28" t="n"/>
      <c r="I2146" s="27" t="n"/>
    </row>
    <row r="2147">
      <c r="A2147" s="23" t="n"/>
      <c r="B2147" s="24" t="n"/>
      <c r="C2147" s="24" t="n"/>
      <c r="D2147" s="24" t="n"/>
      <c r="E2147" s="24" t="n"/>
      <c r="F2147" s="24" t="n"/>
      <c r="G2147" s="29" t="n"/>
      <c r="H2147" s="29" t="n"/>
      <c r="I2147" s="24" t="n"/>
    </row>
    <row r="2148">
      <c r="A2148" s="26" t="n"/>
      <c r="B2148" s="27" t="n"/>
      <c r="C2148" s="27" t="n"/>
      <c r="D2148" s="27" t="n"/>
      <c r="E2148" s="27" t="n"/>
      <c r="F2148" s="27" t="n"/>
      <c r="G2148" s="28" t="n"/>
      <c r="H2148" s="28" t="n"/>
      <c r="I2148" s="27" t="n"/>
    </row>
    <row r="2149">
      <c r="A2149" s="23" t="n"/>
      <c r="B2149" s="24" t="n"/>
      <c r="C2149" s="24" t="n"/>
      <c r="D2149" s="24" t="n"/>
      <c r="E2149" s="24" t="n"/>
      <c r="F2149" s="24" t="n"/>
      <c r="G2149" s="29" t="n"/>
      <c r="H2149" s="29" t="n"/>
      <c r="I2149" s="24" t="n"/>
    </row>
    <row r="2150">
      <c r="A2150" s="26" t="n"/>
      <c r="B2150" s="27" t="n"/>
      <c r="C2150" s="27" t="n"/>
      <c r="D2150" s="27" t="n"/>
      <c r="E2150" s="27" t="n"/>
      <c r="F2150" s="27" t="n"/>
      <c r="G2150" s="28" t="n"/>
      <c r="H2150" s="28" t="n"/>
      <c r="I2150" s="27" t="n"/>
    </row>
    <row r="2151">
      <c r="A2151" s="23" t="n"/>
      <c r="B2151" s="24" t="n"/>
      <c r="C2151" s="24" t="n"/>
      <c r="D2151" s="24" t="n"/>
      <c r="E2151" s="24" t="n"/>
      <c r="F2151" s="24" t="n"/>
      <c r="G2151" s="29" t="n"/>
      <c r="H2151" s="29" t="n"/>
      <c r="I2151" s="24" t="n"/>
    </row>
    <row r="2152">
      <c r="A2152" s="26" t="n"/>
      <c r="B2152" s="27" t="n"/>
      <c r="C2152" s="27" t="n"/>
      <c r="D2152" s="27" t="n"/>
      <c r="E2152" s="27" t="n"/>
      <c r="F2152" s="27" t="n"/>
      <c r="G2152" s="28" t="n"/>
      <c r="H2152" s="28" t="n"/>
      <c r="I2152" s="27" t="n"/>
    </row>
    <row r="2153">
      <c r="A2153" s="23" t="n"/>
      <c r="B2153" s="24" t="n"/>
      <c r="C2153" s="24" t="n"/>
      <c r="D2153" s="24" t="n"/>
      <c r="E2153" s="24" t="n"/>
      <c r="F2153" s="24" t="n"/>
      <c r="G2153" s="29" t="n"/>
      <c r="H2153" s="29" t="n"/>
      <c r="I2153" s="24" t="n"/>
    </row>
    <row r="2154">
      <c r="A2154" s="26" t="n"/>
      <c r="B2154" s="27" t="n"/>
      <c r="C2154" s="27" t="n"/>
      <c r="D2154" s="27" t="n"/>
      <c r="E2154" s="27" t="n"/>
      <c r="F2154" s="27" t="n"/>
      <c r="G2154" s="28" t="n"/>
      <c r="H2154" s="28" t="n"/>
      <c r="I2154" s="27" t="n"/>
    </row>
    <row r="2155">
      <c r="A2155" s="23" t="n"/>
      <c r="B2155" s="24" t="n"/>
      <c r="C2155" s="24" t="n"/>
      <c r="D2155" s="24" t="n"/>
      <c r="E2155" s="24" t="n"/>
      <c r="F2155" s="24" t="n"/>
      <c r="G2155" s="29" t="n"/>
      <c r="H2155" s="29" t="n"/>
      <c r="I2155" s="24" t="n"/>
    </row>
    <row r="2156">
      <c r="A2156" s="26" t="n"/>
      <c r="B2156" s="27" t="n"/>
      <c r="C2156" s="27" t="n"/>
      <c r="D2156" s="27" t="n"/>
      <c r="E2156" s="27" t="n"/>
      <c r="F2156" s="27" t="n"/>
      <c r="G2156" s="28" t="n"/>
      <c r="H2156" s="28" t="n"/>
      <c r="I2156" s="27" t="n"/>
    </row>
    <row r="2157">
      <c r="A2157" s="23" t="n"/>
      <c r="B2157" s="24" t="n"/>
      <c r="C2157" s="24" t="n"/>
      <c r="D2157" s="24" t="n"/>
      <c r="E2157" s="24" t="n"/>
      <c r="F2157" s="24" t="n"/>
      <c r="G2157" s="29" t="n"/>
      <c r="H2157" s="29" t="n"/>
      <c r="I2157" s="24" t="n"/>
    </row>
    <row r="2158">
      <c r="A2158" s="26" t="n"/>
      <c r="B2158" s="27" t="n"/>
      <c r="C2158" s="27" t="n"/>
      <c r="D2158" s="27" t="n"/>
      <c r="E2158" s="27" t="n"/>
      <c r="F2158" s="27" t="n"/>
      <c r="G2158" s="28" t="n"/>
      <c r="H2158" s="28" t="n"/>
      <c r="I2158" s="27" t="n"/>
    </row>
    <row r="2159">
      <c r="A2159" s="23" t="n"/>
      <c r="B2159" s="24" t="n"/>
      <c r="C2159" s="24" t="n"/>
      <c r="D2159" s="24" t="n"/>
      <c r="E2159" s="24" t="n"/>
      <c r="F2159" s="24" t="n"/>
      <c r="G2159" s="29" t="n"/>
      <c r="H2159" s="29" t="n"/>
      <c r="I2159" s="24" t="n"/>
    </row>
    <row r="2160">
      <c r="A2160" s="26" t="n"/>
      <c r="B2160" s="27" t="n"/>
      <c r="C2160" s="27" t="n"/>
      <c r="D2160" s="27" t="n"/>
      <c r="E2160" s="27" t="n"/>
      <c r="F2160" s="27" t="n"/>
      <c r="G2160" s="28" t="n"/>
      <c r="H2160" s="28" t="n"/>
      <c r="I2160" s="27" t="n"/>
    </row>
    <row r="2161">
      <c r="A2161" s="23" t="n"/>
      <c r="B2161" s="24" t="n"/>
      <c r="C2161" s="24" t="n"/>
      <c r="D2161" s="24" t="n"/>
      <c r="E2161" s="24" t="n"/>
      <c r="F2161" s="24" t="n"/>
      <c r="G2161" s="29" t="n"/>
      <c r="H2161" s="29" t="n"/>
      <c r="I2161" s="24" t="n"/>
    </row>
    <row r="2162">
      <c r="A2162" s="26" t="n"/>
      <c r="B2162" s="27" t="n"/>
      <c r="C2162" s="27" t="n"/>
      <c r="D2162" s="27" t="n"/>
      <c r="E2162" s="27" t="n"/>
      <c r="F2162" s="27" t="n"/>
      <c r="G2162" s="28" t="n"/>
      <c r="H2162" s="28" t="n"/>
      <c r="I2162" s="27" t="n"/>
    </row>
    <row r="2163">
      <c r="A2163" s="23" t="n"/>
      <c r="B2163" s="24" t="n"/>
      <c r="C2163" s="24" t="n"/>
      <c r="D2163" s="24" t="n"/>
      <c r="E2163" s="24" t="n"/>
      <c r="F2163" s="24" t="n"/>
      <c r="G2163" s="29" t="n"/>
      <c r="H2163" s="29" t="n"/>
      <c r="I2163" s="24" t="n"/>
    </row>
    <row r="2164">
      <c r="A2164" s="26" t="n"/>
      <c r="B2164" s="27" t="n"/>
      <c r="C2164" s="27" t="n"/>
      <c r="D2164" s="27" t="n"/>
      <c r="E2164" s="27" t="n"/>
      <c r="F2164" s="27" t="n"/>
      <c r="G2164" s="28" t="n"/>
      <c r="H2164" s="28" t="n"/>
      <c r="I2164" s="27" t="n"/>
    </row>
    <row r="2165">
      <c r="A2165" s="23" t="n"/>
      <c r="B2165" s="24" t="n"/>
      <c r="C2165" s="24" t="n"/>
      <c r="D2165" s="24" t="n"/>
      <c r="E2165" s="24" t="n"/>
      <c r="F2165" s="24" t="n"/>
      <c r="G2165" s="29" t="n"/>
      <c r="H2165" s="29" t="n"/>
      <c r="I2165" s="24" t="n"/>
    </row>
    <row r="2166">
      <c r="A2166" s="26" t="n"/>
      <c r="B2166" s="27" t="n"/>
      <c r="C2166" s="27" t="n"/>
      <c r="D2166" s="27" t="n"/>
      <c r="E2166" s="27" t="n"/>
      <c r="F2166" s="27" t="n"/>
      <c r="G2166" s="28" t="n"/>
      <c r="H2166" s="28" t="n"/>
      <c r="I2166" s="27" t="n"/>
    </row>
    <row r="2167">
      <c r="A2167" s="23" t="n"/>
      <c r="B2167" s="24" t="n"/>
      <c r="C2167" s="24" t="n"/>
      <c r="D2167" s="24" t="n"/>
      <c r="E2167" s="24" t="n"/>
      <c r="F2167" s="24" t="n"/>
      <c r="G2167" s="29" t="n"/>
      <c r="H2167" s="29" t="n"/>
      <c r="I2167" s="24" t="n"/>
    </row>
    <row r="2168">
      <c r="A2168" s="26" t="n"/>
      <c r="B2168" s="27" t="n"/>
      <c r="C2168" s="27" t="n"/>
      <c r="D2168" s="27" t="n"/>
      <c r="E2168" s="27" t="n"/>
      <c r="F2168" s="27" t="n"/>
      <c r="G2168" s="28" t="n"/>
      <c r="H2168" s="28" t="n"/>
      <c r="I2168" s="27" t="n"/>
    </row>
    <row r="2169">
      <c r="A2169" s="23" t="n"/>
      <c r="B2169" s="24" t="n"/>
      <c r="C2169" s="24" t="n"/>
      <c r="D2169" s="24" t="n"/>
      <c r="E2169" s="24" t="n"/>
      <c r="F2169" s="24" t="n"/>
      <c r="G2169" s="29" t="n"/>
      <c r="H2169" s="29" t="n"/>
      <c r="I2169" s="24" t="n"/>
    </row>
    <row r="2170">
      <c r="A2170" s="26" t="n"/>
      <c r="B2170" s="27" t="n"/>
      <c r="C2170" s="27" t="n"/>
      <c r="D2170" s="27" t="n"/>
      <c r="E2170" s="27" t="n"/>
      <c r="F2170" s="27" t="n"/>
      <c r="G2170" s="28" t="n"/>
      <c r="H2170" s="28" t="n"/>
      <c r="I2170" s="27" t="n"/>
    </row>
    <row r="2171">
      <c r="A2171" s="23" t="n"/>
      <c r="B2171" s="24" t="n"/>
      <c r="C2171" s="24" t="n"/>
      <c r="D2171" s="24" t="n"/>
      <c r="E2171" s="24" t="n"/>
      <c r="F2171" s="24" t="n"/>
      <c r="G2171" s="29" t="n"/>
      <c r="H2171" s="29" t="n"/>
      <c r="I2171" s="24" t="n"/>
    </row>
    <row r="2172">
      <c r="A2172" s="26" t="n"/>
      <c r="B2172" s="27" t="n"/>
      <c r="C2172" s="27" t="n"/>
      <c r="D2172" s="27" t="n"/>
      <c r="E2172" s="27" t="n"/>
      <c r="F2172" s="27" t="n"/>
      <c r="G2172" s="28" t="n"/>
      <c r="H2172" s="28" t="n"/>
      <c r="I2172" s="27" t="n"/>
    </row>
    <row r="2173">
      <c r="A2173" s="23" t="n"/>
      <c r="B2173" s="24" t="n"/>
      <c r="C2173" s="24" t="n"/>
      <c r="D2173" s="24" t="n"/>
      <c r="E2173" s="24" t="n"/>
      <c r="F2173" s="24" t="n"/>
      <c r="G2173" s="29" t="n"/>
      <c r="H2173" s="29" t="n"/>
      <c r="I2173" s="24" t="n"/>
    </row>
    <row r="2174">
      <c r="A2174" s="26" t="n"/>
      <c r="B2174" s="27" t="n"/>
      <c r="C2174" s="27" t="n"/>
      <c r="D2174" s="27" t="n"/>
      <c r="E2174" s="27" t="n"/>
      <c r="F2174" s="27" t="n"/>
      <c r="G2174" s="28" t="n"/>
      <c r="H2174" s="28" t="n"/>
      <c r="I2174" s="27" t="n"/>
    </row>
    <row r="2175">
      <c r="A2175" s="23" t="n"/>
      <c r="B2175" s="24" t="n"/>
      <c r="C2175" s="24" t="n"/>
      <c r="D2175" s="24" t="n"/>
      <c r="E2175" s="24" t="n"/>
      <c r="F2175" s="24" t="n"/>
      <c r="G2175" s="29" t="n"/>
      <c r="H2175" s="29" t="n"/>
      <c r="I2175" s="24" t="n"/>
    </row>
    <row r="2176">
      <c r="A2176" s="26" t="n"/>
      <c r="B2176" s="27" t="n"/>
      <c r="C2176" s="27" t="n"/>
      <c r="D2176" s="27" t="n"/>
      <c r="E2176" s="27" t="n"/>
      <c r="F2176" s="27" t="n"/>
      <c r="G2176" s="28" t="n"/>
      <c r="H2176" s="28" t="n"/>
      <c r="I2176" s="27" t="n"/>
    </row>
    <row r="2177">
      <c r="A2177" s="23" t="n"/>
      <c r="B2177" s="24" t="n"/>
      <c r="C2177" s="24" t="n"/>
      <c r="D2177" s="24" t="n"/>
      <c r="E2177" s="24" t="n"/>
      <c r="F2177" s="24" t="n"/>
      <c r="G2177" s="29" t="n"/>
      <c r="H2177" s="29" t="n"/>
      <c r="I2177" s="24" t="n"/>
    </row>
    <row r="2178">
      <c r="A2178" s="26" t="n"/>
      <c r="B2178" s="27" t="n"/>
      <c r="C2178" s="27" t="n"/>
      <c r="D2178" s="27" t="n"/>
      <c r="E2178" s="27" t="n"/>
      <c r="F2178" s="27" t="n"/>
      <c r="G2178" s="28" t="n"/>
      <c r="H2178" s="28" t="n"/>
      <c r="I2178" s="27" t="n"/>
    </row>
    <row r="2179">
      <c r="A2179" s="23" t="n"/>
      <c r="B2179" s="24" t="n"/>
      <c r="C2179" s="24" t="n"/>
      <c r="D2179" s="24" t="n"/>
      <c r="E2179" s="24" t="n"/>
      <c r="F2179" s="24" t="n"/>
      <c r="G2179" s="29" t="n"/>
      <c r="H2179" s="29" t="n"/>
      <c r="I2179" s="24" t="n"/>
    </row>
    <row r="2180">
      <c r="A2180" s="26" t="n"/>
      <c r="B2180" s="27" t="n"/>
      <c r="C2180" s="27" t="n"/>
      <c r="D2180" s="27" t="n"/>
      <c r="E2180" s="27" t="n"/>
      <c r="F2180" s="27" t="n"/>
      <c r="G2180" s="28" t="n"/>
      <c r="H2180" s="28" t="n"/>
      <c r="I2180" s="27" t="n"/>
    </row>
    <row r="2181">
      <c r="A2181" s="23" t="n"/>
      <c r="B2181" s="24" t="n"/>
      <c r="C2181" s="24" t="n"/>
      <c r="D2181" s="24" t="n"/>
      <c r="E2181" s="24" t="n"/>
      <c r="F2181" s="24" t="n"/>
      <c r="G2181" s="29" t="n"/>
      <c r="H2181" s="29" t="n"/>
      <c r="I2181" s="24" t="n"/>
    </row>
    <row r="2182">
      <c r="A2182" s="26" t="n"/>
      <c r="B2182" s="27" t="n"/>
      <c r="C2182" s="27" t="n"/>
      <c r="D2182" s="27" t="n"/>
      <c r="E2182" s="27" t="n"/>
      <c r="F2182" s="27" t="n"/>
      <c r="G2182" s="28" t="n"/>
      <c r="H2182" s="28" t="n"/>
      <c r="I2182" s="27" t="n"/>
    </row>
    <row r="2183">
      <c r="A2183" s="23" t="n"/>
      <c r="B2183" s="24" t="n"/>
      <c r="C2183" s="24" t="n"/>
      <c r="D2183" s="24" t="n"/>
      <c r="E2183" s="24" t="n"/>
      <c r="F2183" s="24" t="n"/>
      <c r="G2183" s="29" t="n"/>
      <c r="H2183" s="29" t="n"/>
      <c r="I2183" s="24" t="n"/>
    </row>
    <row r="2184">
      <c r="A2184" s="26" t="n"/>
      <c r="B2184" s="27" t="n"/>
      <c r="C2184" s="27" t="n"/>
      <c r="D2184" s="27" t="n"/>
      <c r="E2184" s="27" t="n"/>
      <c r="F2184" s="27" t="n"/>
      <c r="G2184" s="28" t="n"/>
      <c r="H2184" s="28" t="n"/>
      <c r="I2184" s="27" t="n"/>
    </row>
    <row r="2185">
      <c r="A2185" s="23" t="n"/>
      <c r="B2185" s="24" t="n"/>
      <c r="C2185" s="24" t="n"/>
      <c r="D2185" s="24" t="n"/>
      <c r="E2185" s="24" t="n"/>
      <c r="F2185" s="24" t="n"/>
      <c r="G2185" s="29" t="n"/>
      <c r="H2185" s="29" t="n"/>
      <c r="I2185" s="24" t="n"/>
    </row>
    <row r="2186">
      <c r="A2186" s="26" t="n"/>
      <c r="B2186" s="27" t="n"/>
      <c r="C2186" s="27" t="n"/>
      <c r="D2186" s="27" t="n"/>
      <c r="E2186" s="27" t="n"/>
      <c r="F2186" s="27" t="n"/>
      <c r="G2186" s="28" t="n"/>
      <c r="H2186" s="28" t="n"/>
      <c r="I2186" s="27" t="n"/>
    </row>
    <row r="2187">
      <c r="A2187" s="23" t="n"/>
      <c r="B2187" s="24" t="n"/>
      <c r="C2187" s="24" t="n"/>
      <c r="D2187" s="24" t="n"/>
      <c r="E2187" s="24" t="n"/>
      <c r="F2187" s="24" t="n"/>
      <c r="G2187" s="29" t="n"/>
      <c r="H2187" s="29" t="n"/>
      <c r="I2187" s="24" t="n"/>
    </row>
    <row r="2188">
      <c r="A2188" s="26" t="n"/>
      <c r="B2188" s="27" t="n"/>
      <c r="C2188" s="27" t="n"/>
      <c r="D2188" s="27" t="n"/>
      <c r="E2188" s="27" t="n"/>
      <c r="F2188" s="27" t="n"/>
      <c r="G2188" s="28" t="n"/>
      <c r="H2188" s="28" t="n"/>
      <c r="I2188" s="27" t="n"/>
    </row>
    <row r="2189">
      <c r="A2189" s="23" t="n"/>
      <c r="B2189" s="24" t="n"/>
      <c r="C2189" s="24" t="n"/>
      <c r="D2189" s="24" t="n"/>
      <c r="E2189" s="24" t="n"/>
      <c r="F2189" s="24" t="n"/>
      <c r="G2189" s="29" t="n"/>
      <c r="H2189" s="29" t="n"/>
      <c r="I2189" s="24" t="n"/>
    </row>
    <row r="2190">
      <c r="A2190" s="26" t="n"/>
      <c r="B2190" s="27" t="n"/>
      <c r="C2190" s="27" t="n"/>
      <c r="D2190" s="27" t="n"/>
      <c r="E2190" s="27" t="n"/>
      <c r="F2190" s="27" t="n"/>
      <c r="G2190" s="28" t="n"/>
      <c r="H2190" s="28" t="n"/>
      <c r="I2190" s="27" t="n"/>
    </row>
    <row r="2191">
      <c r="A2191" s="23" t="n"/>
      <c r="B2191" s="24" t="n"/>
      <c r="C2191" s="24" t="n"/>
      <c r="D2191" s="24" t="n"/>
      <c r="E2191" s="24" t="n"/>
      <c r="F2191" s="24" t="n"/>
      <c r="G2191" s="29" t="n"/>
      <c r="H2191" s="29" t="n"/>
      <c r="I2191" s="24" t="n"/>
    </row>
    <row r="2192">
      <c r="A2192" s="26" t="n"/>
      <c r="B2192" s="27" t="n"/>
      <c r="C2192" s="27" t="n"/>
      <c r="D2192" s="27" t="n"/>
      <c r="E2192" s="27" t="n"/>
      <c r="F2192" s="27" t="n"/>
      <c r="G2192" s="28" t="n"/>
      <c r="H2192" s="28" t="n"/>
      <c r="I2192" s="27" t="n"/>
    </row>
    <row r="2193">
      <c r="A2193" s="23" t="n"/>
      <c r="B2193" s="24" t="n"/>
      <c r="C2193" s="24" t="n"/>
      <c r="D2193" s="24" t="n"/>
      <c r="E2193" s="24" t="n"/>
      <c r="F2193" s="24" t="n"/>
      <c r="G2193" s="29" t="n"/>
      <c r="H2193" s="29" t="n"/>
      <c r="I2193" s="24" t="n"/>
    </row>
    <row r="2194">
      <c r="A2194" s="26" t="n"/>
      <c r="B2194" s="27" t="n"/>
      <c r="C2194" s="27" t="n"/>
      <c r="D2194" s="27" t="n"/>
      <c r="E2194" s="27" t="n"/>
      <c r="F2194" s="27" t="n"/>
      <c r="G2194" s="28" t="n"/>
      <c r="H2194" s="28" t="n"/>
      <c r="I2194" s="27" t="n"/>
    </row>
    <row r="2195">
      <c r="A2195" s="23" t="n"/>
      <c r="B2195" s="24" t="n"/>
      <c r="C2195" s="24" t="n"/>
      <c r="D2195" s="24" t="n"/>
      <c r="E2195" s="24" t="n"/>
      <c r="F2195" s="24" t="n"/>
      <c r="G2195" s="29" t="n"/>
      <c r="H2195" s="29" t="n"/>
      <c r="I2195" s="24" t="n"/>
    </row>
    <row r="2196">
      <c r="A2196" s="26" t="n"/>
      <c r="B2196" s="27" t="n"/>
      <c r="C2196" s="27" t="n"/>
      <c r="D2196" s="27" t="n"/>
      <c r="E2196" s="27" t="n"/>
      <c r="F2196" s="27" t="n"/>
      <c r="G2196" s="28" t="n"/>
      <c r="H2196" s="28" t="n"/>
      <c r="I2196" s="27" t="n"/>
    </row>
    <row r="2197">
      <c r="A2197" s="23" t="n"/>
      <c r="B2197" s="24" t="n"/>
      <c r="C2197" s="24" t="n"/>
      <c r="D2197" s="24" t="n"/>
      <c r="E2197" s="24" t="n"/>
      <c r="F2197" s="24" t="n"/>
      <c r="G2197" s="29" t="n"/>
      <c r="H2197" s="29" t="n"/>
      <c r="I2197" s="24" t="n"/>
    </row>
    <row r="2198">
      <c r="A2198" s="26" t="n"/>
      <c r="B2198" s="27" t="n"/>
      <c r="C2198" s="27" t="n"/>
      <c r="D2198" s="27" t="n"/>
      <c r="E2198" s="27" t="n"/>
      <c r="F2198" s="27" t="n"/>
      <c r="G2198" s="28" t="n"/>
      <c r="H2198" s="28" t="n"/>
      <c r="I2198" s="27" t="n"/>
    </row>
    <row r="2199">
      <c r="A2199" s="23" t="n"/>
      <c r="B2199" s="24" t="n"/>
      <c r="C2199" s="24" t="n"/>
      <c r="D2199" s="24" t="n"/>
      <c r="E2199" s="24" t="n"/>
      <c r="F2199" s="24" t="n"/>
      <c r="G2199" s="29" t="n"/>
      <c r="H2199" s="29" t="n"/>
      <c r="I2199" s="24" t="n"/>
    </row>
    <row r="2200">
      <c r="A2200" s="26" t="n"/>
      <c r="B2200" s="27" t="n"/>
      <c r="C2200" s="27" t="n"/>
      <c r="D2200" s="27" t="n"/>
      <c r="E2200" s="27" t="n"/>
      <c r="F2200" s="27" t="n"/>
      <c r="G2200" s="28" t="n"/>
      <c r="H2200" s="28" t="n"/>
      <c r="I2200" s="27" t="n"/>
    </row>
    <row r="2201">
      <c r="A2201" s="23" t="n"/>
      <c r="B2201" s="24" t="n"/>
      <c r="C2201" s="24" t="n"/>
      <c r="D2201" s="24" t="n"/>
      <c r="E2201" s="24" t="n"/>
      <c r="F2201" s="24" t="n"/>
      <c r="G2201" s="29" t="n"/>
      <c r="H2201" s="29" t="n"/>
      <c r="I2201" s="24" t="n"/>
    </row>
    <row r="2202">
      <c r="A2202" s="26" t="n"/>
      <c r="B2202" s="27" t="n"/>
      <c r="C2202" s="27" t="n"/>
      <c r="D2202" s="27" t="n"/>
      <c r="E2202" s="27" t="n"/>
      <c r="F2202" s="27" t="n"/>
      <c r="G2202" s="28" t="n"/>
      <c r="H2202" s="28" t="n"/>
      <c r="I2202" s="27" t="n"/>
    </row>
    <row r="2203">
      <c r="A2203" s="23" t="n"/>
      <c r="B2203" s="24" t="n"/>
      <c r="C2203" s="24" t="n"/>
      <c r="D2203" s="24" t="n"/>
      <c r="E2203" s="24" t="n"/>
      <c r="F2203" s="24" t="n"/>
      <c r="G2203" s="29" t="n"/>
      <c r="H2203" s="29" t="n"/>
      <c r="I2203" s="24" t="n"/>
    </row>
    <row r="2204">
      <c r="A2204" s="26" t="n"/>
      <c r="B2204" s="27" t="n"/>
      <c r="C2204" s="27" t="n"/>
      <c r="D2204" s="27" t="n"/>
      <c r="E2204" s="27" t="n"/>
      <c r="F2204" s="27" t="n"/>
      <c r="G2204" s="28" t="n"/>
      <c r="H2204" s="28" t="n"/>
      <c r="I2204" s="27" t="n"/>
    </row>
    <row r="2205">
      <c r="A2205" s="23" t="n"/>
      <c r="B2205" s="24" t="n"/>
      <c r="C2205" s="24" t="n"/>
      <c r="D2205" s="24" t="n"/>
      <c r="E2205" s="24" t="n"/>
      <c r="F2205" s="24" t="n"/>
      <c r="G2205" s="29" t="n"/>
      <c r="H2205" s="29" t="n"/>
      <c r="I2205" s="24" t="n"/>
    </row>
    <row r="2206">
      <c r="A2206" s="26" t="n"/>
      <c r="B2206" s="27" t="n"/>
      <c r="C2206" s="27" t="n"/>
      <c r="D2206" s="27" t="n"/>
      <c r="E2206" s="27" t="n"/>
      <c r="F2206" s="27" t="n"/>
      <c r="G2206" s="28" t="n"/>
      <c r="H2206" s="28" t="n"/>
      <c r="I2206" s="27" t="n"/>
    </row>
    <row r="2207">
      <c r="A2207" s="23" t="n"/>
      <c r="B2207" s="24" t="n"/>
      <c r="C2207" s="24" t="n"/>
      <c r="D2207" s="24" t="n"/>
      <c r="E2207" s="24" t="n"/>
      <c r="F2207" s="24" t="n"/>
      <c r="G2207" s="29" t="n"/>
      <c r="H2207" s="29" t="n"/>
      <c r="I2207" s="24" t="n"/>
    </row>
    <row r="2208">
      <c r="A2208" s="26" t="n"/>
      <c r="B2208" s="27" t="n"/>
      <c r="C2208" s="27" t="n"/>
      <c r="D2208" s="27" t="n"/>
      <c r="E2208" s="27" t="n"/>
      <c r="F2208" s="27" t="n"/>
      <c r="G2208" s="28" t="n"/>
      <c r="H2208" s="28" t="n"/>
      <c r="I2208" s="27" t="n"/>
    </row>
    <row r="2209">
      <c r="A2209" s="23" t="n"/>
      <c r="B2209" s="24" t="n"/>
      <c r="C2209" s="24" t="n"/>
      <c r="D2209" s="24" t="n"/>
      <c r="E2209" s="24" t="n"/>
      <c r="F2209" s="24" t="n"/>
      <c r="G2209" s="29" t="n"/>
      <c r="H2209" s="29" t="n"/>
      <c r="I2209" s="24" t="n"/>
    </row>
    <row r="2210">
      <c r="A2210" s="26" t="n"/>
      <c r="B2210" s="27" t="n"/>
      <c r="C2210" s="27" t="n"/>
      <c r="D2210" s="27" t="n"/>
      <c r="E2210" s="27" t="n"/>
      <c r="F2210" s="27" t="n"/>
      <c r="G2210" s="28" t="n"/>
      <c r="H2210" s="28" t="n"/>
      <c r="I2210" s="27" t="n"/>
    </row>
    <row r="2211">
      <c r="A2211" s="23" t="n"/>
      <c r="B2211" s="24" t="n"/>
      <c r="C2211" s="24" t="n"/>
      <c r="D2211" s="24" t="n"/>
      <c r="E2211" s="24" t="n"/>
      <c r="F2211" s="24" t="n"/>
      <c r="G2211" s="29" t="n"/>
      <c r="H2211" s="29" t="n"/>
      <c r="I2211" s="24" t="n"/>
    </row>
    <row r="2212">
      <c r="A2212" s="26" t="n"/>
      <c r="B2212" s="27" t="n"/>
      <c r="C2212" s="27" t="n"/>
      <c r="D2212" s="27" t="n"/>
      <c r="E2212" s="27" t="n"/>
      <c r="F2212" s="27" t="n"/>
      <c r="G2212" s="28" t="n"/>
      <c r="H2212" s="28" t="n"/>
      <c r="I2212" s="27" t="n"/>
    </row>
    <row r="2213">
      <c r="A2213" s="23" t="n"/>
      <c r="B2213" s="24" t="n"/>
      <c r="C2213" s="24" t="n"/>
      <c r="D2213" s="24" t="n"/>
      <c r="E2213" s="24" t="n"/>
      <c r="F2213" s="24" t="n"/>
      <c r="G2213" s="29" t="n"/>
      <c r="H2213" s="29" t="n"/>
      <c r="I2213" s="24" t="n"/>
    </row>
    <row r="2214">
      <c r="A2214" s="26" t="n"/>
      <c r="B2214" s="27" t="n"/>
      <c r="C2214" s="27" t="n"/>
      <c r="D2214" s="27" t="n"/>
      <c r="E2214" s="27" t="n"/>
      <c r="F2214" s="27" t="n"/>
      <c r="G2214" s="28" t="n"/>
      <c r="H2214" s="28" t="n"/>
      <c r="I2214" s="27" t="n"/>
    </row>
    <row r="2215">
      <c r="A2215" s="23" t="n"/>
      <c r="B2215" s="24" t="n"/>
      <c r="C2215" s="24" t="n"/>
      <c r="D2215" s="24" t="n"/>
      <c r="E2215" s="24" t="n"/>
      <c r="F2215" s="24" t="n"/>
      <c r="G2215" s="29" t="n"/>
      <c r="H2215" s="29" t="n"/>
      <c r="I2215" s="24" t="n"/>
    </row>
    <row r="2216">
      <c r="A2216" s="26" t="n"/>
      <c r="B2216" s="27" t="n"/>
      <c r="C2216" s="27" t="n"/>
      <c r="D2216" s="27" t="n"/>
      <c r="E2216" s="27" t="n"/>
      <c r="F2216" s="27" t="n"/>
      <c r="G2216" s="28" t="n"/>
      <c r="H2216" s="28" t="n"/>
      <c r="I2216" s="27" t="n"/>
    </row>
    <row r="2217">
      <c r="A2217" s="23" t="n"/>
      <c r="B2217" s="24" t="n"/>
      <c r="C2217" s="24" t="n"/>
      <c r="D2217" s="24" t="n"/>
      <c r="E2217" s="24" t="n"/>
      <c r="F2217" s="24" t="n"/>
      <c r="G2217" s="29" t="n"/>
      <c r="H2217" s="29" t="n"/>
      <c r="I2217" s="24" t="n"/>
    </row>
    <row r="2218">
      <c r="A2218" s="26" t="n"/>
      <c r="B2218" s="27" t="n"/>
      <c r="C2218" s="27" t="n"/>
      <c r="D2218" s="27" t="n"/>
      <c r="E2218" s="27" t="n"/>
      <c r="F2218" s="27" t="n"/>
      <c r="G2218" s="28" t="n"/>
      <c r="H2218" s="28" t="n"/>
      <c r="I2218" s="27" t="n"/>
    </row>
    <row r="2219">
      <c r="A2219" s="23" t="n"/>
      <c r="B2219" s="24" t="n"/>
      <c r="C2219" s="24" t="n"/>
      <c r="D2219" s="24" t="n"/>
      <c r="E2219" s="24" t="n"/>
      <c r="F2219" s="24" t="n"/>
      <c r="G2219" s="29" t="n"/>
      <c r="H2219" s="29" t="n"/>
      <c r="I2219" s="24" t="n"/>
    </row>
    <row r="2220">
      <c r="A2220" s="26" t="n"/>
      <c r="B2220" s="27" t="n"/>
      <c r="C2220" s="27" t="n"/>
      <c r="D2220" s="27" t="n"/>
      <c r="E2220" s="27" t="n"/>
      <c r="F2220" s="27" t="n"/>
      <c r="G2220" s="28" t="n"/>
      <c r="H2220" s="28" t="n"/>
      <c r="I2220" s="27" t="n"/>
    </row>
    <row r="2221">
      <c r="A2221" s="23" t="n"/>
      <c r="B2221" s="24" t="n"/>
      <c r="C2221" s="24" t="n"/>
      <c r="D2221" s="24" t="n"/>
      <c r="E2221" s="24" t="n"/>
      <c r="F2221" s="24" t="n"/>
      <c r="G2221" s="29" t="n"/>
      <c r="H2221" s="29" t="n"/>
      <c r="I2221" s="24" t="n"/>
    </row>
    <row r="2222">
      <c r="A2222" s="26" t="n"/>
      <c r="B2222" s="27" t="n"/>
      <c r="C2222" s="27" t="n"/>
      <c r="D2222" s="27" t="n"/>
      <c r="E2222" s="27" t="n"/>
      <c r="F2222" s="27" t="n"/>
      <c r="G2222" s="28" t="n"/>
      <c r="H2222" s="28" t="n"/>
      <c r="I2222" s="27" t="n"/>
    </row>
    <row r="2223">
      <c r="A2223" s="23" t="n"/>
      <c r="B2223" s="24" t="n"/>
      <c r="C2223" s="24" t="n"/>
      <c r="D2223" s="24" t="n"/>
      <c r="E2223" s="24" t="n"/>
      <c r="F2223" s="24" t="n"/>
      <c r="G2223" s="29" t="n"/>
      <c r="H2223" s="29" t="n"/>
      <c r="I2223" s="24" t="n"/>
    </row>
    <row r="2224">
      <c r="A2224" s="26" t="n"/>
      <c r="B2224" s="27" t="n"/>
      <c r="C2224" s="27" t="n"/>
      <c r="D2224" s="27" t="n"/>
      <c r="E2224" s="27" t="n"/>
      <c r="F2224" s="27" t="n"/>
      <c r="G2224" s="28" t="n"/>
      <c r="H2224" s="28" t="n"/>
      <c r="I2224" s="27" t="n"/>
    </row>
    <row r="2225">
      <c r="A2225" s="23" t="n"/>
      <c r="B2225" s="24" t="n"/>
      <c r="C2225" s="24" t="n"/>
      <c r="D2225" s="24" t="n"/>
      <c r="E2225" s="24" t="n"/>
      <c r="F2225" s="24" t="n"/>
      <c r="G2225" s="29" t="n"/>
      <c r="H2225" s="29" t="n"/>
      <c r="I2225" s="24" t="n"/>
    </row>
    <row r="2226">
      <c r="A2226" s="26" t="n"/>
      <c r="B2226" s="27" t="n"/>
      <c r="C2226" s="27" t="n"/>
      <c r="D2226" s="27" t="n"/>
      <c r="E2226" s="27" t="n"/>
      <c r="F2226" s="27" t="n"/>
      <c r="G2226" s="28" t="n"/>
      <c r="H2226" s="28" t="n"/>
      <c r="I2226" s="27" t="n"/>
    </row>
    <row r="2227">
      <c r="A2227" s="23" t="n"/>
      <c r="B2227" s="24" t="n"/>
      <c r="C2227" s="24" t="n"/>
      <c r="D2227" s="24" t="n"/>
      <c r="E2227" s="24" t="n"/>
      <c r="F2227" s="24" t="n"/>
      <c r="G2227" s="29" t="n"/>
      <c r="H2227" s="29" t="n"/>
      <c r="I2227" s="24" t="n"/>
    </row>
    <row r="2228">
      <c r="A2228" s="26" t="n"/>
      <c r="B2228" s="27" t="n"/>
      <c r="C2228" s="27" t="n"/>
      <c r="D2228" s="27" t="n"/>
      <c r="E2228" s="27" t="n"/>
      <c r="F2228" s="27" t="n"/>
      <c r="G2228" s="28" t="n"/>
      <c r="H2228" s="28" t="n"/>
      <c r="I2228" s="27" t="n"/>
    </row>
    <row r="2229">
      <c r="A2229" s="23" t="n"/>
      <c r="B2229" s="24" t="n"/>
      <c r="C2229" s="24" t="n"/>
      <c r="D2229" s="24" t="n"/>
      <c r="E2229" s="24" t="n"/>
      <c r="F2229" s="24" t="n"/>
      <c r="G2229" s="29" t="n"/>
      <c r="H2229" s="29" t="n"/>
      <c r="I2229" s="24" t="n"/>
    </row>
    <row r="2230">
      <c r="A2230" s="26" t="n"/>
      <c r="B2230" s="27" t="n"/>
      <c r="C2230" s="27" t="n"/>
      <c r="D2230" s="27" t="n"/>
      <c r="E2230" s="27" t="n"/>
      <c r="F2230" s="27" t="n"/>
      <c r="G2230" s="28" t="n"/>
      <c r="H2230" s="28" t="n"/>
      <c r="I2230" s="27" t="n"/>
    </row>
    <row r="2231">
      <c r="A2231" s="23" t="n"/>
      <c r="B2231" s="24" t="n"/>
      <c r="C2231" s="24" t="n"/>
      <c r="D2231" s="24" t="n"/>
      <c r="E2231" s="24" t="n"/>
      <c r="F2231" s="24" t="n"/>
      <c r="G2231" s="29" t="n"/>
      <c r="H2231" s="29" t="n"/>
      <c r="I2231" s="24" t="n"/>
    </row>
    <row r="2232">
      <c r="A2232" s="26" t="n"/>
      <c r="B2232" s="27" t="n"/>
      <c r="C2232" s="27" t="n"/>
      <c r="D2232" s="27" t="n"/>
      <c r="E2232" s="27" t="n"/>
      <c r="F2232" s="27" t="n"/>
      <c r="G2232" s="28" t="n"/>
      <c r="H2232" s="28" t="n"/>
      <c r="I2232" s="27" t="n"/>
    </row>
    <row r="2233">
      <c r="A2233" s="23" t="n"/>
      <c r="B2233" s="24" t="n"/>
      <c r="C2233" s="24" t="n"/>
      <c r="D2233" s="24" t="n"/>
      <c r="E2233" s="24" t="n"/>
      <c r="F2233" s="24" t="n"/>
      <c r="G2233" s="29" t="n"/>
      <c r="H2233" s="29" t="n"/>
      <c r="I2233" s="24" t="n"/>
    </row>
    <row r="2234">
      <c r="A2234" s="26" t="n"/>
      <c r="B2234" s="27" t="n"/>
      <c r="C2234" s="27" t="n"/>
      <c r="D2234" s="27" t="n"/>
      <c r="E2234" s="27" t="n"/>
      <c r="F2234" s="27" t="n"/>
      <c r="G2234" s="28" t="n"/>
      <c r="H2234" s="28" t="n"/>
      <c r="I2234" s="27" t="n"/>
    </row>
    <row r="2235">
      <c r="A2235" s="23" t="n"/>
      <c r="B2235" s="24" t="n"/>
      <c r="C2235" s="24" t="n"/>
      <c r="D2235" s="24" t="n"/>
      <c r="E2235" s="24" t="n"/>
      <c r="F2235" s="24" t="n"/>
      <c r="G2235" s="29" t="n"/>
      <c r="H2235" s="29" t="n"/>
      <c r="I2235" s="24" t="n"/>
    </row>
    <row r="2236">
      <c r="A2236" s="26" t="n"/>
      <c r="B2236" s="27" t="n"/>
      <c r="C2236" s="27" t="n"/>
      <c r="D2236" s="27" t="n"/>
      <c r="E2236" s="27" t="n"/>
      <c r="F2236" s="27" t="n"/>
      <c r="G2236" s="28" t="n"/>
      <c r="H2236" s="28" t="n"/>
      <c r="I2236" s="27" t="n"/>
    </row>
    <row r="2237">
      <c r="A2237" s="23" t="n"/>
      <c r="B2237" s="24" t="n"/>
      <c r="C2237" s="24" t="n"/>
      <c r="D2237" s="24" t="n"/>
      <c r="E2237" s="24" t="n"/>
      <c r="F2237" s="24" t="n"/>
      <c r="G2237" s="29" t="n"/>
      <c r="H2237" s="29" t="n"/>
      <c r="I2237" s="24" t="n"/>
    </row>
    <row r="2238">
      <c r="A2238" s="26" t="n"/>
      <c r="B2238" s="27" t="n"/>
      <c r="C2238" s="27" t="n"/>
      <c r="D2238" s="27" t="n"/>
      <c r="E2238" s="27" t="n"/>
      <c r="F2238" s="27" t="n"/>
      <c r="G2238" s="28" t="n"/>
      <c r="H2238" s="28" t="n"/>
      <c r="I2238" s="27" t="n"/>
    </row>
    <row r="2239">
      <c r="A2239" s="23" t="n"/>
      <c r="B2239" s="24" t="n"/>
      <c r="C2239" s="24" t="n"/>
      <c r="D2239" s="24" t="n"/>
      <c r="E2239" s="24" t="n"/>
      <c r="F2239" s="24" t="n"/>
      <c r="G2239" s="29" t="n"/>
      <c r="H2239" s="29" t="n"/>
      <c r="I2239" s="24" t="n"/>
    </row>
    <row r="2240">
      <c r="A2240" s="26" t="n"/>
      <c r="B2240" s="27" t="n"/>
      <c r="C2240" s="27" t="n"/>
      <c r="D2240" s="27" t="n"/>
      <c r="E2240" s="27" t="n"/>
      <c r="F2240" s="27" t="n"/>
      <c r="G2240" s="28" t="n"/>
      <c r="H2240" s="28" t="n"/>
      <c r="I2240" s="27" t="n"/>
    </row>
    <row r="2241">
      <c r="A2241" s="23" t="n"/>
      <c r="B2241" s="24" t="n"/>
      <c r="C2241" s="24" t="n"/>
      <c r="D2241" s="24" t="n"/>
      <c r="E2241" s="24" t="n"/>
      <c r="F2241" s="24" t="n"/>
      <c r="G2241" s="29" t="n"/>
      <c r="H2241" s="29" t="n"/>
      <c r="I2241" s="24" t="n"/>
    </row>
    <row r="2242">
      <c r="A2242" s="26" t="n"/>
      <c r="B2242" s="27" t="n"/>
      <c r="C2242" s="27" t="n"/>
      <c r="D2242" s="27" t="n"/>
      <c r="E2242" s="27" t="n"/>
      <c r="F2242" s="27" t="n"/>
      <c r="G2242" s="28" t="n"/>
      <c r="H2242" s="28" t="n"/>
      <c r="I2242" s="27" t="n"/>
    </row>
    <row r="2243">
      <c r="A2243" s="23" t="n"/>
      <c r="B2243" s="24" t="n"/>
      <c r="C2243" s="24" t="n"/>
      <c r="D2243" s="24" t="n"/>
      <c r="E2243" s="24" t="n"/>
      <c r="F2243" s="24" t="n"/>
      <c r="G2243" s="29" t="n"/>
      <c r="H2243" s="29" t="n"/>
      <c r="I2243" s="24" t="n"/>
    </row>
    <row r="2244">
      <c r="A2244" s="26" t="n"/>
      <c r="B2244" s="27" t="n"/>
      <c r="C2244" s="27" t="n"/>
      <c r="D2244" s="27" t="n"/>
      <c r="E2244" s="27" t="n"/>
      <c r="F2244" s="27" t="n"/>
      <c r="G2244" s="28" t="n"/>
      <c r="H2244" s="28" t="n"/>
      <c r="I2244" s="27" t="n"/>
    </row>
    <row r="2245">
      <c r="A2245" s="23" t="n"/>
      <c r="B2245" s="24" t="n"/>
      <c r="C2245" s="24" t="n"/>
      <c r="D2245" s="24" t="n"/>
      <c r="E2245" s="24" t="n"/>
      <c r="F2245" s="24" t="n"/>
      <c r="G2245" s="29" t="n"/>
      <c r="H2245" s="29" t="n"/>
      <c r="I2245" s="24" t="n"/>
    </row>
    <row r="2246">
      <c r="A2246" s="26" t="n"/>
      <c r="B2246" s="27" t="n"/>
      <c r="C2246" s="27" t="n"/>
      <c r="D2246" s="27" t="n"/>
      <c r="E2246" s="27" t="n"/>
      <c r="F2246" s="27" t="n"/>
      <c r="G2246" s="28" t="n"/>
      <c r="H2246" s="28" t="n"/>
      <c r="I2246" s="27" t="n"/>
    </row>
    <row r="2247">
      <c r="A2247" s="23" t="n"/>
      <c r="B2247" s="24" t="n"/>
      <c r="C2247" s="24" t="n"/>
      <c r="D2247" s="24" t="n"/>
      <c r="E2247" s="24" t="n"/>
      <c r="F2247" s="24" t="n"/>
      <c r="G2247" s="29" t="n"/>
      <c r="H2247" s="29" t="n"/>
      <c r="I2247" s="24" t="n"/>
    </row>
    <row r="2248">
      <c r="A2248" s="26" t="n"/>
      <c r="B2248" s="27" t="n"/>
      <c r="C2248" s="27" t="n"/>
      <c r="D2248" s="27" t="n"/>
      <c r="E2248" s="27" t="n"/>
      <c r="F2248" s="27" t="n"/>
      <c r="G2248" s="28" t="n"/>
      <c r="H2248" s="28" t="n"/>
      <c r="I2248" s="27" t="n"/>
    </row>
    <row r="2249">
      <c r="A2249" s="23" t="n"/>
      <c r="B2249" s="24" t="n"/>
      <c r="C2249" s="24" t="n"/>
      <c r="D2249" s="24" t="n"/>
      <c r="E2249" s="24" t="n"/>
      <c r="F2249" s="24" t="n"/>
      <c r="G2249" s="29" t="n"/>
      <c r="H2249" s="29" t="n"/>
      <c r="I2249" s="24" t="n"/>
    </row>
    <row r="2250">
      <c r="A2250" s="26" t="n"/>
      <c r="B2250" s="27" t="n"/>
      <c r="C2250" s="27" t="n"/>
      <c r="D2250" s="27" t="n"/>
      <c r="E2250" s="27" t="n"/>
      <c r="F2250" s="27" t="n"/>
      <c r="G2250" s="28" t="n"/>
      <c r="H2250" s="28" t="n"/>
      <c r="I2250" s="27" t="n"/>
    </row>
    <row r="2251">
      <c r="A2251" s="23" t="n"/>
      <c r="B2251" s="24" t="n"/>
      <c r="C2251" s="24" t="n"/>
      <c r="D2251" s="24" t="n"/>
      <c r="E2251" s="24" t="n"/>
      <c r="F2251" s="24" t="n"/>
      <c r="G2251" s="29" t="n"/>
      <c r="H2251" s="29" t="n"/>
      <c r="I2251" s="24" t="n"/>
    </row>
    <row r="2252">
      <c r="A2252" s="26" t="n"/>
      <c r="B2252" s="27" t="n"/>
      <c r="C2252" s="27" t="n"/>
      <c r="D2252" s="27" t="n"/>
      <c r="E2252" s="27" t="n"/>
      <c r="F2252" s="27" t="n"/>
      <c r="G2252" s="28" t="n"/>
      <c r="H2252" s="28" t="n"/>
      <c r="I2252" s="27" t="n"/>
    </row>
    <row r="2253">
      <c r="A2253" s="23" t="n"/>
      <c r="B2253" s="24" t="n"/>
      <c r="C2253" s="24" t="n"/>
      <c r="D2253" s="24" t="n"/>
      <c r="E2253" s="24" t="n"/>
      <c r="F2253" s="24" t="n"/>
      <c r="G2253" s="29" t="n"/>
      <c r="H2253" s="29" t="n"/>
      <c r="I2253" s="24" t="n"/>
    </row>
    <row r="2254">
      <c r="A2254" s="26" t="n"/>
      <c r="B2254" s="27" t="n"/>
      <c r="C2254" s="27" t="n"/>
      <c r="D2254" s="27" t="n"/>
      <c r="E2254" s="27" t="n"/>
      <c r="F2254" s="27" t="n"/>
      <c r="G2254" s="28" t="n"/>
      <c r="H2254" s="28" t="n"/>
      <c r="I2254" s="27" t="n"/>
    </row>
    <row r="2255">
      <c r="A2255" s="23" t="n"/>
      <c r="B2255" s="24" t="n"/>
      <c r="C2255" s="24" t="n"/>
      <c r="D2255" s="24" t="n"/>
      <c r="E2255" s="24" t="n"/>
      <c r="F2255" s="24" t="n"/>
      <c r="G2255" s="29" t="n"/>
      <c r="H2255" s="29" t="n"/>
      <c r="I2255" s="24" t="n"/>
    </row>
    <row r="2256">
      <c r="A2256" s="26" t="n"/>
      <c r="B2256" s="27" t="n"/>
      <c r="C2256" s="27" t="n"/>
      <c r="D2256" s="27" t="n"/>
      <c r="E2256" s="27" t="n"/>
      <c r="F2256" s="27" t="n"/>
      <c r="G2256" s="28" t="n"/>
      <c r="H2256" s="28" t="n"/>
      <c r="I2256" s="27" t="n"/>
    </row>
    <row r="2257">
      <c r="A2257" s="23" t="n"/>
      <c r="B2257" s="24" t="n"/>
      <c r="C2257" s="24" t="n"/>
      <c r="D2257" s="24" t="n"/>
      <c r="E2257" s="24" t="n"/>
      <c r="F2257" s="24" t="n"/>
      <c r="G2257" s="29" t="n"/>
      <c r="H2257" s="29" t="n"/>
      <c r="I2257" s="24" t="n"/>
    </row>
    <row r="2258">
      <c r="A2258" s="26" t="n"/>
      <c r="B2258" s="27" t="n"/>
      <c r="C2258" s="27" t="n"/>
      <c r="D2258" s="27" t="n"/>
      <c r="E2258" s="27" t="n"/>
      <c r="F2258" s="27" t="n"/>
      <c r="G2258" s="28" t="n"/>
      <c r="H2258" s="28" t="n"/>
      <c r="I2258" s="27" t="n"/>
    </row>
    <row r="2259">
      <c r="A2259" s="23" t="n"/>
      <c r="B2259" s="24" t="n"/>
      <c r="C2259" s="24" t="n"/>
      <c r="D2259" s="24" t="n"/>
      <c r="E2259" s="24" t="n"/>
      <c r="F2259" s="24" t="n"/>
      <c r="G2259" s="29" t="n"/>
      <c r="H2259" s="29" t="n"/>
      <c r="I2259" s="24" t="n"/>
    </row>
    <row r="2260">
      <c r="A2260" s="26" t="n"/>
      <c r="B2260" s="27" t="n"/>
      <c r="C2260" s="27" t="n"/>
      <c r="D2260" s="27" t="n"/>
      <c r="E2260" s="27" t="n"/>
      <c r="F2260" s="27" t="n"/>
      <c r="G2260" s="28" t="n"/>
      <c r="H2260" s="28" t="n"/>
      <c r="I2260" s="27" t="n"/>
    </row>
    <row r="2261">
      <c r="A2261" s="23" t="n"/>
      <c r="B2261" s="24" t="n"/>
      <c r="C2261" s="24" t="n"/>
      <c r="D2261" s="24" t="n"/>
      <c r="E2261" s="24" t="n"/>
      <c r="F2261" s="24" t="n"/>
      <c r="G2261" s="29" t="n"/>
      <c r="H2261" s="29" t="n"/>
      <c r="I2261" s="24" t="n"/>
    </row>
    <row r="2262">
      <c r="A2262" s="26" t="n"/>
      <c r="B2262" s="27" t="n"/>
      <c r="C2262" s="27" t="n"/>
      <c r="D2262" s="27" t="n"/>
      <c r="E2262" s="27" t="n"/>
      <c r="F2262" s="27" t="n"/>
      <c r="G2262" s="28" t="n"/>
      <c r="H2262" s="28" t="n"/>
      <c r="I2262" s="27" t="n"/>
    </row>
    <row r="2263">
      <c r="A2263" s="23" t="n"/>
      <c r="B2263" s="24" t="n"/>
      <c r="C2263" s="24" t="n"/>
      <c r="D2263" s="24" t="n"/>
      <c r="E2263" s="24" t="n"/>
      <c r="F2263" s="24" t="n"/>
      <c r="G2263" s="29" t="n"/>
      <c r="H2263" s="29" t="n"/>
      <c r="I2263" s="24" t="n"/>
    </row>
    <row r="2264">
      <c r="A2264" s="26" t="n"/>
      <c r="B2264" s="27" t="n"/>
      <c r="C2264" s="27" t="n"/>
      <c r="D2264" s="27" t="n"/>
      <c r="E2264" s="27" t="n"/>
      <c r="F2264" s="27" t="n"/>
      <c r="G2264" s="28" t="n"/>
      <c r="H2264" s="28" t="n"/>
      <c r="I2264" s="27" t="n"/>
    </row>
    <row r="2265">
      <c r="A2265" s="23" t="n"/>
      <c r="B2265" s="24" t="n"/>
      <c r="C2265" s="24" t="n"/>
      <c r="D2265" s="24" t="n"/>
      <c r="E2265" s="24" t="n"/>
      <c r="F2265" s="24" t="n"/>
      <c r="G2265" s="29" t="n"/>
      <c r="H2265" s="29" t="n"/>
      <c r="I2265" s="24" t="n"/>
    </row>
    <row r="2266">
      <c r="A2266" s="26" t="n"/>
      <c r="B2266" s="27" t="n"/>
      <c r="C2266" s="27" t="n"/>
      <c r="D2266" s="27" t="n"/>
      <c r="E2266" s="27" t="n"/>
      <c r="F2266" s="27" t="n"/>
      <c r="G2266" s="28" t="n"/>
      <c r="H2266" s="28" t="n"/>
      <c r="I2266" s="27" t="n"/>
    </row>
    <row r="2267">
      <c r="A2267" s="23" t="n"/>
      <c r="B2267" s="24" t="n"/>
      <c r="C2267" s="24" t="n"/>
      <c r="D2267" s="24" t="n"/>
      <c r="E2267" s="24" t="n"/>
      <c r="F2267" s="24" t="n"/>
      <c r="G2267" s="29" t="n"/>
      <c r="H2267" s="29" t="n"/>
      <c r="I2267" s="24" t="n"/>
    </row>
    <row r="2268">
      <c r="A2268" s="26" t="n"/>
      <c r="B2268" s="27" t="n"/>
      <c r="C2268" s="27" t="n"/>
      <c r="D2268" s="27" t="n"/>
      <c r="E2268" s="27" t="n"/>
      <c r="F2268" s="27" t="n"/>
      <c r="G2268" s="28" t="n"/>
      <c r="H2268" s="28" t="n"/>
      <c r="I2268" s="27" t="n"/>
    </row>
    <row r="2269">
      <c r="A2269" s="23" t="n"/>
      <c r="B2269" s="24" t="n"/>
      <c r="C2269" s="24" t="n"/>
      <c r="D2269" s="24" t="n"/>
      <c r="E2269" s="24" t="n"/>
      <c r="F2269" s="24" t="n"/>
      <c r="G2269" s="29" t="n"/>
      <c r="H2269" s="29" t="n"/>
      <c r="I2269" s="24" t="n"/>
    </row>
    <row r="2270">
      <c r="A2270" s="26" t="n"/>
      <c r="B2270" s="27" t="n"/>
      <c r="C2270" s="27" t="n"/>
      <c r="D2270" s="27" t="n"/>
      <c r="E2270" s="27" t="n"/>
      <c r="F2270" s="27" t="n"/>
      <c r="G2270" s="28" t="n"/>
      <c r="H2270" s="28" t="n"/>
      <c r="I2270" s="27" t="n"/>
    </row>
    <row r="2271">
      <c r="A2271" s="23" t="n"/>
      <c r="B2271" s="24" t="n"/>
      <c r="C2271" s="24" t="n"/>
      <c r="D2271" s="24" t="n"/>
      <c r="E2271" s="24" t="n"/>
      <c r="F2271" s="24" t="n"/>
      <c r="G2271" s="29" t="n"/>
      <c r="H2271" s="29" t="n"/>
      <c r="I2271" s="24" t="n"/>
    </row>
    <row r="2272">
      <c r="A2272" s="26" t="n"/>
      <c r="B2272" s="27" t="n"/>
      <c r="C2272" s="27" t="n"/>
      <c r="D2272" s="27" t="n"/>
      <c r="E2272" s="27" t="n"/>
      <c r="F2272" s="27" t="n"/>
      <c r="G2272" s="28" t="n"/>
      <c r="H2272" s="28" t="n"/>
      <c r="I2272" s="27" t="n"/>
    </row>
    <row r="2273">
      <c r="A2273" s="23" t="n"/>
      <c r="B2273" s="24" t="n"/>
      <c r="C2273" s="24" t="n"/>
      <c r="D2273" s="24" t="n"/>
      <c r="E2273" s="24" t="n"/>
      <c r="F2273" s="24" t="n"/>
      <c r="G2273" s="29" t="n"/>
      <c r="H2273" s="29" t="n"/>
      <c r="I2273" s="24" t="n"/>
    </row>
    <row r="2274">
      <c r="A2274" s="26" t="n"/>
      <c r="B2274" s="27" t="n"/>
      <c r="C2274" s="27" t="n"/>
      <c r="D2274" s="27" t="n"/>
      <c r="E2274" s="27" t="n"/>
      <c r="F2274" s="27" t="n"/>
      <c r="G2274" s="28" t="n"/>
      <c r="H2274" s="28" t="n"/>
      <c r="I2274" s="27" t="n"/>
    </row>
    <row r="2275">
      <c r="A2275" s="23" t="n"/>
      <c r="B2275" s="24" t="n"/>
      <c r="C2275" s="24" t="n"/>
      <c r="D2275" s="24" t="n"/>
      <c r="E2275" s="24" t="n"/>
      <c r="F2275" s="24" t="n"/>
      <c r="G2275" s="29" t="n"/>
      <c r="H2275" s="29" t="n"/>
      <c r="I2275" s="24" t="n"/>
    </row>
    <row r="2276">
      <c r="A2276" s="26" t="n"/>
      <c r="B2276" s="27" t="n"/>
      <c r="C2276" s="27" t="n"/>
      <c r="D2276" s="27" t="n"/>
      <c r="E2276" s="27" t="n"/>
      <c r="F2276" s="27" t="n"/>
      <c r="G2276" s="28" t="n"/>
      <c r="H2276" s="28" t="n"/>
      <c r="I2276" s="27" t="n"/>
    </row>
    <row r="2277">
      <c r="A2277" s="23" t="n"/>
      <c r="B2277" s="24" t="n"/>
      <c r="C2277" s="24" t="n"/>
      <c r="D2277" s="24" t="n"/>
      <c r="E2277" s="24" t="n"/>
      <c r="F2277" s="24" t="n"/>
      <c r="G2277" s="29" t="n"/>
      <c r="H2277" s="29" t="n"/>
      <c r="I2277" s="24" t="n"/>
    </row>
    <row r="2278">
      <c r="A2278" s="26" t="n"/>
      <c r="B2278" s="27" t="n"/>
      <c r="C2278" s="27" t="n"/>
      <c r="D2278" s="27" t="n"/>
      <c r="E2278" s="27" t="n"/>
      <c r="F2278" s="27" t="n"/>
      <c r="G2278" s="28" t="n"/>
      <c r="H2278" s="28" t="n"/>
      <c r="I2278" s="27" t="n"/>
    </row>
    <row r="2279">
      <c r="A2279" s="23" t="n"/>
      <c r="B2279" s="24" t="n"/>
      <c r="C2279" s="24" t="n"/>
      <c r="D2279" s="24" t="n"/>
      <c r="E2279" s="24" t="n"/>
      <c r="F2279" s="24" t="n"/>
      <c r="G2279" s="29" t="n"/>
      <c r="H2279" s="29" t="n"/>
      <c r="I2279" s="24" t="n"/>
    </row>
    <row r="2280">
      <c r="A2280" s="26" t="n"/>
      <c r="B2280" s="27" t="n"/>
      <c r="C2280" s="27" t="n"/>
      <c r="D2280" s="27" t="n"/>
      <c r="E2280" s="27" t="n"/>
      <c r="F2280" s="27" t="n"/>
      <c r="G2280" s="28" t="n"/>
      <c r="H2280" s="28" t="n"/>
      <c r="I2280" s="27" t="n"/>
    </row>
    <row r="2281">
      <c r="A2281" s="23" t="n"/>
      <c r="B2281" s="24" t="n"/>
      <c r="C2281" s="24" t="n"/>
      <c r="D2281" s="24" t="n"/>
      <c r="E2281" s="24" t="n"/>
      <c r="F2281" s="24" t="n"/>
      <c r="G2281" s="29" t="n"/>
      <c r="H2281" s="29" t="n"/>
      <c r="I2281" s="24" t="n"/>
    </row>
    <row r="2282">
      <c r="A2282" s="26" t="n"/>
      <c r="B2282" s="27" t="n"/>
      <c r="C2282" s="27" t="n"/>
      <c r="D2282" s="27" t="n"/>
      <c r="E2282" s="27" t="n"/>
      <c r="F2282" s="27" t="n"/>
      <c r="G2282" s="28" t="n"/>
      <c r="H2282" s="28" t="n"/>
      <c r="I2282" s="27" t="n"/>
    </row>
    <row r="2283">
      <c r="A2283" s="23" t="n"/>
      <c r="B2283" s="24" t="n"/>
      <c r="C2283" s="24" t="n"/>
      <c r="D2283" s="24" t="n"/>
      <c r="E2283" s="24" t="n"/>
      <c r="F2283" s="24" t="n"/>
      <c r="G2283" s="29" t="n"/>
      <c r="H2283" s="29" t="n"/>
      <c r="I2283" s="24" t="n"/>
    </row>
    <row r="2284">
      <c r="A2284" s="26" t="n"/>
      <c r="B2284" s="27" t="n"/>
      <c r="C2284" s="27" t="n"/>
      <c r="D2284" s="27" t="n"/>
      <c r="E2284" s="27" t="n"/>
      <c r="F2284" s="27" t="n"/>
      <c r="G2284" s="28" t="n"/>
      <c r="H2284" s="28" t="n"/>
      <c r="I2284" s="2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V0BC5Wqnzk/KCgsYvegB6w==" formatRows="1" sort="0" spinCount="100000" hashValue="t/F1WX3h3e0Nxj/IvB/aazAzU5GUYsQADRPrWcIqbX/HY/JwgoYUfoWI1PvQMdnfaODZbrD6oMtZA30NX//Rqw=="/>
  <autoFilter ref="A1:I1691">
    <sortState ref="A2:I1691">
      <sortCondition ref="I1:I1691"/>
    </sortState>
  </autoFilter>
  <conditionalFormatting sqref="A1:A1048576">
    <cfRule type="duplicateValues" priority="1" dxfId="10"/>
  </conditionalFormatting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A1:G2056"/>
  <sheetViews>
    <sheetView showGridLines="0" workbookViewId="0">
      <pane ySplit="1" topLeftCell="A2" activePane="bottomLeft" state="frozen"/>
      <selection pane="bottomLeft" activeCell="B47" sqref="B47"/>
    </sheetView>
  </sheetViews>
  <sheetFormatPr baseColWidth="8" defaultRowHeight="12.75"/>
  <cols>
    <col width="12.140625" bestFit="1" customWidth="1" style="38" min="1" max="1"/>
    <col width="12.7109375" customWidth="1" style="89" min="2" max="2"/>
    <col width="21.85546875" customWidth="1" style="109" min="3" max="3"/>
    <col width="29.28515625" bestFit="1" customWidth="1" style="35" min="4" max="4"/>
    <col width="9.140625" customWidth="1" style="35" min="5" max="5"/>
    <col width="9.42578125" customWidth="1" style="35" min="6" max="6"/>
    <col width="15.7109375" customWidth="1" style="35" min="7" max="7"/>
  </cols>
  <sheetData>
    <row r="1" ht="13.5" customHeight="1" s="107">
      <c r="A1" s="30" t="inlineStr">
        <is>
          <t>Data</t>
        </is>
      </c>
      <c r="B1" s="90" t="inlineStr">
        <is>
          <t>Valor</t>
        </is>
      </c>
      <c r="C1" s="31" t="inlineStr">
        <is>
          <t>Descrição</t>
        </is>
      </c>
      <c r="D1" s="32" t="n"/>
      <c r="E1" s="32" t="n"/>
      <c r="F1" s="31" t="inlineStr">
        <is>
          <t>TOTAL:</t>
        </is>
      </c>
      <c r="G1" s="91">
        <f>SUBTOTAL(9,B:B)</f>
        <v/>
      </c>
    </row>
    <row r="2" ht="13.5" customHeight="1" s="107">
      <c r="A2" s="33" t="n">
        <v>45111</v>
      </c>
      <c r="B2" s="91" t="n">
        <v>16.53</v>
      </c>
      <c r="C2" s="34" t="n"/>
    </row>
    <row r="3" ht="13.5" customHeight="1" s="107">
      <c r="A3" s="36" t="n">
        <v>45168</v>
      </c>
      <c r="B3" s="92" t="n">
        <v>0.26</v>
      </c>
      <c r="C3" s="37" t="n"/>
    </row>
    <row r="4" ht="13.5" customHeight="1" s="107">
      <c r="A4" s="33" t="n">
        <v>45225</v>
      </c>
      <c r="B4" s="91" t="n">
        <v>10</v>
      </c>
      <c r="C4" s="34" t="n"/>
    </row>
    <row r="5" ht="13.5" customHeight="1" s="107">
      <c r="A5" s="36" t="n">
        <v>45239</v>
      </c>
      <c r="B5" s="92" t="n">
        <v>10</v>
      </c>
      <c r="C5" s="37" t="n"/>
    </row>
    <row r="6" ht="13.5" customHeight="1" s="107">
      <c r="A6" s="33" t="n">
        <v>45247</v>
      </c>
      <c r="B6" s="91" t="n">
        <v>0.65</v>
      </c>
      <c r="C6" s="34" t="n"/>
    </row>
    <row r="7" ht="13.5" customHeight="1" s="107">
      <c r="A7" s="36" t="n">
        <v>45259</v>
      </c>
      <c r="B7" s="92" t="n">
        <v>26.2</v>
      </c>
      <c r="C7" s="37" t="n"/>
    </row>
    <row r="8" ht="13.5" customHeight="1" s="107">
      <c r="A8" s="33" t="n">
        <v>45313</v>
      </c>
      <c r="B8" s="91" t="n">
        <v>0.32</v>
      </c>
      <c r="C8" s="34" t="n"/>
    </row>
    <row r="9" ht="13.5" customHeight="1" s="107">
      <c r="A9" s="36" t="n">
        <v>45371</v>
      </c>
      <c r="B9" s="92" t="n">
        <v>3.8</v>
      </c>
      <c r="C9" s="37" t="n"/>
    </row>
    <row r="10" ht="13.5" customHeight="1" s="107">
      <c r="A10" s="33" t="n">
        <v>45407</v>
      </c>
      <c r="B10" s="91" t="n">
        <v>17</v>
      </c>
      <c r="C10" s="34" t="n"/>
    </row>
    <row r="11" ht="13.5" customHeight="1" s="107">
      <c r="A11" s="36" t="n">
        <v>45428</v>
      </c>
      <c r="B11" s="92" t="n">
        <v>5</v>
      </c>
      <c r="C11" s="37" t="n"/>
    </row>
    <row r="12" ht="13.5" customHeight="1" s="107">
      <c r="A12" s="33" t="n">
        <v>45467</v>
      </c>
      <c r="B12" s="91" t="n">
        <v>4.6</v>
      </c>
      <c r="C12" s="34" t="n"/>
    </row>
    <row r="13" ht="13.5" customHeight="1" s="107">
      <c r="A13" s="36" t="n">
        <v>45495</v>
      </c>
      <c r="B13" s="92" t="n">
        <v>6.37</v>
      </c>
      <c r="C13" s="37" t="n"/>
    </row>
    <row r="14" ht="13.5" customHeight="1" s="107">
      <c r="A14" s="33" t="n">
        <v>45502</v>
      </c>
      <c r="B14" s="91" t="n">
        <v>12</v>
      </c>
      <c r="C14" s="34" t="n"/>
    </row>
    <row r="15" ht="13.5" customHeight="1" s="107">
      <c r="A15" s="36" t="n">
        <v>45545</v>
      </c>
      <c r="B15" s="92" t="n">
        <v>14.11</v>
      </c>
      <c r="C15" s="37" t="n"/>
    </row>
    <row r="16" ht="13.5" customHeight="1" s="107">
      <c r="A16" s="33" t="n">
        <v>45561</v>
      </c>
      <c r="B16" s="91" t="n">
        <v>10.3</v>
      </c>
      <c r="C16" s="34" t="n"/>
    </row>
    <row r="17" ht="13.5" customHeight="1" s="107">
      <c r="A17" s="36" t="n">
        <v>45561</v>
      </c>
      <c r="B17" s="92" t="n">
        <v>22.91</v>
      </c>
      <c r="C17" s="37" t="n"/>
    </row>
    <row r="18" ht="13.5" customHeight="1" s="107">
      <c r="A18" s="33" t="n">
        <v>45601</v>
      </c>
      <c r="B18" s="91" t="n">
        <v>32</v>
      </c>
      <c r="C18" s="34" t="n"/>
    </row>
    <row r="19" ht="13.5" customHeight="1" s="107">
      <c r="A19" s="36" t="n">
        <v>45629</v>
      </c>
      <c r="B19" s="92" t="n">
        <v>2.45</v>
      </c>
      <c r="C19" s="37" t="n"/>
    </row>
    <row r="20" ht="13.5" customHeight="1" s="107">
      <c r="A20" s="33" t="n">
        <v>45631</v>
      </c>
      <c r="B20" s="91" t="n">
        <v>1001.96</v>
      </c>
      <c r="C20" s="34" t="n"/>
    </row>
    <row r="21" ht="13.5" customHeight="1" s="107">
      <c r="A21" s="36" t="n">
        <v>45663</v>
      </c>
      <c r="B21" s="92" t="n">
        <v>100</v>
      </c>
      <c r="C21" s="37" t="n"/>
    </row>
    <row r="22" ht="13.5" customHeight="1" s="107">
      <c r="A22" s="33" t="n">
        <v>45685</v>
      </c>
      <c r="B22" s="91" t="n">
        <v>34.85</v>
      </c>
      <c r="C22" s="34" t="n"/>
    </row>
    <row r="23" ht="13.5" customHeight="1" s="107">
      <c r="A23" s="36" t="n">
        <v>45706</v>
      </c>
      <c r="B23" s="92" t="n">
        <v>0.75</v>
      </c>
      <c r="C23" s="37" t="n"/>
    </row>
    <row r="24" ht="13.5" customHeight="1" s="107">
      <c r="A24" s="33" t="n">
        <v>45722</v>
      </c>
      <c r="B24" s="91" t="n">
        <v>5</v>
      </c>
      <c r="C24" s="34" t="n"/>
    </row>
    <row r="25" ht="13.5" customHeight="1" s="107">
      <c r="A25" s="36" t="n">
        <v>45754</v>
      </c>
      <c r="B25" s="92" t="n">
        <v>400</v>
      </c>
      <c r="C25" s="37" t="n"/>
    </row>
    <row r="26" ht="13.5" customHeight="1" s="107">
      <c r="A26" s="33" t="n">
        <v>45757</v>
      </c>
      <c r="B26" s="91" t="n">
        <v>1.5</v>
      </c>
      <c r="C26" s="34" t="n"/>
    </row>
    <row r="27" ht="13.5" customHeight="1" s="107">
      <c r="A27" s="36" t="n">
        <v>45758</v>
      </c>
      <c r="B27" s="92" t="n">
        <v>3900</v>
      </c>
      <c r="C27" s="37" t="n"/>
    </row>
    <row r="28" ht="13.5" customHeight="1" s="107">
      <c r="A28" s="33" t="n">
        <v>45771</v>
      </c>
      <c r="B28" s="91" t="n">
        <v>100</v>
      </c>
      <c r="C28" s="34" t="n"/>
    </row>
    <row r="29" ht="13.5" customHeight="1" s="107">
      <c r="A29" s="36" t="n">
        <v>45776</v>
      </c>
      <c r="B29" s="92" t="n">
        <v>67.44</v>
      </c>
      <c r="C29" s="37" t="n"/>
    </row>
    <row r="30" ht="13.5" customHeight="1" s="107">
      <c r="A30" s="33" t="n">
        <v>45797</v>
      </c>
      <c r="B30" s="91" t="n">
        <v>400</v>
      </c>
      <c r="C30" s="34" t="n"/>
    </row>
    <row r="31" ht="13.5" customHeight="1" s="107">
      <c r="A31" s="36" t="n">
        <v>45806</v>
      </c>
      <c r="B31" s="92" t="n">
        <v>100</v>
      </c>
      <c r="C31" s="37" t="n"/>
    </row>
    <row r="32" ht="13.5" customHeight="1" s="107">
      <c r="A32" s="33" t="n">
        <v>45825</v>
      </c>
      <c r="B32" s="91" t="n">
        <v>810</v>
      </c>
      <c r="C32" s="34" t="n"/>
    </row>
    <row r="33" ht="13.5" customHeight="1" s="107">
      <c r="A33" s="36" t="n">
        <v>45831</v>
      </c>
      <c r="B33" s="92" t="n">
        <v>1300</v>
      </c>
      <c r="C33" s="37" t="n"/>
    </row>
    <row r="34" ht="13.5" customHeight="1" s="107">
      <c r="A34" s="33" t="n">
        <v>45868</v>
      </c>
      <c r="B34" s="91" t="n">
        <v>12.59</v>
      </c>
      <c r="C34" s="34" t="n"/>
    </row>
    <row r="35" ht="13.5" customHeight="1" s="107">
      <c r="A35" s="36" t="n">
        <v>45880</v>
      </c>
      <c r="B35" s="92" t="n">
        <v>300</v>
      </c>
      <c r="C35" s="37" t="n"/>
    </row>
    <row r="36" ht="13.5" customHeight="1" s="107">
      <c r="A36" s="33" t="n">
        <v>45894</v>
      </c>
      <c r="B36" s="91" t="n">
        <v>459.3</v>
      </c>
      <c r="C36" s="34" t="inlineStr">
        <is>
          <t>Ajuste de saldo</t>
        </is>
      </c>
    </row>
    <row r="37" ht="13.5" customHeight="1" s="107">
      <c r="A37" s="36" t="n">
        <v>45917</v>
      </c>
      <c r="B37" s="92" t="n">
        <v>100</v>
      </c>
      <c r="C37" s="37" t="n"/>
    </row>
    <row r="38" ht="13.5" customHeight="1" s="107">
      <c r="A38" s="33" t="n">
        <v>45953</v>
      </c>
      <c r="B38" s="91" t="n">
        <v>110</v>
      </c>
      <c r="C38" s="34" t="n"/>
    </row>
    <row r="39" ht="13.5" customHeight="1" s="107">
      <c r="A39" s="36" t="n">
        <v>45974</v>
      </c>
      <c r="B39" s="92" t="n">
        <v>110.59</v>
      </c>
      <c r="C39" s="37" t="n"/>
    </row>
    <row r="40" ht="13.5" customHeight="1" s="107">
      <c r="A40" s="33" t="n">
        <v>45696</v>
      </c>
      <c r="B40" s="91" t="n">
        <v>-331.77</v>
      </c>
      <c r="C40" s="34" t="inlineStr">
        <is>
          <t>Transferência Tesouro Direto</t>
        </is>
      </c>
    </row>
    <row r="41" ht="13.5" customHeight="1" s="107">
      <c r="A41" s="36" t="n">
        <v>46020</v>
      </c>
      <c r="B41" s="92" t="n">
        <v>400</v>
      </c>
      <c r="C41" s="37" t="n"/>
    </row>
    <row r="42" ht="13.5" customHeight="1" s="107">
      <c r="A42" s="33" t="n">
        <v>46027</v>
      </c>
      <c r="B42" s="91" t="n">
        <v>500</v>
      </c>
      <c r="C42" s="34" t="n"/>
    </row>
    <row r="43" ht="13.5" customHeight="1" s="107">
      <c r="A43" s="36" t="n">
        <v>743.1</v>
      </c>
      <c r="B43" s="92" t="n">
        <v>743.1</v>
      </c>
      <c r="C43" s="37" t="n"/>
    </row>
    <row r="44" ht="13.5" customHeight="1" s="107">
      <c r="A44" s="33" t="n">
        <v>46020</v>
      </c>
      <c r="B44" s="91" t="n">
        <v>600.59</v>
      </c>
      <c r="C44" s="34" t="n"/>
    </row>
    <row r="45" ht="13.5" customHeight="1" s="107">
      <c r="A45" s="36" t="n"/>
      <c r="B45" s="92" t="n"/>
      <c r="C45" s="37" t="n"/>
    </row>
    <row r="46" ht="13.5" customHeight="1" s="107">
      <c r="A46" s="33" t="n"/>
      <c r="B46" s="91" t="n"/>
      <c r="C46" s="34" t="n"/>
    </row>
    <row r="47" ht="13.5" customHeight="1" s="107">
      <c r="A47" s="36" t="n"/>
      <c r="B47" s="92" t="n"/>
      <c r="C47" s="37" t="n"/>
    </row>
    <row r="48" ht="13.5" customHeight="1" s="107">
      <c r="A48" s="33" t="n"/>
      <c r="B48" s="91" t="n"/>
      <c r="C48" s="34" t="n"/>
    </row>
    <row r="49" ht="13.5" customHeight="1" s="107">
      <c r="A49" s="36" t="n"/>
      <c r="B49" s="92" t="n"/>
      <c r="C49" s="37" t="n"/>
    </row>
    <row r="50" ht="13.5" customHeight="1" s="107">
      <c r="A50" s="33" t="n"/>
      <c r="B50" s="91" t="n"/>
      <c r="C50" s="34" t="n"/>
    </row>
    <row r="51" ht="13.5" customHeight="1" s="107">
      <c r="A51" s="36" t="n"/>
      <c r="B51" s="92" t="n"/>
      <c r="C51" s="37" t="n"/>
    </row>
    <row r="52" ht="13.5" customHeight="1" s="107">
      <c r="A52" s="33" t="n"/>
      <c r="B52" s="91" t="n"/>
      <c r="C52" s="34" t="n"/>
    </row>
    <row r="53" ht="13.5" customHeight="1" s="107">
      <c r="A53" s="36" t="n"/>
      <c r="B53" s="92" t="n"/>
      <c r="C53" s="37" t="n"/>
    </row>
    <row r="54" ht="13.5" customHeight="1" s="107">
      <c r="A54" s="33" t="n"/>
      <c r="B54" s="91" t="n"/>
      <c r="C54" s="34" t="n"/>
    </row>
    <row r="55" ht="13.5" customHeight="1" s="107">
      <c r="A55" s="36" t="n"/>
      <c r="B55" s="92" t="n"/>
      <c r="C55" s="37" t="n"/>
    </row>
    <row r="56" ht="13.5" customHeight="1" s="107">
      <c r="A56" s="33" t="n"/>
      <c r="B56" s="91" t="n"/>
      <c r="C56" s="34" t="n"/>
    </row>
    <row r="57" ht="13.5" customHeight="1" s="107">
      <c r="A57" s="36" t="n"/>
      <c r="B57" s="92" t="n"/>
      <c r="C57" s="37" t="n"/>
    </row>
    <row r="58" ht="13.5" customHeight="1" s="107">
      <c r="A58" s="33" t="n"/>
      <c r="B58" s="91" t="n"/>
      <c r="C58" s="34" t="n"/>
    </row>
    <row r="59" ht="13.5" customHeight="1" s="107">
      <c r="A59" s="36" t="n"/>
      <c r="B59" s="92" t="n"/>
      <c r="C59" s="37" t="n"/>
    </row>
    <row r="60" ht="13.5" customHeight="1" s="107">
      <c r="A60" s="33" t="n"/>
      <c r="B60" s="91" t="n"/>
      <c r="C60" s="34" t="n"/>
    </row>
    <row r="61" ht="13.5" customHeight="1" s="107">
      <c r="A61" s="36" t="n"/>
      <c r="B61" s="92" t="n"/>
      <c r="C61" s="37" t="n"/>
    </row>
    <row r="62" ht="13.5" customHeight="1" s="107">
      <c r="A62" s="33" t="n"/>
      <c r="B62" s="91" t="n"/>
      <c r="C62" s="34" t="n"/>
    </row>
    <row r="63" ht="13.5" customHeight="1" s="107">
      <c r="A63" s="36" t="n"/>
      <c r="B63" s="92" t="n"/>
      <c r="C63" s="37" t="n"/>
    </row>
    <row r="64" ht="13.5" customHeight="1" s="107">
      <c r="A64" s="33" t="n"/>
      <c r="B64" s="91" t="n"/>
      <c r="C64" s="34" t="n"/>
    </row>
    <row r="65" ht="13.5" customHeight="1" s="107">
      <c r="A65" s="36" t="n"/>
      <c r="B65" s="92" t="n"/>
      <c r="C65" s="37" t="n"/>
    </row>
    <row r="66" ht="13.5" customHeight="1" s="107">
      <c r="A66" s="33" t="n"/>
      <c r="B66" s="91" t="n"/>
      <c r="C66" s="34" t="n"/>
    </row>
    <row r="67" ht="13.5" customHeight="1" s="107">
      <c r="A67" s="36" t="n"/>
      <c r="B67" s="92" t="n"/>
      <c r="C67" s="37" t="n"/>
    </row>
    <row r="68" ht="13.5" customHeight="1" s="107">
      <c r="A68" s="33" t="n"/>
      <c r="B68" s="91" t="n"/>
      <c r="C68" s="34" t="n"/>
    </row>
    <row r="69" ht="13.5" customHeight="1" s="107">
      <c r="A69" s="36" t="n"/>
      <c r="B69" s="92" t="n"/>
      <c r="C69" s="37" t="n"/>
    </row>
    <row r="70" ht="13.5" customHeight="1" s="107">
      <c r="A70" s="33" t="n"/>
      <c r="B70" s="91" t="n"/>
      <c r="C70" s="34" t="n"/>
    </row>
    <row r="71" ht="13.5" customHeight="1" s="107">
      <c r="A71" s="36" t="n"/>
      <c r="B71" s="92" t="n"/>
      <c r="C71" s="37" t="n"/>
    </row>
    <row r="72" ht="13.5" customHeight="1" s="107">
      <c r="A72" s="33" t="n"/>
      <c r="B72" s="91" t="n"/>
      <c r="C72" s="34" t="n"/>
    </row>
    <row r="73" ht="13.5" customHeight="1" s="107">
      <c r="A73" s="36" t="n"/>
      <c r="B73" s="92" t="n"/>
      <c r="C73" s="37" t="n"/>
    </row>
    <row r="74" ht="13.5" customHeight="1" s="107">
      <c r="A74" s="33" t="n"/>
      <c r="B74" s="91" t="n"/>
      <c r="C74" s="34" t="n"/>
    </row>
    <row r="75" ht="13.5" customHeight="1" s="107">
      <c r="A75" s="36" t="n"/>
      <c r="B75" s="92" t="n"/>
      <c r="C75" s="37" t="n"/>
    </row>
    <row r="76" ht="13.5" customHeight="1" s="107">
      <c r="A76" s="33" t="n"/>
      <c r="B76" s="91" t="n"/>
      <c r="C76" s="34" t="n"/>
    </row>
    <row r="77" ht="13.5" customHeight="1" s="107">
      <c r="A77" s="36" t="n"/>
      <c r="B77" s="92" t="n"/>
      <c r="C77" s="37" t="n"/>
    </row>
    <row r="78" ht="13.5" customHeight="1" s="107">
      <c r="A78" s="33" t="n"/>
      <c r="B78" s="91" t="n"/>
      <c r="C78" s="34" t="n"/>
    </row>
    <row r="79" ht="13.5" customHeight="1" s="107">
      <c r="A79" s="36" t="n"/>
      <c r="B79" s="92" t="n"/>
      <c r="C79" s="37" t="n"/>
    </row>
    <row r="80" ht="13.5" customHeight="1" s="107">
      <c r="A80" s="33" t="n"/>
      <c r="B80" s="91" t="n"/>
      <c r="C80" s="34" t="n"/>
    </row>
    <row r="81" ht="13.5" customHeight="1" s="107">
      <c r="A81" s="36" t="n"/>
      <c r="B81" s="92" t="n"/>
      <c r="C81" s="37" t="n"/>
    </row>
    <row r="82" ht="13.5" customHeight="1" s="107">
      <c r="A82" s="33" t="n"/>
      <c r="B82" s="91" t="n"/>
      <c r="C82" s="34" t="n"/>
    </row>
    <row r="83" ht="13.5" customHeight="1" s="107">
      <c r="A83" s="36" t="n"/>
      <c r="B83" s="92" t="n"/>
      <c r="C83" s="37" t="n"/>
    </row>
    <row r="84" ht="13.5" customHeight="1" s="107">
      <c r="A84" s="33" t="n"/>
      <c r="B84" s="91" t="n"/>
      <c r="C84" s="34" t="n"/>
    </row>
    <row r="85" ht="13.5" customHeight="1" s="107">
      <c r="A85" s="36" t="n"/>
      <c r="B85" s="92" t="n"/>
      <c r="C85" s="37" t="n"/>
    </row>
    <row r="86" ht="13.5" customHeight="1" s="107">
      <c r="A86" s="33" t="n"/>
      <c r="B86" s="91" t="n"/>
      <c r="C86" s="34" t="n"/>
    </row>
    <row r="87" ht="13.5" customHeight="1" s="107">
      <c r="A87" s="36" t="n"/>
      <c r="B87" s="92" t="n"/>
      <c r="C87" s="37" t="n"/>
    </row>
    <row r="88" ht="13.5" customHeight="1" s="107">
      <c r="A88" s="33" t="n"/>
      <c r="B88" s="91" t="n"/>
      <c r="C88" s="34" t="n"/>
    </row>
    <row r="89" ht="13.5" customHeight="1" s="107">
      <c r="A89" s="36" t="n"/>
      <c r="B89" s="92" t="n"/>
      <c r="C89" s="37" t="n"/>
    </row>
    <row r="90" ht="13.5" customHeight="1" s="107">
      <c r="A90" s="33" t="n"/>
      <c r="B90" s="91" t="n"/>
      <c r="C90" s="34" t="n"/>
    </row>
    <row r="91" ht="13.5" customHeight="1" s="107">
      <c r="A91" s="36" t="n"/>
      <c r="B91" s="92" t="n"/>
      <c r="C91" s="37" t="n"/>
    </row>
    <row r="92" ht="13.5" customHeight="1" s="107">
      <c r="A92" s="33" t="n"/>
      <c r="B92" s="91" t="n"/>
      <c r="C92" s="34" t="n"/>
    </row>
    <row r="93" ht="13.5" customHeight="1" s="107">
      <c r="A93" s="36" t="n"/>
      <c r="B93" s="92" t="n"/>
      <c r="C93" s="37" t="n"/>
    </row>
    <row r="94" ht="13.5" customHeight="1" s="107">
      <c r="A94" s="33" t="n"/>
      <c r="B94" s="91" t="n"/>
      <c r="C94" s="34" t="n"/>
    </row>
    <row r="95" ht="13.5" customHeight="1" s="107">
      <c r="A95" s="36" t="n"/>
      <c r="B95" s="92" t="n"/>
      <c r="C95" s="37" t="n"/>
    </row>
    <row r="96" ht="13.5" customHeight="1" s="107">
      <c r="A96" s="33" t="n"/>
      <c r="B96" s="91" t="n"/>
      <c r="C96" s="34" t="n"/>
    </row>
    <row r="97" ht="13.5" customHeight="1" s="107">
      <c r="A97" s="36" t="n"/>
      <c r="B97" s="92" t="n"/>
      <c r="C97" s="37" t="n"/>
    </row>
    <row r="98" ht="13.5" customHeight="1" s="107">
      <c r="A98" s="33" t="n"/>
      <c r="B98" s="91" t="n"/>
      <c r="C98" s="34" t="n"/>
    </row>
    <row r="99" ht="13.5" customHeight="1" s="107">
      <c r="A99" s="36" t="n"/>
      <c r="B99" s="92" t="n"/>
      <c r="C99" s="37" t="n"/>
    </row>
    <row r="100" ht="13.5" customHeight="1" s="107">
      <c r="A100" s="33" t="n"/>
      <c r="B100" s="91" t="n"/>
      <c r="C100" s="34" t="n"/>
    </row>
    <row r="101" ht="13.5" customHeight="1" s="107">
      <c r="A101" s="36" t="n"/>
      <c r="B101" s="92" t="n"/>
      <c r="C101" s="37" t="n"/>
    </row>
    <row r="102" ht="13.5" customHeight="1" s="107">
      <c r="A102" s="33" t="n"/>
      <c r="B102" s="91" t="n"/>
      <c r="C102" s="34" t="n"/>
    </row>
    <row r="103" ht="13.5" customHeight="1" s="107">
      <c r="A103" s="36" t="n"/>
      <c r="B103" s="92" t="n"/>
      <c r="C103" s="37" t="n"/>
    </row>
    <row r="104" ht="13.5" customHeight="1" s="107">
      <c r="A104" s="33" t="n"/>
      <c r="B104" s="91" t="n"/>
      <c r="C104" s="34" t="n"/>
    </row>
    <row r="105" ht="13.5" customHeight="1" s="107">
      <c r="A105" s="36" t="n"/>
      <c r="B105" s="92" t="n"/>
      <c r="C105" s="37" t="n"/>
    </row>
    <row r="106" ht="13.5" customHeight="1" s="107">
      <c r="A106" s="33" t="n"/>
      <c r="B106" s="91" t="n"/>
      <c r="C106" s="34" t="n"/>
    </row>
    <row r="107" ht="13.5" customHeight="1" s="107">
      <c r="A107" s="36" t="n"/>
      <c r="B107" s="92" t="n"/>
      <c r="C107" s="37" t="n"/>
    </row>
    <row r="108" ht="13.5" customHeight="1" s="107">
      <c r="A108" s="33" t="n"/>
      <c r="B108" s="91" t="n"/>
      <c r="C108" s="34" t="n"/>
    </row>
    <row r="109" ht="13.5" customHeight="1" s="107">
      <c r="A109" s="36" t="n"/>
      <c r="B109" s="92" t="n"/>
      <c r="C109" s="37" t="n"/>
    </row>
    <row r="110" ht="13.5" customHeight="1" s="107">
      <c r="A110" s="33" t="n"/>
      <c r="B110" s="91" t="n"/>
      <c r="C110" s="34" t="n"/>
    </row>
    <row r="111" ht="13.5" customHeight="1" s="107">
      <c r="A111" s="36" t="n"/>
      <c r="B111" s="92" t="n"/>
      <c r="C111" s="37" t="n"/>
    </row>
    <row r="112" ht="13.5" customHeight="1" s="107">
      <c r="A112" s="33" t="n"/>
      <c r="B112" s="91" t="n"/>
      <c r="C112" s="34" t="n"/>
    </row>
    <row r="113" ht="13.5" customHeight="1" s="107">
      <c r="A113" s="36" t="n"/>
      <c r="B113" s="92" t="n"/>
      <c r="C113" s="37" t="n"/>
    </row>
    <row r="114" ht="13.5" customHeight="1" s="107">
      <c r="A114" s="33" t="n"/>
      <c r="B114" s="91" t="n"/>
      <c r="C114" s="34" t="n"/>
    </row>
    <row r="115" ht="13.5" customHeight="1" s="107">
      <c r="A115" s="36" t="n"/>
      <c r="B115" s="92" t="n"/>
      <c r="C115" s="37" t="n"/>
    </row>
    <row r="116" ht="13.5" customHeight="1" s="107">
      <c r="A116" s="33" t="n"/>
      <c r="B116" s="91" t="n"/>
      <c r="C116" s="34" t="n"/>
    </row>
    <row r="117" ht="13.5" customHeight="1" s="107">
      <c r="A117" s="36" t="n"/>
      <c r="B117" s="92" t="n"/>
      <c r="C117" s="37" t="n"/>
    </row>
    <row r="118" ht="13.5" customHeight="1" s="107">
      <c r="A118" s="33" t="n"/>
      <c r="B118" s="91" t="n"/>
      <c r="C118" s="34" t="n"/>
    </row>
    <row r="119" ht="13.5" customHeight="1" s="107">
      <c r="A119" s="36" t="n"/>
      <c r="B119" s="92" t="n"/>
      <c r="C119" s="37" t="n"/>
    </row>
    <row r="120" ht="13.5" customHeight="1" s="107">
      <c r="A120" s="33" t="n"/>
      <c r="B120" s="91" t="n"/>
      <c r="C120" s="34" t="n"/>
    </row>
    <row r="121" ht="13.5" customHeight="1" s="107">
      <c r="A121" s="36" t="n"/>
      <c r="B121" s="92" t="n"/>
      <c r="C121" s="37" t="n"/>
    </row>
    <row r="122" ht="13.5" customHeight="1" s="107">
      <c r="A122" s="33" t="n"/>
      <c r="B122" s="91" t="n"/>
      <c r="C122" s="34" t="n"/>
    </row>
    <row r="123" ht="13.5" customHeight="1" s="107">
      <c r="A123" s="36" t="n"/>
      <c r="B123" s="92" t="n"/>
      <c r="C123" s="37" t="n"/>
    </row>
    <row r="124" ht="13.5" customHeight="1" s="107">
      <c r="A124" s="33" t="n"/>
      <c r="B124" s="91" t="n"/>
      <c r="C124" s="34" t="n"/>
    </row>
    <row r="125" ht="13.5" customHeight="1" s="107">
      <c r="A125" s="36" t="n"/>
      <c r="B125" s="92" t="n"/>
      <c r="C125" s="37" t="n"/>
    </row>
    <row r="126" ht="13.5" customHeight="1" s="107">
      <c r="A126" s="33" t="n"/>
      <c r="B126" s="91" t="n"/>
      <c r="C126" s="34" t="n"/>
    </row>
    <row r="127" ht="13.5" customHeight="1" s="107">
      <c r="A127" s="36" t="n"/>
      <c r="B127" s="92" t="n"/>
      <c r="C127" s="37" t="n"/>
    </row>
    <row r="128" ht="13.5" customHeight="1" s="107">
      <c r="A128" s="33" t="n"/>
      <c r="B128" s="91" t="n"/>
      <c r="C128" s="34" t="n"/>
    </row>
    <row r="129" ht="13.5" customHeight="1" s="107">
      <c r="A129" s="36" t="n"/>
      <c r="B129" s="92" t="n"/>
      <c r="C129" s="37" t="n"/>
    </row>
    <row r="130" ht="13.5" customHeight="1" s="107">
      <c r="A130" s="33" t="n"/>
      <c r="B130" s="91" t="n"/>
      <c r="C130" s="34" t="n"/>
    </row>
    <row r="131" ht="13.5" customHeight="1" s="107">
      <c r="A131" s="36" t="n"/>
      <c r="B131" s="92" t="n"/>
      <c r="C131" s="37" t="n"/>
    </row>
    <row r="132" ht="13.5" customHeight="1" s="107">
      <c r="A132" s="33" t="n"/>
      <c r="B132" s="91" t="n"/>
      <c r="C132" s="34" t="n"/>
    </row>
    <row r="133" ht="13.5" customHeight="1" s="107">
      <c r="A133" s="36" t="n"/>
      <c r="B133" s="92" t="n"/>
      <c r="C133" s="37" t="n"/>
    </row>
    <row r="134" ht="13.5" customHeight="1" s="107">
      <c r="A134" s="33" t="n"/>
      <c r="B134" s="91" t="n"/>
      <c r="C134" s="34" t="n"/>
    </row>
    <row r="135" ht="13.5" customHeight="1" s="107">
      <c r="A135" s="36" t="n"/>
      <c r="B135" s="92" t="n"/>
      <c r="C135" s="37" t="n"/>
    </row>
    <row r="136" ht="13.5" customHeight="1" s="107">
      <c r="A136" s="33" t="n"/>
      <c r="B136" s="91" t="n"/>
      <c r="C136" s="34" t="n"/>
    </row>
    <row r="137" ht="13.5" customHeight="1" s="107">
      <c r="A137" s="36" t="n"/>
      <c r="B137" s="92" t="n"/>
      <c r="C137" s="37" t="n"/>
    </row>
    <row r="138" ht="13.5" customHeight="1" s="107">
      <c r="A138" s="33" t="n"/>
      <c r="B138" s="91" t="n"/>
      <c r="C138" s="34" t="n"/>
    </row>
    <row r="139" ht="13.5" customHeight="1" s="107">
      <c r="A139" s="36" t="n"/>
      <c r="B139" s="92" t="n"/>
      <c r="C139" s="37" t="n"/>
    </row>
    <row r="140" ht="13.5" customHeight="1" s="107">
      <c r="A140" s="33" t="n"/>
      <c r="B140" s="91" t="n"/>
      <c r="C140" s="34" t="n"/>
    </row>
    <row r="141" ht="13.5" customHeight="1" s="107">
      <c r="A141" s="36" t="n"/>
      <c r="B141" s="92" t="n"/>
      <c r="C141" s="37" t="n"/>
    </row>
    <row r="142" ht="13.5" customHeight="1" s="107">
      <c r="A142" s="33" t="n"/>
      <c r="B142" s="91" t="n"/>
      <c r="C142" s="34" t="n"/>
    </row>
    <row r="143" ht="13.5" customHeight="1" s="107">
      <c r="A143" s="36" t="n"/>
      <c r="B143" s="92" t="n"/>
      <c r="C143" s="37" t="n"/>
    </row>
    <row r="144" ht="13.5" customHeight="1" s="107">
      <c r="A144" s="33" t="n"/>
      <c r="B144" s="91" t="n"/>
      <c r="C144" s="34" t="n"/>
    </row>
    <row r="145" ht="13.5" customHeight="1" s="107">
      <c r="A145" s="36" t="n"/>
      <c r="B145" s="92" t="n"/>
      <c r="C145" s="37" t="n"/>
    </row>
    <row r="146" ht="13.5" customHeight="1" s="107">
      <c r="A146" s="33" t="n"/>
      <c r="B146" s="91" t="n"/>
      <c r="C146" s="34" t="n"/>
    </row>
    <row r="147" ht="13.5" customHeight="1" s="107">
      <c r="A147" s="36" t="n"/>
      <c r="B147" s="92" t="n"/>
      <c r="C147" s="37" t="n"/>
    </row>
    <row r="148" ht="13.5" customHeight="1" s="107">
      <c r="A148" s="33" t="n"/>
      <c r="B148" s="91" t="n"/>
      <c r="C148" s="34" t="n"/>
    </row>
    <row r="149" ht="13.5" customHeight="1" s="107">
      <c r="A149" s="36" t="n"/>
      <c r="B149" s="92" t="n"/>
      <c r="C149" s="37" t="n"/>
    </row>
    <row r="150" ht="13.5" customHeight="1" s="107">
      <c r="A150" s="33" t="n"/>
      <c r="B150" s="91" t="n"/>
      <c r="C150" s="34" t="n"/>
    </row>
    <row r="151" ht="13.5" customHeight="1" s="107">
      <c r="A151" s="36" t="n"/>
      <c r="B151" s="92" t="n"/>
      <c r="C151" s="37" t="n"/>
    </row>
    <row r="152" ht="13.5" customHeight="1" s="107">
      <c r="A152" s="33" t="n"/>
      <c r="B152" s="91" t="n"/>
      <c r="C152" s="34" t="n"/>
    </row>
    <row r="153" ht="13.5" customHeight="1" s="107">
      <c r="A153" s="36" t="n"/>
      <c r="B153" s="92" t="n"/>
      <c r="C153" s="37" t="n"/>
    </row>
    <row r="154" ht="13.5" customHeight="1" s="107">
      <c r="A154" s="33" t="n"/>
      <c r="B154" s="91" t="n"/>
      <c r="C154" s="34" t="n"/>
    </row>
    <row r="155" ht="13.5" customHeight="1" s="107">
      <c r="A155" s="36" t="n"/>
      <c r="B155" s="92" t="n"/>
      <c r="C155" s="37" t="n"/>
    </row>
    <row r="156" ht="13.5" customHeight="1" s="107">
      <c r="A156" s="33" t="n"/>
      <c r="B156" s="91" t="n"/>
      <c r="C156" s="34" t="n"/>
    </row>
    <row r="157" ht="13.5" customHeight="1" s="107">
      <c r="A157" s="36" t="n"/>
      <c r="B157" s="92" t="n"/>
      <c r="C157" s="37" t="n"/>
    </row>
    <row r="158" ht="13.5" customHeight="1" s="107">
      <c r="A158" s="33" t="n"/>
      <c r="B158" s="91" t="n"/>
      <c r="C158" s="34" t="n"/>
    </row>
    <row r="159" ht="13.5" customHeight="1" s="107">
      <c r="A159" s="36" t="n"/>
      <c r="B159" s="92" t="n"/>
      <c r="C159" s="37" t="n"/>
    </row>
    <row r="160" ht="13.5" customHeight="1" s="107">
      <c r="A160" s="33" t="n"/>
      <c r="B160" s="91" t="n"/>
      <c r="C160" s="34" t="n"/>
    </row>
    <row r="161" ht="13.5" customHeight="1" s="107">
      <c r="A161" s="36" t="n"/>
      <c r="B161" s="92" t="n"/>
      <c r="C161" s="37" t="n"/>
    </row>
    <row r="162" ht="13.5" customHeight="1" s="107">
      <c r="A162" s="33" t="n"/>
      <c r="B162" s="91" t="n"/>
      <c r="C162" s="34" t="n"/>
    </row>
    <row r="163" ht="13.5" customHeight="1" s="107">
      <c r="A163" s="36" t="n"/>
      <c r="B163" s="92" t="n"/>
      <c r="C163" s="37" t="n"/>
    </row>
    <row r="164" ht="13.5" customHeight="1" s="107">
      <c r="A164" s="33" t="n"/>
      <c r="B164" s="91" t="n"/>
      <c r="C164" s="34" t="n"/>
    </row>
    <row r="165" ht="13.5" customHeight="1" s="107">
      <c r="A165" s="36" t="n"/>
      <c r="B165" s="92" t="n"/>
      <c r="C165" s="37" t="n"/>
    </row>
    <row r="166" ht="13.5" customHeight="1" s="107">
      <c r="A166" s="33" t="n"/>
      <c r="B166" s="91" t="n"/>
      <c r="C166" s="34" t="n"/>
    </row>
    <row r="167" ht="13.5" customHeight="1" s="107">
      <c r="A167" s="36" t="n"/>
      <c r="B167" s="92" t="n"/>
      <c r="C167" s="37" t="n"/>
    </row>
    <row r="168" ht="13.5" customHeight="1" s="107">
      <c r="A168" s="33" t="n"/>
      <c r="B168" s="91" t="n"/>
      <c r="C168" s="34" t="n"/>
    </row>
    <row r="169" ht="13.5" customHeight="1" s="107">
      <c r="A169" s="36" t="n"/>
      <c r="B169" s="92" t="n"/>
      <c r="C169" s="37" t="n"/>
    </row>
    <row r="170" ht="13.5" customHeight="1" s="107">
      <c r="A170" s="33" t="n"/>
      <c r="B170" s="91" t="n"/>
      <c r="C170" s="34" t="n"/>
    </row>
    <row r="171" ht="13.5" customHeight="1" s="107">
      <c r="A171" s="36" t="n"/>
      <c r="B171" s="92" t="n"/>
      <c r="C171" s="37" t="n"/>
    </row>
    <row r="172" ht="13.5" customHeight="1" s="107">
      <c r="A172" s="33" t="n"/>
      <c r="B172" s="91" t="n"/>
      <c r="C172" s="34" t="n"/>
    </row>
    <row r="173" ht="13.5" customHeight="1" s="107">
      <c r="A173" s="36" t="n"/>
      <c r="B173" s="92" t="n"/>
      <c r="C173" s="37" t="n"/>
    </row>
    <row r="174" ht="13.5" customHeight="1" s="107">
      <c r="A174" s="33" t="n"/>
      <c r="B174" s="91" t="n"/>
      <c r="C174" s="34" t="n"/>
    </row>
    <row r="175" ht="13.5" customHeight="1" s="107">
      <c r="A175" s="36" t="n"/>
      <c r="B175" s="92" t="n"/>
      <c r="C175" s="37" t="n"/>
    </row>
    <row r="176" ht="13.5" customHeight="1" s="107">
      <c r="A176" s="33" t="n"/>
      <c r="B176" s="91" t="n"/>
      <c r="C176" s="34" t="n"/>
    </row>
    <row r="177" ht="13.5" customHeight="1" s="107">
      <c r="A177" s="36" t="n"/>
      <c r="B177" s="92" t="n"/>
      <c r="C177" s="37" t="n"/>
    </row>
    <row r="178" ht="13.5" customHeight="1" s="107">
      <c r="A178" s="33" t="n"/>
      <c r="B178" s="91" t="n"/>
      <c r="C178" s="34" t="n"/>
    </row>
    <row r="179" ht="13.5" customHeight="1" s="107">
      <c r="A179" s="36" t="n"/>
      <c r="B179" s="92" t="n"/>
      <c r="C179" s="37" t="n"/>
    </row>
    <row r="180" ht="13.5" customHeight="1" s="107">
      <c r="A180" s="33" t="n"/>
      <c r="B180" s="91" t="n"/>
      <c r="C180" s="34" t="n"/>
    </row>
    <row r="181" ht="13.5" customHeight="1" s="107">
      <c r="A181" s="36" t="n"/>
      <c r="B181" s="92" t="n"/>
      <c r="C181" s="37" t="n"/>
    </row>
    <row r="182" ht="13.5" customHeight="1" s="107">
      <c r="A182" s="33" t="n"/>
      <c r="B182" s="91" t="n"/>
      <c r="C182" s="34" t="n"/>
    </row>
    <row r="183" ht="13.5" customHeight="1" s="107">
      <c r="A183" s="36" t="n"/>
      <c r="B183" s="92" t="n"/>
      <c r="C183" s="37" t="n"/>
    </row>
    <row r="184" ht="13.5" customHeight="1" s="107">
      <c r="A184" s="33" t="n"/>
      <c r="B184" s="91" t="n"/>
      <c r="C184" s="34" t="n"/>
    </row>
    <row r="185" ht="13.5" customHeight="1" s="107">
      <c r="A185" s="36" t="n"/>
      <c r="B185" s="92" t="n"/>
      <c r="C185" s="37" t="n"/>
    </row>
    <row r="186" ht="13.5" customHeight="1" s="107">
      <c r="A186" s="33" t="n"/>
      <c r="B186" s="91" t="n"/>
      <c r="C186" s="34" t="n"/>
    </row>
    <row r="187" ht="13.5" customHeight="1" s="107">
      <c r="A187" s="36" t="n"/>
      <c r="B187" s="92" t="n"/>
      <c r="C187" s="37" t="n"/>
    </row>
    <row r="188" ht="13.5" customHeight="1" s="107">
      <c r="A188" s="33" t="n"/>
      <c r="B188" s="91" t="n"/>
      <c r="C188" s="34" t="n"/>
    </row>
    <row r="189" ht="13.5" customHeight="1" s="107">
      <c r="A189" s="36" t="n"/>
      <c r="B189" s="92" t="n"/>
      <c r="C189" s="37" t="n"/>
    </row>
    <row r="190" ht="13.5" customHeight="1" s="107">
      <c r="A190" s="33" t="n"/>
      <c r="B190" s="91" t="n"/>
      <c r="C190" s="34" t="n"/>
    </row>
    <row r="191" ht="13.5" customHeight="1" s="107">
      <c r="A191" s="36" t="n"/>
      <c r="B191" s="92" t="n"/>
      <c r="C191" s="37" t="n"/>
    </row>
    <row r="192" ht="13.5" customHeight="1" s="107">
      <c r="A192" s="33" t="n"/>
      <c r="B192" s="91" t="n"/>
      <c r="C192" s="34" t="n"/>
    </row>
    <row r="193" ht="13.5" customHeight="1" s="107">
      <c r="A193" s="36" t="n"/>
      <c r="B193" s="92" t="n"/>
      <c r="C193" s="37" t="n"/>
    </row>
    <row r="194" ht="13.5" customHeight="1" s="107">
      <c r="A194" s="33" t="n"/>
      <c r="B194" s="91" t="n"/>
      <c r="C194" s="34" t="n"/>
    </row>
    <row r="195" ht="13.5" customHeight="1" s="107">
      <c r="A195" s="36" t="n"/>
      <c r="B195" s="92" t="n"/>
      <c r="C195" s="37" t="n"/>
    </row>
    <row r="196" ht="13.5" customHeight="1" s="107">
      <c r="A196" s="33" t="n"/>
      <c r="B196" s="91" t="n"/>
      <c r="C196" s="34" t="n"/>
    </row>
    <row r="197" ht="13.5" customHeight="1" s="107">
      <c r="A197" s="36" t="n"/>
      <c r="B197" s="92" t="n"/>
      <c r="C197" s="37" t="n"/>
    </row>
    <row r="198" ht="13.5" customHeight="1" s="107">
      <c r="A198" s="33" t="n"/>
      <c r="B198" s="91" t="n"/>
      <c r="C198" s="34" t="n"/>
    </row>
    <row r="199" ht="13.5" customHeight="1" s="107">
      <c r="A199" s="36" t="n"/>
      <c r="B199" s="92" t="n"/>
      <c r="C199" s="37" t="n"/>
    </row>
    <row r="200" ht="13.5" customHeight="1" s="107">
      <c r="A200" s="33" t="n"/>
      <c r="B200" s="91" t="n"/>
      <c r="C200" s="34" t="n"/>
    </row>
    <row r="201" ht="13.5" customHeight="1" s="107">
      <c r="A201" s="36" t="n"/>
      <c r="B201" s="92" t="n"/>
      <c r="C201" s="37" t="n"/>
    </row>
    <row r="202" ht="13.5" customHeight="1" s="107">
      <c r="A202" s="33" t="n"/>
      <c r="B202" s="91" t="n"/>
      <c r="C202" s="34" t="n"/>
    </row>
    <row r="203" ht="13.5" customHeight="1" s="107">
      <c r="A203" s="36" t="n"/>
      <c r="B203" s="92" t="n"/>
      <c r="C203" s="37" t="n"/>
    </row>
    <row r="204" ht="13.5" customHeight="1" s="107">
      <c r="A204" s="33" t="n"/>
      <c r="B204" s="91" t="n"/>
      <c r="C204" s="34" t="n"/>
    </row>
    <row r="205" ht="13.5" customHeight="1" s="107">
      <c r="A205" s="36" t="n"/>
      <c r="B205" s="92" t="n"/>
      <c r="C205" s="37" t="n"/>
    </row>
    <row r="206" ht="13.5" customHeight="1" s="107">
      <c r="A206" s="33" t="n"/>
      <c r="B206" s="91" t="n"/>
      <c r="C206" s="34" t="n"/>
    </row>
    <row r="207" ht="13.5" customHeight="1" s="107">
      <c r="A207" s="36" t="n"/>
      <c r="B207" s="92" t="n"/>
      <c r="C207" s="37" t="n"/>
    </row>
    <row r="208" ht="13.5" customHeight="1" s="107">
      <c r="A208" s="33" t="n"/>
      <c r="B208" s="91" t="n"/>
      <c r="C208" s="34" t="n"/>
    </row>
    <row r="209" ht="13.5" customHeight="1" s="107">
      <c r="A209" s="36" t="n"/>
      <c r="B209" s="92" t="n"/>
      <c r="C209" s="37" t="n"/>
    </row>
    <row r="210" ht="13.5" customHeight="1" s="107">
      <c r="A210" s="33" t="n"/>
      <c r="B210" s="91" t="n"/>
      <c r="C210" s="34" t="n"/>
    </row>
    <row r="211" ht="13.5" customHeight="1" s="107">
      <c r="A211" s="36" t="n"/>
      <c r="B211" s="92" t="n"/>
      <c r="C211" s="37" t="n"/>
    </row>
    <row r="212" ht="13.5" customHeight="1" s="107">
      <c r="A212" s="33" t="n"/>
      <c r="B212" s="91" t="n"/>
      <c r="C212" s="34" t="n"/>
    </row>
    <row r="213" ht="13.5" customHeight="1" s="107">
      <c r="A213" s="36" t="n"/>
      <c r="B213" s="92" t="n"/>
      <c r="C213" s="37" t="n"/>
    </row>
    <row r="214" ht="13.5" customHeight="1" s="107">
      <c r="A214" s="33" t="n"/>
      <c r="B214" s="91" t="n"/>
      <c r="C214" s="34" t="n"/>
    </row>
    <row r="215" ht="13.5" customHeight="1" s="107">
      <c r="A215" s="36" t="n"/>
      <c r="B215" s="92" t="n"/>
      <c r="C215" s="37" t="n"/>
    </row>
    <row r="216" ht="13.5" customHeight="1" s="107">
      <c r="A216" s="33" t="n"/>
      <c r="B216" s="91" t="n"/>
      <c r="C216" s="34" t="n"/>
    </row>
    <row r="217" ht="13.5" customHeight="1" s="107">
      <c r="A217" s="36" t="n"/>
      <c r="B217" s="92" t="n"/>
      <c r="C217" s="37" t="n"/>
    </row>
    <row r="218" ht="13.5" customHeight="1" s="107">
      <c r="A218" s="33" t="n"/>
      <c r="B218" s="91" t="n"/>
      <c r="C218" s="34" t="n"/>
    </row>
    <row r="219" ht="13.5" customHeight="1" s="107">
      <c r="A219" s="36" t="n"/>
      <c r="B219" s="92" t="n"/>
      <c r="C219" s="37" t="n"/>
    </row>
    <row r="220" ht="13.5" customHeight="1" s="107">
      <c r="A220" s="33" t="n"/>
      <c r="B220" s="91" t="n"/>
      <c r="C220" s="34" t="n"/>
    </row>
    <row r="221" ht="13.5" customHeight="1" s="107">
      <c r="A221" s="36" t="n"/>
      <c r="B221" s="92" t="n"/>
      <c r="C221" s="37" t="n"/>
    </row>
    <row r="222" ht="13.5" customHeight="1" s="107">
      <c r="A222" s="33" t="n"/>
      <c r="B222" s="91" t="n"/>
      <c r="C222" s="34" t="n"/>
    </row>
    <row r="223" ht="13.5" customHeight="1" s="107">
      <c r="A223" s="36" t="n"/>
      <c r="B223" s="92" t="n"/>
      <c r="C223" s="37" t="n"/>
    </row>
    <row r="224" ht="13.5" customHeight="1" s="107">
      <c r="A224" s="33" t="n"/>
      <c r="B224" s="91" t="n"/>
      <c r="C224" s="34" t="n"/>
    </row>
    <row r="225" ht="13.5" customHeight="1" s="107">
      <c r="A225" s="36" t="n"/>
      <c r="B225" s="92" t="n"/>
      <c r="C225" s="37" t="n"/>
    </row>
    <row r="226" ht="13.5" customHeight="1" s="107">
      <c r="A226" s="33" t="n"/>
      <c r="B226" s="91" t="n"/>
      <c r="C226" s="34" t="n"/>
    </row>
    <row r="227" ht="13.5" customHeight="1" s="107">
      <c r="A227" s="36" t="n"/>
      <c r="B227" s="92" t="n"/>
      <c r="C227" s="37" t="n"/>
    </row>
    <row r="228" ht="13.5" customHeight="1" s="107">
      <c r="A228" s="33" t="n"/>
      <c r="B228" s="91" t="n"/>
      <c r="C228" s="34" t="n"/>
    </row>
    <row r="229" ht="13.5" customHeight="1" s="107">
      <c r="A229" s="36" t="n"/>
      <c r="B229" s="92" t="n"/>
      <c r="C229" s="37" t="n"/>
    </row>
    <row r="230" ht="13.5" customHeight="1" s="107">
      <c r="A230" s="33" t="n"/>
      <c r="B230" s="91" t="n"/>
      <c r="C230" s="34" t="n"/>
    </row>
    <row r="231" ht="13.5" customHeight="1" s="107">
      <c r="A231" s="36" t="n"/>
      <c r="B231" s="92" t="n"/>
      <c r="C231" s="37" t="n"/>
    </row>
    <row r="232" ht="13.5" customHeight="1" s="107">
      <c r="A232" s="33" t="n"/>
      <c r="B232" s="91" t="n"/>
      <c r="C232" s="34" t="n"/>
    </row>
    <row r="233" ht="13.5" customHeight="1" s="107">
      <c r="A233" s="36" t="n"/>
      <c r="B233" s="92" t="n"/>
      <c r="C233" s="37" t="n"/>
    </row>
    <row r="234" ht="13.5" customHeight="1" s="107">
      <c r="A234" s="33" t="n"/>
      <c r="B234" s="91" t="n"/>
      <c r="C234" s="34" t="n"/>
    </row>
    <row r="235" ht="13.5" customHeight="1" s="107">
      <c r="A235" s="36" t="n"/>
      <c r="B235" s="92" t="n"/>
      <c r="C235" s="37" t="n"/>
    </row>
    <row r="236" ht="13.5" customHeight="1" s="107">
      <c r="A236" s="33" t="n"/>
      <c r="B236" s="91" t="n"/>
      <c r="C236" s="34" t="n"/>
    </row>
    <row r="237" ht="13.5" customHeight="1" s="107">
      <c r="A237" s="36" t="n"/>
      <c r="B237" s="92" t="n"/>
      <c r="C237" s="37" t="n"/>
    </row>
    <row r="238" ht="13.5" customHeight="1" s="107">
      <c r="A238" s="33" t="n"/>
      <c r="B238" s="91" t="n"/>
      <c r="C238" s="34" t="n"/>
    </row>
    <row r="239" ht="13.5" customHeight="1" s="107">
      <c r="A239" s="36" t="n"/>
      <c r="B239" s="92" t="n"/>
      <c r="C239" s="37" t="n"/>
    </row>
    <row r="240" ht="13.5" customHeight="1" s="107">
      <c r="A240" s="33" t="n"/>
      <c r="B240" s="91" t="n"/>
      <c r="C240" s="34" t="n"/>
    </row>
    <row r="241" ht="13.5" customHeight="1" s="107">
      <c r="A241" s="36" t="n"/>
      <c r="B241" s="92" t="n"/>
      <c r="C241" s="37" t="n"/>
    </row>
    <row r="242" ht="13.5" customHeight="1" s="107">
      <c r="A242" s="33" t="n"/>
      <c r="B242" s="91" t="n"/>
      <c r="C242" s="34" t="n"/>
    </row>
    <row r="243" ht="13.5" customHeight="1" s="107">
      <c r="A243" s="36" t="n"/>
      <c r="B243" s="92" t="n"/>
      <c r="C243" s="37" t="n"/>
    </row>
    <row r="244" ht="13.5" customHeight="1" s="107">
      <c r="A244" s="33" t="n"/>
      <c r="B244" s="91" t="n"/>
      <c r="C244" s="34" t="n"/>
    </row>
    <row r="245" ht="13.5" customHeight="1" s="107">
      <c r="A245" s="36" t="n"/>
      <c r="B245" s="92" t="n"/>
      <c r="C245" s="37" t="n"/>
    </row>
    <row r="246" ht="13.5" customHeight="1" s="107">
      <c r="A246" s="33" t="n"/>
      <c r="B246" s="91" t="n"/>
      <c r="C246" s="34" t="n"/>
    </row>
    <row r="247" ht="13.5" customHeight="1" s="107">
      <c r="A247" s="36" t="n"/>
      <c r="B247" s="92" t="n"/>
      <c r="C247" s="37" t="n"/>
    </row>
    <row r="248" ht="13.5" customHeight="1" s="107">
      <c r="A248" s="33" t="n"/>
      <c r="B248" s="91" t="n"/>
      <c r="C248" s="34" t="n"/>
    </row>
    <row r="249" ht="13.5" customHeight="1" s="107">
      <c r="A249" s="36" t="n"/>
      <c r="B249" s="92" t="n"/>
      <c r="C249" s="37" t="n"/>
    </row>
    <row r="250" ht="13.5" customHeight="1" s="107">
      <c r="A250" s="33" t="n"/>
      <c r="B250" s="91" t="n"/>
      <c r="C250" s="34" t="n"/>
    </row>
    <row r="251" ht="13.5" customHeight="1" s="107">
      <c r="A251" s="36" t="n"/>
      <c r="B251" s="92" t="n"/>
      <c r="C251" s="37" t="n"/>
    </row>
    <row r="252" ht="13.5" customHeight="1" s="107">
      <c r="A252" s="33" t="n"/>
      <c r="B252" s="91" t="n"/>
      <c r="C252" s="34" t="n"/>
    </row>
    <row r="253" ht="13.5" customHeight="1" s="107">
      <c r="A253" s="36" t="n"/>
      <c r="B253" s="92" t="n"/>
      <c r="C253" s="37" t="n"/>
    </row>
    <row r="254" ht="13.5" customHeight="1" s="107">
      <c r="A254" s="33" t="n"/>
      <c r="B254" s="91" t="n"/>
      <c r="C254" s="34" t="n"/>
    </row>
    <row r="255" ht="13.5" customHeight="1" s="107">
      <c r="A255" s="36" t="n"/>
      <c r="B255" s="92" t="n"/>
      <c r="C255" s="37" t="n"/>
    </row>
    <row r="256" ht="13.5" customHeight="1" s="107">
      <c r="A256" s="33" t="n"/>
      <c r="B256" s="91" t="n"/>
      <c r="C256" s="34" t="n"/>
    </row>
    <row r="257" ht="13.5" customHeight="1" s="107">
      <c r="A257" s="36" t="n"/>
      <c r="B257" s="92" t="n"/>
      <c r="C257" s="37" t="n"/>
    </row>
    <row r="258" ht="13.5" customHeight="1" s="107">
      <c r="A258" s="33" t="n"/>
      <c r="B258" s="91" t="n"/>
      <c r="C258" s="34" t="n"/>
    </row>
    <row r="259" ht="13.5" customHeight="1" s="107">
      <c r="A259" s="36" t="n"/>
      <c r="B259" s="92" t="n"/>
      <c r="C259" s="37" t="n"/>
    </row>
    <row r="260" ht="13.5" customHeight="1" s="107">
      <c r="A260" s="33" t="n"/>
      <c r="B260" s="91" t="n"/>
      <c r="C260" s="34" t="n"/>
    </row>
    <row r="261" ht="13.5" customHeight="1" s="107">
      <c r="A261" s="36" t="n"/>
      <c r="B261" s="92" t="n"/>
      <c r="C261" s="37" t="n"/>
    </row>
    <row r="262" ht="13.5" customHeight="1" s="107">
      <c r="A262" s="33" t="n"/>
      <c r="B262" s="91" t="n"/>
      <c r="C262" s="34" t="n"/>
    </row>
    <row r="263" ht="13.5" customHeight="1" s="107">
      <c r="A263" s="36" t="n"/>
      <c r="B263" s="92" t="n"/>
      <c r="C263" s="37" t="n"/>
    </row>
    <row r="264" ht="13.5" customHeight="1" s="107">
      <c r="A264" s="33" t="n"/>
      <c r="B264" s="91" t="n"/>
      <c r="C264" s="34" t="n"/>
    </row>
    <row r="265" ht="13.5" customHeight="1" s="107">
      <c r="A265" s="36" t="n"/>
      <c r="B265" s="92" t="n"/>
      <c r="C265" s="37" t="n"/>
    </row>
    <row r="266" ht="13.5" customHeight="1" s="107">
      <c r="A266" s="33" t="n"/>
      <c r="B266" s="91" t="n"/>
      <c r="C266" s="34" t="n"/>
    </row>
    <row r="267" ht="13.5" customHeight="1" s="107">
      <c r="A267" s="36" t="n"/>
      <c r="B267" s="92" t="n"/>
      <c r="C267" s="37" t="n"/>
    </row>
    <row r="268" ht="13.5" customHeight="1" s="107">
      <c r="A268" s="33" t="n"/>
      <c r="B268" s="91" t="n"/>
      <c r="C268" s="34" t="n"/>
    </row>
    <row r="269" ht="13.5" customHeight="1" s="107">
      <c r="A269" s="36" t="n"/>
      <c r="B269" s="92" t="n"/>
      <c r="C269" s="37" t="n"/>
    </row>
    <row r="270" ht="13.5" customHeight="1" s="107">
      <c r="A270" s="33" t="n"/>
      <c r="B270" s="91" t="n"/>
      <c r="C270" s="34" t="n"/>
    </row>
    <row r="271" ht="13.5" customHeight="1" s="107">
      <c r="A271" s="36" t="n"/>
      <c r="B271" s="92" t="n"/>
      <c r="C271" s="37" t="n"/>
    </row>
    <row r="272" ht="13.5" customHeight="1" s="107">
      <c r="A272" s="33" t="n"/>
      <c r="B272" s="91" t="n"/>
      <c r="C272" s="34" t="n"/>
    </row>
    <row r="273" ht="13.5" customHeight="1" s="107">
      <c r="A273" s="36" t="n"/>
      <c r="B273" s="92" t="n"/>
      <c r="C273" s="37" t="n"/>
    </row>
    <row r="274" ht="13.5" customHeight="1" s="107">
      <c r="A274" s="33" t="n"/>
      <c r="B274" s="91" t="n"/>
      <c r="C274" s="34" t="n"/>
    </row>
    <row r="275" ht="13.5" customHeight="1" s="107">
      <c r="A275" s="36" t="n"/>
      <c r="B275" s="92" t="n"/>
      <c r="C275" s="37" t="n"/>
    </row>
    <row r="276" ht="13.5" customHeight="1" s="107">
      <c r="A276" s="33" t="n"/>
      <c r="B276" s="91" t="n"/>
      <c r="C276" s="34" t="n"/>
    </row>
    <row r="277" ht="13.5" customHeight="1" s="107">
      <c r="A277" s="36" t="n"/>
      <c r="B277" s="92" t="n"/>
      <c r="C277" s="37" t="n"/>
    </row>
    <row r="278" ht="13.5" customHeight="1" s="107">
      <c r="A278" s="33" t="n"/>
      <c r="B278" s="91" t="n"/>
      <c r="C278" s="34" t="n"/>
    </row>
    <row r="279" ht="13.5" customHeight="1" s="107">
      <c r="A279" s="36" t="n"/>
      <c r="B279" s="92" t="n"/>
      <c r="C279" s="37" t="n"/>
    </row>
    <row r="280" ht="13.5" customHeight="1" s="107">
      <c r="A280" s="33" t="n"/>
      <c r="B280" s="91" t="n"/>
      <c r="C280" s="34" t="n"/>
    </row>
    <row r="281" ht="13.5" customHeight="1" s="107">
      <c r="A281" s="36" t="n"/>
      <c r="B281" s="92" t="n"/>
      <c r="C281" s="37" t="n"/>
    </row>
    <row r="282" ht="13.5" customHeight="1" s="107">
      <c r="A282" s="33" t="n"/>
      <c r="B282" s="91" t="n"/>
      <c r="C282" s="34" t="n"/>
    </row>
    <row r="283" ht="13.5" customHeight="1" s="107">
      <c r="A283" s="36" t="n"/>
      <c r="B283" s="92" t="n"/>
      <c r="C283" s="37" t="n"/>
    </row>
    <row r="284" ht="13.5" customHeight="1" s="107">
      <c r="A284" s="33" t="n"/>
      <c r="B284" s="91" t="n"/>
      <c r="C284" s="34" t="n"/>
    </row>
    <row r="285" ht="13.5" customHeight="1" s="107">
      <c r="A285" s="36" t="n"/>
      <c r="B285" s="92" t="n"/>
      <c r="C285" s="37" t="n"/>
    </row>
    <row r="286" ht="13.5" customHeight="1" s="107">
      <c r="A286" s="33" t="n"/>
      <c r="B286" s="91" t="n"/>
      <c r="C286" s="34" t="n"/>
    </row>
    <row r="287" ht="13.5" customHeight="1" s="107">
      <c r="A287" s="36" t="n"/>
      <c r="B287" s="92" t="n"/>
      <c r="C287" s="37" t="n"/>
    </row>
    <row r="288" ht="13.5" customHeight="1" s="107">
      <c r="A288" s="33" t="n"/>
      <c r="B288" s="91" t="n"/>
      <c r="C288" s="34" t="n"/>
    </row>
    <row r="289" ht="13.5" customHeight="1" s="107">
      <c r="A289" s="36" t="n"/>
      <c r="B289" s="92" t="n"/>
      <c r="C289" s="37" t="n"/>
    </row>
    <row r="290" ht="13.5" customHeight="1" s="107">
      <c r="A290" s="33" t="n"/>
      <c r="B290" s="91" t="n"/>
      <c r="C290" s="34" t="n"/>
    </row>
    <row r="291" ht="13.5" customHeight="1" s="107">
      <c r="A291" s="36" t="n"/>
      <c r="B291" s="92" t="n"/>
      <c r="C291" s="37" t="n"/>
    </row>
    <row r="292" ht="13.5" customHeight="1" s="107">
      <c r="A292" s="33" t="n"/>
      <c r="B292" s="91" t="n"/>
      <c r="C292" s="34" t="n"/>
    </row>
    <row r="293" ht="13.5" customHeight="1" s="107">
      <c r="A293" s="36" t="n"/>
      <c r="B293" s="92" t="n"/>
      <c r="C293" s="37" t="n"/>
    </row>
    <row r="294" ht="13.5" customHeight="1" s="107">
      <c r="A294" s="33" t="n"/>
      <c r="B294" s="91" t="n"/>
      <c r="C294" s="34" t="n"/>
    </row>
    <row r="295" ht="13.5" customHeight="1" s="107">
      <c r="A295" s="36" t="n"/>
      <c r="B295" s="92" t="n"/>
      <c r="C295" s="37" t="n"/>
    </row>
    <row r="296" ht="13.5" customHeight="1" s="107">
      <c r="A296" s="33" t="n"/>
      <c r="B296" s="91" t="n"/>
      <c r="C296" s="34" t="n"/>
    </row>
    <row r="297" ht="13.5" customHeight="1" s="107">
      <c r="A297" s="36" t="n"/>
      <c r="B297" s="92" t="n"/>
      <c r="C297" s="37" t="n"/>
    </row>
    <row r="298" ht="13.5" customHeight="1" s="107">
      <c r="A298" s="33" t="n"/>
      <c r="B298" s="91" t="n"/>
      <c r="C298" s="34" t="n"/>
    </row>
    <row r="299" ht="13.5" customHeight="1" s="107">
      <c r="A299" s="36" t="n"/>
      <c r="B299" s="92" t="n"/>
      <c r="C299" s="37" t="n"/>
    </row>
    <row r="300" ht="13.5" customHeight="1" s="107">
      <c r="A300" s="33" t="n"/>
      <c r="B300" s="91" t="n"/>
      <c r="C300" s="34" t="n"/>
    </row>
    <row r="301" ht="13.5" customHeight="1" s="107">
      <c r="A301" s="36" t="n"/>
      <c r="B301" s="92" t="n"/>
      <c r="C301" s="37" t="n"/>
    </row>
    <row r="302" ht="13.5" customHeight="1" s="107">
      <c r="A302" s="33" t="n"/>
      <c r="B302" s="91" t="n"/>
      <c r="C302" s="34" t="n"/>
    </row>
    <row r="303" ht="13.5" customHeight="1" s="107">
      <c r="A303" s="36" t="n"/>
      <c r="B303" s="92" t="n"/>
      <c r="C303" s="37" t="n"/>
    </row>
    <row r="304" ht="13.5" customHeight="1" s="107">
      <c r="A304" s="33" t="n"/>
      <c r="B304" s="91" t="n"/>
      <c r="C304" s="34" t="n"/>
    </row>
    <row r="305" ht="13.5" customHeight="1" s="107">
      <c r="A305" s="36" t="n"/>
      <c r="B305" s="92" t="n"/>
      <c r="C305" s="37" t="n"/>
    </row>
    <row r="306" ht="13.5" customHeight="1" s="107">
      <c r="A306" s="33" t="n"/>
      <c r="B306" s="91" t="n"/>
      <c r="C306" s="34" t="n"/>
    </row>
    <row r="307" ht="13.5" customHeight="1" s="107">
      <c r="A307" s="36" t="n"/>
      <c r="B307" s="92" t="n"/>
      <c r="C307" s="37" t="n"/>
    </row>
    <row r="308" ht="13.5" customHeight="1" s="107">
      <c r="A308" s="33" t="n"/>
      <c r="B308" s="91" t="n"/>
      <c r="C308" s="34" t="n"/>
    </row>
    <row r="309" ht="13.5" customHeight="1" s="107">
      <c r="A309" s="36" t="n"/>
      <c r="B309" s="92" t="n"/>
      <c r="C309" s="37" t="n"/>
    </row>
    <row r="310" ht="13.5" customHeight="1" s="107">
      <c r="A310" s="33" t="n"/>
      <c r="B310" s="91" t="n"/>
      <c r="C310" s="34" t="n"/>
    </row>
    <row r="311" ht="13.5" customHeight="1" s="107">
      <c r="A311" s="36" t="n"/>
      <c r="B311" s="92" t="n"/>
      <c r="C311" s="37" t="n"/>
    </row>
    <row r="312" ht="13.5" customHeight="1" s="107">
      <c r="A312" s="33" t="n"/>
      <c r="B312" s="91" t="n"/>
      <c r="C312" s="34" t="n"/>
    </row>
    <row r="313" ht="13.5" customHeight="1" s="107">
      <c r="A313" s="36" t="n"/>
      <c r="B313" s="92" t="n"/>
      <c r="C313" s="37" t="n"/>
    </row>
    <row r="314" ht="13.5" customHeight="1" s="107">
      <c r="A314" s="33" t="n"/>
      <c r="B314" s="91" t="n"/>
      <c r="C314" s="34" t="n"/>
    </row>
    <row r="315" ht="13.5" customHeight="1" s="107">
      <c r="A315" s="36" t="n"/>
      <c r="B315" s="92" t="n"/>
      <c r="C315" s="37" t="n"/>
    </row>
    <row r="316" ht="13.5" customHeight="1" s="107">
      <c r="A316" s="33" t="n"/>
      <c r="B316" s="91" t="n"/>
      <c r="C316" s="34" t="n"/>
    </row>
    <row r="317" ht="13.5" customHeight="1" s="107">
      <c r="A317" s="36" t="n"/>
      <c r="B317" s="92" t="n"/>
      <c r="C317" s="37" t="n"/>
    </row>
    <row r="318" ht="13.5" customHeight="1" s="107">
      <c r="A318" s="33" t="n"/>
      <c r="B318" s="91" t="n"/>
      <c r="C318" s="34" t="n"/>
    </row>
    <row r="319" ht="13.5" customHeight="1" s="107">
      <c r="A319" s="36" t="n"/>
      <c r="B319" s="92" t="n"/>
      <c r="C319" s="37" t="n"/>
    </row>
    <row r="320" ht="13.5" customHeight="1" s="107">
      <c r="A320" s="33" t="n"/>
      <c r="B320" s="91" t="n"/>
      <c r="C320" s="34" t="n"/>
    </row>
    <row r="321" ht="13.5" customHeight="1" s="107">
      <c r="A321" s="36" t="n"/>
      <c r="B321" s="92" t="n"/>
      <c r="C321" s="37" t="n"/>
    </row>
    <row r="322" ht="13.5" customHeight="1" s="107">
      <c r="A322" s="33" t="n"/>
      <c r="B322" s="91" t="n"/>
      <c r="C322" s="34" t="n"/>
    </row>
    <row r="323" ht="13.5" customHeight="1" s="107">
      <c r="A323" s="36" t="n"/>
      <c r="B323" s="92" t="n"/>
      <c r="C323" s="37" t="n"/>
    </row>
    <row r="324" ht="13.5" customHeight="1" s="107">
      <c r="A324" s="33" t="n"/>
      <c r="B324" s="91" t="n"/>
      <c r="C324" s="34" t="n"/>
    </row>
    <row r="325" ht="13.5" customHeight="1" s="107">
      <c r="A325" s="36" t="n"/>
      <c r="B325" s="92" t="n"/>
      <c r="C325" s="37" t="n"/>
    </row>
    <row r="326" ht="13.5" customHeight="1" s="107">
      <c r="A326" s="33" t="n"/>
      <c r="B326" s="91" t="n"/>
      <c r="C326" s="34" t="n"/>
    </row>
    <row r="327" ht="13.5" customHeight="1" s="107">
      <c r="A327" s="36" t="n"/>
      <c r="B327" s="92" t="n"/>
      <c r="C327" s="37" t="n"/>
    </row>
    <row r="328" ht="13.5" customHeight="1" s="107">
      <c r="A328" s="33" t="n"/>
      <c r="B328" s="91" t="n"/>
      <c r="C328" s="34" t="n"/>
    </row>
    <row r="329" ht="13.5" customHeight="1" s="107">
      <c r="A329" s="36" t="n"/>
      <c r="B329" s="92" t="n"/>
      <c r="C329" s="37" t="n"/>
    </row>
    <row r="330" ht="13.5" customHeight="1" s="107">
      <c r="A330" s="33" t="n"/>
      <c r="B330" s="91" t="n"/>
      <c r="C330" s="34" t="n"/>
    </row>
    <row r="331" ht="13.5" customHeight="1" s="107">
      <c r="A331" s="36" t="n"/>
      <c r="B331" s="92" t="n"/>
      <c r="C331" s="37" t="n"/>
    </row>
    <row r="332" ht="13.5" customHeight="1" s="107">
      <c r="A332" s="33" t="n"/>
      <c r="B332" s="91" t="n"/>
      <c r="C332" s="34" t="n"/>
    </row>
    <row r="333" ht="13.5" customHeight="1" s="107">
      <c r="A333" s="36" t="n"/>
      <c r="B333" s="92" t="n"/>
      <c r="C333" s="37" t="n"/>
    </row>
    <row r="334" ht="13.5" customHeight="1" s="107">
      <c r="A334" s="33" t="n"/>
      <c r="B334" s="91" t="n"/>
      <c r="C334" s="34" t="n"/>
    </row>
    <row r="335" ht="13.5" customHeight="1" s="107">
      <c r="A335" s="36" t="n"/>
      <c r="B335" s="92" t="n"/>
      <c r="C335" s="37" t="n"/>
    </row>
    <row r="336" ht="13.5" customHeight="1" s="107">
      <c r="A336" s="33" t="n"/>
      <c r="B336" s="91" t="n"/>
      <c r="C336" s="34" t="n"/>
    </row>
    <row r="337" ht="13.5" customHeight="1" s="107">
      <c r="A337" s="36" t="n"/>
      <c r="B337" s="92" t="n"/>
      <c r="C337" s="37" t="n"/>
    </row>
    <row r="338" ht="13.5" customHeight="1" s="107">
      <c r="A338" s="33" t="n"/>
      <c r="B338" s="91" t="n"/>
      <c r="C338" s="34" t="n"/>
    </row>
    <row r="339" ht="13.5" customHeight="1" s="107">
      <c r="A339" s="36" t="n"/>
      <c r="B339" s="92" t="n"/>
      <c r="C339" s="37" t="n"/>
    </row>
    <row r="340" ht="13.5" customHeight="1" s="107">
      <c r="A340" s="33" t="n"/>
      <c r="B340" s="91" t="n"/>
      <c r="C340" s="34" t="n"/>
    </row>
    <row r="341" ht="13.5" customHeight="1" s="107">
      <c r="A341" s="36" t="n"/>
      <c r="B341" s="92" t="n"/>
      <c r="C341" s="37" t="n"/>
    </row>
    <row r="342" ht="13.5" customHeight="1" s="107">
      <c r="A342" s="33" t="n"/>
      <c r="B342" s="91" t="n"/>
      <c r="C342" s="34" t="n"/>
    </row>
    <row r="343" ht="13.5" customHeight="1" s="107">
      <c r="A343" s="36" t="n"/>
      <c r="B343" s="92" t="n"/>
      <c r="C343" s="37" t="n"/>
    </row>
    <row r="344" ht="13.5" customHeight="1" s="107">
      <c r="A344" s="33" t="n"/>
      <c r="B344" s="91" t="n"/>
      <c r="C344" s="34" t="n"/>
    </row>
    <row r="345" ht="13.5" customHeight="1" s="107">
      <c r="A345" s="36" t="n"/>
      <c r="B345" s="92" t="n"/>
      <c r="C345" s="37" t="n"/>
    </row>
    <row r="346" ht="13.5" customHeight="1" s="107">
      <c r="A346" s="33" t="n"/>
      <c r="B346" s="91" t="n"/>
      <c r="C346" s="34" t="n"/>
    </row>
    <row r="347" ht="13.5" customHeight="1" s="107">
      <c r="A347" s="36" t="n"/>
      <c r="B347" s="92" t="n"/>
      <c r="C347" s="37" t="n"/>
    </row>
    <row r="348" ht="13.5" customHeight="1" s="107">
      <c r="A348" s="33" t="n"/>
      <c r="B348" s="91" t="n"/>
      <c r="C348" s="34" t="n"/>
    </row>
    <row r="349" ht="13.5" customHeight="1" s="107">
      <c r="A349" s="36" t="n"/>
      <c r="B349" s="92" t="n"/>
      <c r="C349" s="37" t="n"/>
    </row>
    <row r="350" ht="13.5" customHeight="1" s="107">
      <c r="A350" s="33" t="n"/>
      <c r="B350" s="91" t="n"/>
      <c r="C350" s="34" t="n"/>
    </row>
    <row r="351" ht="13.5" customHeight="1" s="107">
      <c r="A351" s="36" t="n"/>
      <c r="B351" s="92" t="n"/>
      <c r="C351" s="37" t="n"/>
    </row>
    <row r="352" ht="13.5" customHeight="1" s="107">
      <c r="A352" s="33" t="n"/>
      <c r="B352" s="91" t="n"/>
      <c r="C352" s="34" t="n"/>
    </row>
    <row r="353" ht="13.5" customHeight="1" s="107">
      <c r="A353" s="36" t="n"/>
      <c r="B353" s="92" t="n"/>
      <c r="C353" s="37" t="n"/>
    </row>
    <row r="354" ht="13.5" customHeight="1" s="107">
      <c r="A354" s="33" t="n"/>
      <c r="B354" s="91" t="n"/>
      <c r="C354" s="34" t="n"/>
    </row>
    <row r="355" ht="13.5" customHeight="1" s="107">
      <c r="A355" s="36" t="n"/>
      <c r="B355" s="92" t="n"/>
      <c r="C355" s="37" t="n"/>
    </row>
    <row r="356" ht="13.5" customHeight="1" s="107">
      <c r="A356" s="33" t="n"/>
      <c r="B356" s="91" t="n"/>
      <c r="C356" s="34" t="n"/>
    </row>
    <row r="357" ht="13.5" customHeight="1" s="107">
      <c r="A357" s="36" t="n"/>
      <c r="B357" s="92" t="n"/>
      <c r="C357" s="37" t="n"/>
    </row>
    <row r="358" ht="13.5" customHeight="1" s="107">
      <c r="A358" s="33" t="n"/>
      <c r="B358" s="91" t="n"/>
      <c r="C358" s="34" t="n"/>
    </row>
    <row r="359" ht="13.5" customHeight="1" s="107">
      <c r="A359" s="36" t="n"/>
      <c r="B359" s="92" t="n"/>
      <c r="C359" s="37" t="n"/>
    </row>
    <row r="360" ht="13.5" customHeight="1" s="107">
      <c r="A360" s="33" t="n"/>
      <c r="B360" s="91" t="n"/>
      <c r="C360" s="34" t="n"/>
    </row>
    <row r="361" ht="13.5" customHeight="1" s="107">
      <c r="A361" s="36" t="n"/>
      <c r="B361" s="92" t="n"/>
      <c r="C361" s="37" t="n"/>
    </row>
    <row r="362" ht="13.5" customHeight="1" s="107">
      <c r="A362" s="33" t="n"/>
      <c r="B362" s="91" t="n"/>
      <c r="C362" s="34" t="n"/>
    </row>
    <row r="363" ht="13.5" customHeight="1" s="107">
      <c r="A363" s="36" t="n"/>
      <c r="B363" s="92" t="n"/>
      <c r="C363" s="37" t="n"/>
    </row>
    <row r="364" ht="13.5" customHeight="1" s="107">
      <c r="A364" s="33" t="n"/>
      <c r="B364" s="91" t="n"/>
      <c r="C364" s="34" t="n"/>
    </row>
    <row r="365" ht="13.5" customHeight="1" s="107">
      <c r="A365" s="36" t="n"/>
      <c r="B365" s="92" t="n"/>
      <c r="C365" s="37" t="n"/>
    </row>
    <row r="366" ht="13.5" customHeight="1" s="107">
      <c r="A366" s="33" t="n"/>
      <c r="B366" s="91" t="n"/>
      <c r="C366" s="34" t="n"/>
    </row>
    <row r="367" ht="13.5" customHeight="1" s="107">
      <c r="A367" s="36" t="n"/>
      <c r="B367" s="92" t="n"/>
      <c r="C367" s="37" t="n"/>
    </row>
    <row r="368" ht="13.5" customHeight="1" s="107">
      <c r="A368" s="33" t="n"/>
      <c r="B368" s="91" t="n"/>
      <c r="C368" s="34" t="n"/>
    </row>
    <row r="369" ht="13.5" customHeight="1" s="107">
      <c r="A369" s="36" t="n"/>
      <c r="B369" s="92" t="n"/>
      <c r="C369" s="37" t="n"/>
    </row>
    <row r="370" ht="13.5" customHeight="1" s="107">
      <c r="A370" s="33" t="n"/>
      <c r="B370" s="91" t="n"/>
      <c r="C370" s="34" t="n"/>
    </row>
    <row r="371" ht="13.5" customHeight="1" s="107">
      <c r="A371" s="36" t="n"/>
      <c r="B371" s="92" t="n"/>
      <c r="C371" s="37" t="n"/>
    </row>
    <row r="372" ht="13.5" customHeight="1" s="107">
      <c r="A372" s="33" t="n"/>
      <c r="B372" s="91" t="n"/>
      <c r="C372" s="34" t="n"/>
    </row>
    <row r="373" ht="13.5" customHeight="1" s="107">
      <c r="A373" s="36" t="n"/>
      <c r="B373" s="92" t="n"/>
      <c r="C373" s="37" t="n"/>
    </row>
    <row r="374" ht="13.5" customHeight="1" s="107">
      <c r="A374" s="33" t="n"/>
      <c r="B374" s="91" t="n"/>
      <c r="C374" s="34" t="n"/>
    </row>
    <row r="375" ht="13.5" customHeight="1" s="107">
      <c r="A375" s="36" t="n"/>
      <c r="B375" s="92" t="n"/>
      <c r="C375" s="37" t="n"/>
    </row>
    <row r="376" ht="13.5" customHeight="1" s="107">
      <c r="A376" s="33" t="n"/>
      <c r="B376" s="91" t="n"/>
      <c r="C376" s="34" t="n"/>
    </row>
    <row r="377" ht="13.5" customHeight="1" s="107">
      <c r="A377" s="36" t="n"/>
      <c r="B377" s="92" t="n"/>
      <c r="C377" s="37" t="n"/>
    </row>
    <row r="378" ht="13.5" customHeight="1" s="107">
      <c r="A378" s="33" t="n"/>
      <c r="B378" s="91" t="n"/>
      <c r="C378" s="34" t="n"/>
    </row>
    <row r="379" ht="13.5" customHeight="1" s="107">
      <c r="A379" s="36" t="n"/>
      <c r="B379" s="92" t="n"/>
      <c r="C379" s="37" t="n"/>
    </row>
    <row r="380" ht="13.5" customHeight="1" s="107">
      <c r="A380" s="33" t="n"/>
      <c r="B380" s="91" t="n"/>
      <c r="C380" s="34" t="n"/>
    </row>
    <row r="381" ht="13.5" customHeight="1" s="107">
      <c r="A381" s="36" t="n"/>
      <c r="B381" s="92" t="n"/>
      <c r="C381" s="37" t="n"/>
    </row>
    <row r="382" ht="13.5" customHeight="1" s="107">
      <c r="A382" s="33" t="n"/>
      <c r="B382" s="91" t="n"/>
      <c r="C382" s="34" t="n"/>
    </row>
    <row r="383" ht="13.5" customHeight="1" s="107">
      <c r="A383" s="36" t="n"/>
      <c r="B383" s="92" t="n"/>
      <c r="C383" s="37" t="n"/>
    </row>
    <row r="384" ht="13.5" customHeight="1" s="107">
      <c r="A384" s="33" t="n"/>
      <c r="B384" s="91" t="n"/>
      <c r="C384" s="34" t="n"/>
    </row>
    <row r="385" ht="13.5" customHeight="1" s="107">
      <c r="A385" s="36" t="n"/>
      <c r="B385" s="92" t="n"/>
      <c r="C385" s="37" t="n"/>
    </row>
    <row r="386" ht="13.5" customHeight="1" s="107">
      <c r="A386" s="33" t="n"/>
      <c r="B386" s="91" t="n"/>
      <c r="C386" s="34" t="n"/>
    </row>
    <row r="387" ht="13.5" customHeight="1" s="107">
      <c r="A387" s="36" t="n"/>
      <c r="B387" s="92" t="n"/>
      <c r="C387" s="37" t="n"/>
    </row>
    <row r="388" ht="13.5" customHeight="1" s="107">
      <c r="A388" s="33" t="n"/>
      <c r="B388" s="91" t="n"/>
      <c r="C388" s="34" t="n"/>
    </row>
    <row r="389" ht="13.5" customHeight="1" s="107">
      <c r="A389" s="36" t="n"/>
      <c r="B389" s="92" t="n"/>
      <c r="C389" s="37" t="n"/>
    </row>
    <row r="390" ht="13.5" customHeight="1" s="107">
      <c r="A390" s="33" t="n"/>
      <c r="B390" s="91" t="n"/>
      <c r="C390" s="34" t="n"/>
    </row>
    <row r="391" ht="13.5" customHeight="1" s="107">
      <c r="A391" s="36" t="n"/>
      <c r="B391" s="92" t="n"/>
      <c r="C391" s="37" t="n"/>
    </row>
    <row r="392" ht="13.5" customHeight="1" s="107">
      <c r="A392" s="33" t="n"/>
      <c r="B392" s="91" t="n"/>
      <c r="C392" s="34" t="n"/>
    </row>
    <row r="393" ht="13.5" customHeight="1" s="107">
      <c r="A393" s="36" t="n"/>
      <c r="B393" s="92" t="n"/>
      <c r="C393" s="37" t="n"/>
    </row>
    <row r="394" ht="13.5" customHeight="1" s="107">
      <c r="A394" s="33" t="n"/>
      <c r="B394" s="91" t="n"/>
      <c r="C394" s="34" t="n"/>
    </row>
    <row r="395" ht="13.5" customHeight="1" s="107">
      <c r="A395" s="36" t="n"/>
      <c r="B395" s="92" t="n"/>
      <c r="C395" s="37" t="n"/>
    </row>
    <row r="396" ht="13.5" customHeight="1" s="107">
      <c r="A396" s="33" t="n"/>
      <c r="B396" s="91" t="n"/>
      <c r="C396" s="34" t="n"/>
    </row>
    <row r="397" ht="13.5" customHeight="1" s="107">
      <c r="A397" s="36" t="n"/>
      <c r="B397" s="92" t="n"/>
      <c r="C397" s="37" t="n"/>
    </row>
    <row r="398" ht="13.5" customHeight="1" s="107">
      <c r="A398" s="33" t="n"/>
      <c r="B398" s="91" t="n"/>
      <c r="C398" s="34" t="n"/>
    </row>
    <row r="399" ht="13.5" customHeight="1" s="107">
      <c r="A399" s="36" t="n"/>
      <c r="B399" s="92" t="n"/>
      <c r="C399" s="37" t="n"/>
    </row>
    <row r="400" ht="13.5" customHeight="1" s="107">
      <c r="A400" s="33" t="n"/>
      <c r="B400" s="91" t="n"/>
      <c r="C400" s="34" t="n"/>
    </row>
    <row r="401" ht="13.5" customHeight="1" s="107">
      <c r="A401" s="36" t="n"/>
      <c r="B401" s="92" t="n"/>
      <c r="C401" s="37" t="n"/>
    </row>
    <row r="402" ht="13.5" customHeight="1" s="107">
      <c r="A402" s="33" t="n"/>
      <c r="B402" s="91" t="n"/>
      <c r="C402" s="34" t="n"/>
    </row>
    <row r="403" ht="13.5" customHeight="1" s="107">
      <c r="A403" s="36" t="n"/>
      <c r="B403" s="92" t="n"/>
      <c r="C403" s="37" t="n"/>
    </row>
    <row r="404" ht="13.5" customHeight="1" s="107">
      <c r="A404" s="33" t="n"/>
      <c r="B404" s="91" t="n"/>
      <c r="C404" s="34" t="n"/>
    </row>
    <row r="405" ht="13.5" customHeight="1" s="107">
      <c r="A405" s="36" t="n"/>
      <c r="B405" s="92" t="n"/>
      <c r="C405" s="37" t="n"/>
    </row>
    <row r="406" ht="13.5" customHeight="1" s="107">
      <c r="A406" s="33" t="n"/>
      <c r="B406" s="91" t="n"/>
      <c r="C406" s="34" t="n"/>
    </row>
    <row r="407" ht="13.5" customHeight="1" s="107">
      <c r="A407" s="36" t="n"/>
      <c r="B407" s="92" t="n"/>
      <c r="C407" s="37" t="n"/>
    </row>
    <row r="408" ht="13.5" customHeight="1" s="107">
      <c r="A408" s="33" t="n"/>
      <c r="B408" s="91" t="n"/>
      <c r="C408" s="34" t="n"/>
    </row>
    <row r="409" ht="13.5" customHeight="1" s="107">
      <c r="A409" s="36" t="n"/>
      <c r="B409" s="92" t="n"/>
      <c r="C409" s="37" t="n"/>
    </row>
    <row r="410" ht="13.5" customHeight="1" s="107">
      <c r="A410" s="33" t="n"/>
      <c r="B410" s="91" t="n"/>
      <c r="C410" s="34" t="n"/>
    </row>
    <row r="411" ht="13.5" customHeight="1" s="107">
      <c r="A411" s="36" t="n"/>
      <c r="B411" s="92" t="n"/>
      <c r="C411" s="37" t="n"/>
    </row>
    <row r="412" ht="13.5" customHeight="1" s="107">
      <c r="A412" s="33" t="n"/>
      <c r="B412" s="91" t="n"/>
      <c r="C412" s="34" t="n"/>
    </row>
    <row r="413" ht="13.5" customHeight="1" s="107">
      <c r="A413" s="36" t="n"/>
      <c r="B413" s="92" t="n"/>
      <c r="C413" s="37" t="n"/>
    </row>
    <row r="414" ht="13.5" customHeight="1" s="107">
      <c r="A414" s="33" t="n"/>
      <c r="B414" s="91" t="n"/>
      <c r="C414" s="34" t="n"/>
    </row>
    <row r="415" ht="13.5" customHeight="1" s="107">
      <c r="A415" s="36" t="n"/>
      <c r="B415" s="92" t="n"/>
      <c r="C415" s="37" t="n"/>
    </row>
    <row r="416" ht="13.5" customHeight="1" s="107">
      <c r="A416" s="33" t="n"/>
      <c r="B416" s="91" t="n"/>
      <c r="C416" s="34" t="n"/>
    </row>
    <row r="417" ht="13.5" customHeight="1" s="107">
      <c r="A417" s="36" t="n"/>
      <c r="B417" s="92" t="n"/>
      <c r="C417" s="37" t="n"/>
    </row>
    <row r="418" ht="13.5" customHeight="1" s="107">
      <c r="A418" s="33" t="n"/>
      <c r="B418" s="91" t="n"/>
      <c r="C418" s="34" t="n"/>
    </row>
    <row r="419" ht="13.5" customHeight="1" s="107">
      <c r="A419" s="36" t="n"/>
      <c r="B419" s="92" t="n"/>
      <c r="C419" s="37" t="n"/>
    </row>
    <row r="420" ht="13.5" customHeight="1" s="107">
      <c r="A420" s="33" t="n"/>
      <c r="B420" s="91" t="n"/>
      <c r="C420" s="34" t="n"/>
    </row>
    <row r="421" ht="13.5" customHeight="1" s="107">
      <c r="A421" s="36" t="n"/>
      <c r="B421" s="92" t="n"/>
      <c r="C421" s="37" t="n"/>
    </row>
    <row r="422" ht="13.5" customHeight="1" s="107">
      <c r="A422" s="33" t="n"/>
      <c r="B422" s="91" t="n"/>
      <c r="C422" s="34" t="n"/>
    </row>
    <row r="423" ht="13.5" customHeight="1" s="107">
      <c r="A423" s="36" t="n"/>
      <c r="B423" s="92" t="n"/>
      <c r="C423" s="37" t="n"/>
    </row>
    <row r="424" ht="13.5" customHeight="1" s="107">
      <c r="A424" s="33" t="n"/>
      <c r="B424" s="91" t="n"/>
      <c r="C424" s="34" t="n"/>
    </row>
    <row r="425" ht="13.5" customHeight="1" s="107">
      <c r="A425" s="36" t="n"/>
      <c r="B425" s="92" t="n"/>
      <c r="C425" s="37" t="n"/>
    </row>
    <row r="426" ht="13.5" customHeight="1" s="107">
      <c r="A426" s="33" t="n"/>
      <c r="B426" s="91" t="n"/>
      <c r="C426" s="34" t="n"/>
    </row>
    <row r="427" ht="13.5" customHeight="1" s="107">
      <c r="A427" s="36" t="n"/>
      <c r="B427" s="92" t="n"/>
      <c r="C427" s="37" t="n"/>
    </row>
    <row r="428" ht="13.5" customHeight="1" s="107">
      <c r="A428" s="33" t="n"/>
      <c r="B428" s="91" t="n"/>
      <c r="C428" s="34" t="n"/>
    </row>
    <row r="429" ht="13.5" customHeight="1" s="107">
      <c r="A429" s="36" t="n"/>
      <c r="B429" s="92" t="n"/>
      <c r="C429" s="37" t="n"/>
    </row>
    <row r="430" ht="13.5" customHeight="1" s="107">
      <c r="A430" s="33" t="n"/>
      <c r="B430" s="91" t="n"/>
      <c r="C430" s="34" t="n"/>
    </row>
    <row r="431" ht="13.5" customHeight="1" s="107">
      <c r="A431" s="36" t="n"/>
      <c r="B431" s="92" t="n"/>
      <c r="C431" s="37" t="n"/>
    </row>
    <row r="432" ht="13.5" customHeight="1" s="107">
      <c r="A432" s="33" t="n"/>
      <c r="B432" s="91" t="n"/>
      <c r="C432" s="34" t="n"/>
    </row>
    <row r="433" ht="13.5" customHeight="1" s="107">
      <c r="A433" s="36" t="n"/>
      <c r="B433" s="92" t="n"/>
      <c r="C433" s="37" t="n"/>
    </row>
    <row r="434" ht="13.5" customHeight="1" s="107">
      <c r="A434" s="33" t="n"/>
      <c r="B434" s="91" t="n"/>
      <c r="C434" s="34" t="n"/>
    </row>
    <row r="435" ht="13.5" customHeight="1" s="107">
      <c r="A435" s="36" t="n"/>
      <c r="B435" s="92" t="n"/>
      <c r="C435" s="37" t="n"/>
    </row>
    <row r="436" ht="13.5" customHeight="1" s="107">
      <c r="A436" s="33" t="n"/>
      <c r="B436" s="91" t="n"/>
      <c r="C436" s="34" t="n"/>
    </row>
    <row r="437" ht="13.5" customHeight="1" s="107">
      <c r="A437" s="36" t="n"/>
      <c r="B437" s="92" t="n"/>
      <c r="C437" s="37" t="n"/>
    </row>
    <row r="438" ht="13.5" customHeight="1" s="107">
      <c r="A438" s="33" t="n"/>
      <c r="B438" s="91" t="n"/>
      <c r="C438" s="34" t="n"/>
    </row>
    <row r="439" ht="13.5" customHeight="1" s="107">
      <c r="A439" s="36" t="n"/>
      <c r="B439" s="92" t="n"/>
      <c r="C439" s="37" t="n"/>
    </row>
    <row r="440" ht="13.5" customHeight="1" s="107">
      <c r="A440" s="33" t="n"/>
      <c r="B440" s="91" t="n"/>
      <c r="C440" s="34" t="n"/>
    </row>
    <row r="441" ht="13.5" customHeight="1" s="107">
      <c r="A441" s="36" t="n"/>
      <c r="B441" s="92" t="n"/>
      <c r="C441" s="37" t="n"/>
    </row>
    <row r="442" ht="13.5" customHeight="1" s="107">
      <c r="A442" s="33" t="n"/>
      <c r="B442" s="91" t="n"/>
      <c r="C442" s="34" t="n"/>
    </row>
    <row r="443" ht="13.5" customHeight="1" s="107">
      <c r="A443" s="36" t="n"/>
      <c r="B443" s="92" t="n"/>
      <c r="C443" s="37" t="n"/>
    </row>
    <row r="444" ht="13.5" customHeight="1" s="107">
      <c r="A444" s="33" t="n"/>
      <c r="B444" s="91" t="n"/>
      <c r="C444" s="34" t="n"/>
    </row>
    <row r="445" ht="13.5" customHeight="1" s="107">
      <c r="A445" s="36" t="n"/>
      <c r="B445" s="92" t="n"/>
      <c r="C445" s="37" t="n"/>
    </row>
    <row r="446" ht="13.5" customHeight="1" s="107">
      <c r="A446" s="33" t="n"/>
      <c r="B446" s="91" t="n"/>
      <c r="C446" s="34" t="n"/>
    </row>
    <row r="447" ht="13.5" customHeight="1" s="107">
      <c r="A447" s="36" t="n"/>
      <c r="B447" s="92" t="n"/>
      <c r="C447" s="37" t="n"/>
    </row>
    <row r="448" ht="13.5" customHeight="1" s="107">
      <c r="A448" s="33" t="n"/>
      <c r="B448" s="91" t="n"/>
      <c r="C448" s="34" t="n"/>
    </row>
    <row r="449" ht="13.5" customHeight="1" s="107">
      <c r="A449" s="36" t="n"/>
      <c r="B449" s="92" t="n"/>
      <c r="C449" s="37" t="n"/>
    </row>
    <row r="450" ht="13.5" customHeight="1" s="107">
      <c r="A450" s="33" t="n"/>
      <c r="B450" s="91" t="n"/>
      <c r="C450" s="34" t="n"/>
    </row>
    <row r="451" ht="13.5" customHeight="1" s="107">
      <c r="A451" s="36" t="n"/>
      <c r="B451" s="92" t="n"/>
      <c r="C451" s="37" t="n"/>
    </row>
    <row r="452" ht="13.5" customHeight="1" s="107">
      <c r="A452" s="33" t="n"/>
      <c r="B452" s="91" t="n"/>
      <c r="C452" s="34" t="n"/>
    </row>
    <row r="453" ht="13.5" customHeight="1" s="107">
      <c r="A453" s="36" t="n"/>
      <c r="B453" s="92" t="n"/>
      <c r="C453" s="37" t="n"/>
    </row>
    <row r="454" ht="13.5" customHeight="1" s="107">
      <c r="A454" s="33" t="n"/>
      <c r="B454" s="91" t="n"/>
      <c r="C454" s="34" t="n"/>
    </row>
    <row r="455" ht="13.5" customHeight="1" s="107">
      <c r="A455" s="36" t="n"/>
      <c r="B455" s="92" t="n"/>
      <c r="C455" s="37" t="n"/>
    </row>
    <row r="456" ht="13.5" customHeight="1" s="107">
      <c r="A456" s="33" t="n"/>
      <c r="B456" s="91" t="n"/>
      <c r="C456" s="34" t="n"/>
    </row>
    <row r="457" ht="13.5" customHeight="1" s="107">
      <c r="A457" s="36" t="n"/>
      <c r="B457" s="92" t="n"/>
      <c r="C457" s="37" t="n"/>
    </row>
    <row r="458" ht="13.5" customHeight="1" s="107">
      <c r="A458" s="33" t="n"/>
      <c r="B458" s="91" t="n"/>
      <c r="C458" s="34" t="n"/>
    </row>
    <row r="459" ht="13.5" customHeight="1" s="107">
      <c r="A459" s="36" t="n"/>
      <c r="B459" s="92" t="n"/>
      <c r="C459" s="37" t="n"/>
    </row>
    <row r="460" ht="13.5" customHeight="1" s="107">
      <c r="A460" s="33" t="n"/>
      <c r="B460" s="91" t="n"/>
      <c r="C460" s="34" t="n"/>
    </row>
    <row r="461" ht="13.5" customHeight="1" s="107">
      <c r="A461" s="36" t="n"/>
      <c r="B461" s="92" t="n"/>
      <c r="C461" s="37" t="n"/>
    </row>
    <row r="462" ht="13.5" customHeight="1" s="107">
      <c r="A462" s="33" t="n"/>
      <c r="B462" s="91" t="n"/>
      <c r="C462" s="34" t="n"/>
    </row>
    <row r="463" ht="13.5" customHeight="1" s="107">
      <c r="A463" s="36" t="n"/>
      <c r="B463" s="92" t="n"/>
      <c r="C463" s="37" t="n"/>
    </row>
    <row r="464" ht="13.5" customHeight="1" s="107">
      <c r="A464" s="33" t="n"/>
      <c r="B464" s="91" t="n"/>
      <c r="C464" s="34" t="n"/>
    </row>
    <row r="465" ht="13.5" customHeight="1" s="107">
      <c r="A465" s="36" t="n"/>
      <c r="B465" s="92" t="n"/>
      <c r="C465" s="37" t="n"/>
    </row>
    <row r="466" ht="13.5" customHeight="1" s="107">
      <c r="A466" s="33" t="n"/>
      <c r="B466" s="91" t="n"/>
      <c r="C466" s="34" t="n"/>
    </row>
    <row r="467" ht="13.5" customHeight="1" s="107">
      <c r="A467" s="36" t="n"/>
      <c r="B467" s="92" t="n"/>
      <c r="C467" s="37" t="n"/>
    </row>
    <row r="468" ht="13.5" customHeight="1" s="107">
      <c r="A468" s="33" t="n"/>
      <c r="B468" s="91" t="n"/>
      <c r="C468" s="34" t="n"/>
    </row>
    <row r="469" ht="13.5" customHeight="1" s="107">
      <c r="A469" s="36" t="n"/>
      <c r="B469" s="92" t="n"/>
      <c r="C469" s="37" t="n"/>
    </row>
    <row r="470" ht="13.5" customHeight="1" s="107">
      <c r="A470" s="33" t="n"/>
      <c r="B470" s="91" t="n"/>
      <c r="C470" s="34" t="n"/>
    </row>
    <row r="471" ht="13.5" customHeight="1" s="107">
      <c r="A471" s="36" t="n"/>
      <c r="B471" s="92" t="n"/>
      <c r="C471" s="37" t="n"/>
    </row>
    <row r="472" ht="13.5" customHeight="1" s="107">
      <c r="A472" s="33" t="n"/>
      <c r="B472" s="91" t="n"/>
      <c r="C472" s="34" t="n"/>
    </row>
    <row r="473" ht="13.5" customHeight="1" s="107">
      <c r="A473" s="36" t="n"/>
      <c r="B473" s="92" t="n"/>
      <c r="C473" s="37" t="n"/>
    </row>
    <row r="474" ht="13.5" customHeight="1" s="107">
      <c r="A474" s="33" t="n"/>
      <c r="B474" s="91" t="n"/>
      <c r="C474" s="34" t="n"/>
    </row>
    <row r="475" ht="13.5" customHeight="1" s="107">
      <c r="A475" s="36" t="n"/>
      <c r="B475" s="92" t="n"/>
      <c r="C475" s="37" t="n"/>
    </row>
    <row r="476" ht="13.5" customHeight="1" s="107">
      <c r="A476" s="33" t="n"/>
      <c r="B476" s="91" t="n"/>
      <c r="C476" s="34" t="n"/>
    </row>
    <row r="477" ht="13.5" customHeight="1" s="107">
      <c r="A477" s="36" t="n"/>
      <c r="B477" s="92" t="n"/>
      <c r="C477" s="37" t="n"/>
    </row>
    <row r="478" ht="13.5" customHeight="1" s="107">
      <c r="A478" s="33" t="n"/>
      <c r="B478" s="91" t="n"/>
      <c r="C478" s="34" t="n"/>
    </row>
    <row r="479" ht="13.5" customHeight="1" s="107">
      <c r="A479" s="36" t="n"/>
      <c r="B479" s="92" t="n"/>
      <c r="C479" s="37" t="n"/>
    </row>
    <row r="480" ht="13.5" customHeight="1" s="107">
      <c r="A480" s="33" t="n"/>
      <c r="B480" s="91" t="n"/>
      <c r="C480" s="34" t="n"/>
    </row>
    <row r="481" ht="13.5" customHeight="1" s="107">
      <c r="A481" s="36" t="n"/>
      <c r="B481" s="92" t="n"/>
      <c r="C481" s="37" t="n"/>
    </row>
    <row r="482" ht="13.5" customHeight="1" s="107">
      <c r="A482" s="33" t="n"/>
      <c r="B482" s="91" t="n"/>
      <c r="C482" s="34" t="n"/>
    </row>
    <row r="483" ht="13.5" customHeight="1" s="107">
      <c r="A483" s="36" t="n"/>
      <c r="B483" s="92" t="n"/>
      <c r="C483" s="37" t="n"/>
    </row>
    <row r="484" ht="13.5" customHeight="1" s="107">
      <c r="A484" s="33" t="n"/>
      <c r="B484" s="91" t="n"/>
      <c r="C484" s="34" t="n"/>
    </row>
    <row r="485" ht="13.5" customHeight="1" s="107">
      <c r="A485" s="36" t="n"/>
      <c r="B485" s="92" t="n"/>
      <c r="C485" s="37" t="n"/>
    </row>
    <row r="486" ht="13.5" customHeight="1" s="107">
      <c r="A486" s="33" t="n"/>
      <c r="B486" s="91" t="n"/>
      <c r="C486" s="34" t="n"/>
    </row>
    <row r="487" ht="13.5" customHeight="1" s="107">
      <c r="A487" s="36" t="n"/>
      <c r="B487" s="92" t="n"/>
      <c r="C487" s="37" t="n"/>
    </row>
    <row r="488" ht="13.5" customHeight="1" s="107">
      <c r="A488" s="33" t="n"/>
      <c r="B488" s="91" t="n"/>
      <c r="C488" s="34" t="n"/>
    </row>
    <row r="489" ht="13.5" customHeight="1" s="107">
      <c r="A489" s="36" t="n"/>
      <c r="B489" s="92" t="n"/>
      <c r="C489" s="37" t="n"/>
    </row>
    <row r="490" ht="13.5" customHeight="1" s="107">
      <c r="A490" s="33" t="n"/>
      <c r="B490" s="91" t="n"/>
      <c r="C490" s="34" t="n"/>
    </row>
    <row r="491" ht="13.5" customHeight="1" s="107">
      <c r="A491" s="36" t="n"/>
      <c r="B491" s="92" t="n"/>
      <c r="C491" s="37" t="n"/>
    </row>
    <row r="492" ht="13.5" customHeight="1" s="107">
      <c r="A492" s="33" t="n"/>
      <c r="B492" s="91" t="n"/>
      <c r="C492" s="34" t="n"/>
    </row>
    <row r="493" ht="13.5" customHeight="1" s="107">
      <c r="A493" s="36" t="n"/>
      <c r="B493" s="92" t="n"/>
      <c r="C493" s="37" t="n"/>
    </row>
    <row r="494" ht="13.5" customHeight="1" s="107">
      <c r="A494" s="33" t="n"/>
      <c r="B494" s="91" t="n"/>
      <c r="C494" s="34" t="n"/>
    </row>
    <row r="495" ht="13.5" customHeight="1" s="107">
      <c r="A495" s="36" t="n"/>
      <c r="B495" s="92" t="n"/>
      <c r="C495" s="37" t="n"/>
    </row>
    <row r="496" ht="13.5" customHeight="1" s="107">
      <c r="A496" s="33" t="n"/>
      <c r="B496" s="91" t="n"/>
      <c r="C496" s="34" t="n"/>
    </row>
    <row r="497" ht="13.5" customHeight="1" s="107">
      <c r="A497" s="36" t="n"/>
      <c r="B497" s="92" t="n"/>
      <c r="C497" s="37" t="n"/>
    </row>
    <row r="498" ht="13.5" customHeight="1" s="107">
      <c r="A498" s="33" t="n"/>
      <c r="B498" s="91" t="n"/>
      <c r="C498" s="34" t="n"/>
    </row>
    <row r="499" ht="13.5" customHeight="1" s="107">
      <c r="A499" s="36" t="n"/>
      <c r="B499" s="92" t="n"/>
      <c r="C499" s="37" t="n"/>
    </row>
    <row r="500" ht="13.5" customHeight="1" s="107">
      <c r="A500" s="33" t="n"/>
      <c r="B500" s="91" t="n"/>
      <c r="C500" s="34" t="n"/>
    </row>
    <row r="501" ht="13.5" customHeight="1" s="107">
      <c r="A501" s="36" t="n"/>
      <c r="B501" s="92" t="n"/>
      <c r="C501" s="37" t="n"/>
    </row>
    <row r="502" ht="13.5" customHeight="1" s="107">
      <c r="A502" s="33" t="n"/>
      <c r="B502" s="91" t="n"/>
      <c r="C502" s="34" t="n"/>
    </row>
    <row r="503" ht="13.5" customHeight="1" s="107">
      <c r="A503" s="36" t="n"/>
      <c r="B503" s="92" t="n"/>
      <c r="C503" s="37" t="n"/>
    </row>
    <row r="504" ht="13.5" customHeight="1" s="107">
      <c r="A504" s="33" t="n"/>
      <c r="B504" s="91" t="n"/>
      <c r="C504" s="34" t="n"/>
    </row>
    <row r="505" ht="13.5" customHeight="1" s="107">
      <c r="A505" s="36" t="n"/>
      <c r="B505" s="92" t="n"/>
      <c r="C505" s="37" t="n"/>
    </row>
    <row r="506" ht="13.5" customHeight="1" s="107">
      <c r="A506" s="33" t="n"/>
      <c r="B506" s="91" t="n"/>
      <c r="C506" s="34" t="n"/>
    </row>
    <row r="507" ht="13.5" customHeight="1" s="107">
      <c r="A507" s="36" t="n"/>
      <c r="B507" s="92" t="n"/>
      <c r="C507" s="37" t="n"/>
    </row>
    <row r="508" ht="13.5" customHeight="1" s="107">
      <c r="A508" s="33" t="n"/>
      <c r="B508" s="91" t="n"/>
      <c r="C508" s="34" t="n"/>
    </row>
    <row r="509" ht="13.5" customHeight="1" s="107">
      <c r="A509" s="36" t="n"/>
      <c r="B509" s="92" t="n"/>
      <c r="C509" s="37" t="n"/>
    </row>
    <row r="510" ht="13.5" customHeight="1" s="107">
      <c r="A510" s="33" t="n"/>
      <c r="B510" s="91" t="n"/>
      <c r="C510" s="34" t="n"/>
    </row>
    <row r="511" ht="13.5" customHeight="1" s="107">
      <c r="A511" s="36" t="n"/>
      <c r="B511" s="92" t="n"/>
      <c r="C511" s="37" t="n"/>
    </row>
    <row r="512" ht="13.5" customHeight="1" s="107">
      <c r="A512" s="33" t="n"/>
      <c r="B512" s="91" t="n"/>
      <c r="C512" s="34" t="n"/>
    </row>
    <row r="513" ht="13.5" customHeight="1" s="107">
      <c r="A513" s="36" t="n"/>
      <c r="B513" s="92" t="n"/>
      <c r="C513" s="37" t="n"/>
    </row>
    <row r="514" ht="13.5" customHeight="1" s="107">
      <c r="A514" s="33" t="n"/>
      <c r="B514" s="91" t="n"/>
      <c r="C514" s="34" t="n"/>
    </row>
    <row r="515" ht="13.5" customHeight="1" s="107">
      <c r="A515" s="36" t="n"/>
      <c r="B515" s="92" t="n"/>
      <c r="C515" s="37" t="n"/>
    </row>
    <row r="516" ht="13.5" customHeight="1" s="107">
      <c r="A516" s="33" t="n"/>
      <c r="B516" s="91" t="n"/>
      <c r="C516" s="34" t="n"/>
    </row>
    <row r="517" ht="13.5" customHeight="1" s="107">
      <c r="A517" s="36" t="n"/>
      <c r="B517" s="92" t="n"/>
      <c r="C517" s="37" t="n"/>
    </row>
    <row r="518" ht="13.5" customHeight="1" s="107">
      <c r="A518" s="33" t="n"/>
      <c r="B518" s="91" t="n"/>
      <c r="C518" s="34" t="n"/>
    </row>
    <row r="519" ht="13.5" customHeight="1" s="107">
      <c r="A519" s="36" t="n"/>
      <c r="B519" s="92" t="n"/>
      <c r="C519" s="37" t="n"/>
    </row>
    <row r="520" ht="13.5" customHeight="1" s="107">
      <c r="A520" s="33" t="n"/>
      <c r="B520" s="91" t="n"/>
      <c r="C520" s="34" t="n"/>
    </row>
    <row r="521" ht="13.5" customHeight="1" s="107">
      <c r="A521" s="36" t="n"/>
      <c r="B521" s="92" t="n"/>
      <c r="C521" s="37" t="n"/>
    </row>
    <row r="522" ht="13.5" customHeight="1" s="107">
      <c r="A522" s="33" t="n"/>
      <c r="B522" s="91" t="n"/>
      <c r="C522" s="34" t="n"/>
    </row>
    <row r="523" ht="13.5" customHeight="1" s="107">
      <c r="A523" s="36" t="n"/>
      <c r="B523" s="92" t="n"/>
      <c r="C523" s="37" t="n"/>
    </row>
    <row r="524" ht="13.5" customHeight="1" s="107">
      <c r="A524" s="33" t="n"/>
      <c r="B524" s="91" t="n"/>
      <c r="C524" s="34" t="n"/>
    </row>
    <row r="525" ht="13.5" customHeight="1" s="107">
      <c r="A525" s="36" t="n"/>
      <c r="B525" s="92" t="n"/>
      <c r="C525" s="37" t="n"/>
    </row>
    <row r="526" ht="13.5" customHeight="1" s="107">
      <c r="A526" s="33" t="n"/>
      <c r="B526" s="91" t="n"/>
      <c r="C526" s="34" t="n"/>
    </row>
    <row r="527" ht="13.5" customHeight="1" s="107">
      <c r="A527" s="36" t="n"/>
      <c r="B527" s="92" t="n"/>
      <c r="C527" s="37" t="n"/>
    </row>
    <row r="528" ht="13.5" customHeight="1" s="107">
      <c r="A528" s="33" t="n"/>
      <c r="B528" s="91" t="n"/>
      <c r="C528" s="34" t="n"/>
    </row>
    <row r="529" ht="13.5" customHeight="1" s="107">
      <c r="A529" s="36" t="n"/>
      <c r="B529" s="92" t="n"/>
      <c r="C529" s="37" t="n"/>
    </row>
    <row r="530" ht="13.5" customHeight="1" s="107">
      <c r="A530" s="33" t="n"/>
      <c r="B530" s="91" t="n"/>
      <c r="C530" s="34" t="n"/>
    </row>
    <row r="531" ht="13.5" customHeight="1" s="107">
      <c r="A531" s="36" t="n"/>
      <c r="B531" s="92" t="n"/>
      <c r="C531" s="37" t="n"/>
    </row>
    <row r="532" ht="13.5" customHeight="1" s="107">
      <c r="A532" s="33" t="n"/>
      <c r="B532" s="91" t="n"/>
      <c r="C532" s="34" t="n"/>
    </row>
    <row r="533" ht="13.5" customHeight="1" s="107">
      <c r="A533" s="36" t="n"/>
      <c r="B533" s="92" t="n"/>
      <c r="C533" s="37" t="n"/>
    </row>
    <row r="534" ht="13.5" customHeight="1" s="107">
      <c r="A534" s="33" t="n"/>
      <c r="B534" s="91" t="n"/>
      <c r="C534" s="34" t="n"/>
    </row>
    <row r="535" ht="13.5" customHeight="1" s="107">
      <c r="A535" s="36" t="n"/>
      <c r="B535" s="92" t="n"/>
      <c r="C535" s="37" t="n"/>
    </row>
    <row r="536" ht="13.5" customHeight="1" s="107">
      <c r="A536" s="33" t="n"/>
      <c r="B536" s="91" t="n"/>
      <c r="C536" s="34" t="n"/>
    </row>
    <row r="537" ht="13.5" customHeight="1" s="107">
      <c r="A537" s="36" t="n"/>
      <c r="B537" s="92" t="n"/>
      <c r="C537" s="37" t="n"/>
    </row>
    <row r="538" ht="13.5" customHeight="1" s="107">
      <c r="A538" s="33" t="n"/>
      <c r="B538" s="91" t="n"/>
      <c r="C538" s="34" t="n"/>
    </row>
    <row r="539" ht="13.5" customHeight="1" s="107">
      <c r="A539" s="36" t="n"/>
      <c r="B539" s="92" t="n"/>
      <c r="C539" s="37" t="n"/>
    </row>
    <row r="540" ht="13.5" customHeight="1" s="107">
      <c r="A540" s="33" t="n"/>
      <c r="B540" s="91" t="n"/>
      <c r="C540" s="34" t="n"/>
    </row>
    <row r="541" ht="13.5" customHeight="1" s="107">
      <c r="A541" s="36" t="n"/>
      <c r="B541" s="92" t="n"/>
      <c r="C541" s="37" t="n"/>
    </row>
    <row r="542" ht="13.5" customHeight="1" s="107">
      <c r="A542" s="33" t="n"/>
      <c r="B542" s="91" t="n"/>
      <c r="C542" s="34" t="n"/>
    </row>
    <row r="543" ht="13.5" customHeight="1" s="107">
      <c r="A543" s="36" t="n"/>
      <c r="B543" s="92" t="n"/>
      <c r="C543" s="37" t="n"/>
    </row>
    <row r="544" ht="13.5" customHeight="1" s="107">
      <c r="A544" s="33" t="n"/>
      <c r="B544" s="91" t="n"/>
      <c r="C544" s="34" t="n"/>
    </row>
    <row r="545" ht="13.5" customHeight="1" s="107">
      <c r="A545" s="36" t="n"/>
      <c r="B545" s="92" t="n"/>
      <c r="C545" s="37" t="n"/>
    </row>
    <row r="546" ht="13.5" customHeight="1" s="107">
      <c r="A546" s="33" t="n"/>
      <c r="B546" s="91" t="n"/>
      <c r="C546" s="34" t="n"/>
    </row>
    <row r="547" ht="13.5" customHeight="1" s="107">
      <c r="A547" s="36" t="n"/>
      <c r="B547" s="92" t="n"/>
      <c r="C547" s="37" t="n"/>
    </row>
    <row r="548" ht="13.5" customHeight="1" s="107">
      <c r="A548" s="33" t="n"/>
      <c r="B548" s="91" t="n"/>
      <c r="C548" s="34" t="n"/>
    </row>
    <row r="549" ht="13.5" customHeight="1" s="107">
      <c r="A549" s="36" t="n"/>
      <c r="B549" s="92" t="n"/>
      <c r="C549" s="37" t="n"/>
    </row>
    <row r="550" ht="13.5" customHeight="1" s="107">
      <c r="A550" s="33" t="n"/>
      <c r="B550" s="91" t="n"/>
      <c r="C550" s="34" t="n"/>
    </row>
    <row r="551" ht="13.5" customHeight="1" s="107">
      <c r="A551" s="36" t="n"/>
      <c r="B551" s="92" t="n"/>
      <c r="C551" s="37" t="n"/>
    </row>
    <row r="552" ht="13.5" customHeight="1" s="107">
      <c r="A552" s="33" t="n"/>
      <c r="B552" s="91" t="n"/>
      <c r="C552" s="34" t="n"/>
    </row>
    <row r="553" ht="13.5" customHeight="1" s="107">
      <c r="A553" s="36" t="n"/>
      <c r="B553" s="92" t="n"/>
      <c r="C553" s="37" t="n"/>
    </row>
    <row r="554" ht="13.5" customHeight="1" s="107">
      <c r="A554" s="33" t="n"/>
      <c r="B554" s="91" t="n"/>
      <c r="C554" s="34" t="n"/>
    </row>
    <row r="555" ht="13.5" customHeight="1" s="107">
      <c r="A555" s="36" t="n"/>
      <c r="B555" s="92" t="n"/>
      <c r="C555" s="37" t="n"/>
    </row>
    <row r="556" ht="13.5" customHeight="1" s="107">
      <c r="A556" s="33" t="n"/>
      <c r="B556" s="91" t="n"/>
      <c r="C556" s="34" t="n"/>
    </row>
    <row r="557" ht="13.5" customHeight="1" s="107">
      <c r="A557" s="36" t="n"/>
      <c r="B557" s="92" t="n"/>
      <c r="C557" s="37" t="n"/>
    </row>
    <row r="558" ht="13.5" customHeight="1" s="107">
      <c r="A558" s="33" t="n"/>
      <c r="B558" s="91" t="n"/>
      <c r="C558" s="34" t="n"/>
    </row>
    <row r="559" ht="13.5" customHeight="1" s="107">
      <c r="A559" s="36" t="n"/>
      <c r="B559" s="92" t="n"/>
      <c r="C559" s="37" t="n"/>
    </row>
    <row r="560" ht="13.5" customHeight="1" s="107">
      <c r="A560" s="33" t="n"/>
      <c r="B560" s="91" t="n"/>
      <c r="C560" s="34" t="n"/>
    </row>
    <row r="561" ht="13.5" customHeight="1" s="107">
      <c r="A561" s="36" t="n"/>
      <c r="B561" s="92" t="n"/>
      <c r="C561" s="37" t="n"/>
    </row>
    <row r="562" ht="13.5" customHeight="1" s="107">
      <c r="A562" s="33" t="n"/>
      <c r="B562" s="91" t="n"/>
      <c r="C562" s="34" t="n"/>
    </row>
    <row r="563" ht="13.5" customHeight="1" s="107">
      <c r="A563" s="36" t="n"/>
      <c r="B563" s="92" t="n"/>
      <c r="C563" s="37" t="n"/>
    </row>
    <row r="564" ht="13.5" customHeight="1" s="107">
      <c r="A564" s="33" t="n"/>
      <c r="B564" s="91" t="n"/>
      <c r="C564" s="34" t="n"/>
    </row>
    <row r="565" ht="13.5" customHeight="1" s="107">
      <c r="A565" s="36" t="n"/>
      <c r="B565" s="92" t="n"/>
      <c r="C565" s="37" t="n"/>
    </row>
    <row r="566" ht="13.5" customHeight="1" s="107">
      <c r="A566" s="33" t="n"/>
      <c r="B566" s="91" t="n"/>
      <c r="C566" s="34" t="n"/>
    </row>
    <row r="567" ht="13.5" customHeight="1" s="107">
      <c r="A567" s="36" t="n"/>
      <c r="B567" s="92" t="n"/>
      <c r="C567" s="37" t="n"/>
    </row>
    <row r="568" ht="13.5" customHeight="1" s="107">
      <c r="A568" s="33" t="n"/>
      <c r="B568" s="91" t="n"/>
      <c r="C568" s="34" t="n"/>
    </row>
    <row r="569" ht="13.5" customHeight="1" s="107">
      <c r="A569" s="36" t="n"/>
      <c r="B569" s="92" t="n"/>
      <c r="C569" s="37" t="n"/>
    </row>
    <row r="570" ht="13.5" customHeight="1" s="107">
      <c r="A570" s="33" t="n"/>
      <c r="B570" s="91" t="n"/>
      <c r="C570" s="34" t="n"/>
    </row>
    <row r="571" ht="13.5" customHeight="1" s="107">
      <c r="A571" s="36" t="n"/>
      <c r="B571" s="92" t="n"/>
      <c r="C571" s="37" t="n"/>
    </row>
    <row r="572" ht="13.5" customHeight="1" s="107">
      <c r="A572" s="33" t="n"/>
      <c r="B572" s="91" t="n"/>
      <c r="C572" s="34" t="n"/>
    </row>
    <row r="573" ht="13.5" customHeight="1" s="107">
      <c r="A573" s="36" t="n"/>
      <c r="B573" s="92" t="n"/>
      <c r="C573" s="37" t="n"/>
    </row>
    <row r="574" ht="13.5" customHeight="1" s="107">
      <c r="A574" s="33" t="n"/>
      <c r="B574" s="91" t="n"/>
      <c r="C574" s="34" t="n"/>
    </row>
    <row r="575" ht="13.5" customHeight="1" s="107">
      <c r="A575" s="36" t="n"/>
      <c r="B575" s="92" t="n"/>
      <c r="C575" s="37" t="n"/>
    </row>
    <row r="576" ht="13.5" customHeight="1" s="107">
      <c r="A576" s="33" t="n"/>
      <c r="B576" s="91" t="n"/>
      <c r="C576" s="34" t="n"/>
    </row>
    <row r="577" ht="13.5" customHeight="1" s="107">
      <c r="A577" s="36" t="n"/>
      <c r="B577" s="92" t="n"/>
      <c r="C577" s="37" t="n"/>
    </row>
    <row r="578" ht="13.5" customHeight="1" s="107">
      <c r="A578" s="33" t="n"/>
      <c r="B578" s="91" t="n"/>
      <c r="C578" s="34" t="n"/>
    </row>
    <row r="579" ht="13.5" customHeight="1" s="107">
      <c r="A579" s="36" t="n"/>
      <c r="B579" s="92" t="n"/>
      <c r="C579" s="37" t="n"/>
    </row>
    <row r="580" ht="13.5" customHeight="1" s="107">
      <c r="A580" s="33" t="n"/>
      <c r="B580" s="91" t="n"/>
      <c r="C580" s="34" t="n"/>
    </row>
    <row r="581" ht="13.5" customHeight="1" s="107">
      <c r="A581" s="36" t="n"/>
      <c r="B581" s="92" t="n"/>
      <c r="C581" s="37" t="n"/>
    </row>
    <row r="582" ht="13.5" customHeight="1" s="107">
      <c r="A582" s="33" t="n"/>
      <c r="B582" s="91" t="n"/>
      <c r="C582" s="34" t="n"/>
    </row>
    <row r="583" ht="13.5" customHeight="1" s="107">
      <c r="A583" s="36" t="n"/>
      <c r="B583" s="92" t="n"/>
      <c r="C583" s="37" t="n"/>
    </row>
    <row r="584" ht="13.5" customHeight="1" s="107">
      <c r="A584" s="33" t="n"/>
      <c r="B584" s="91" t="n"/>
      <c r="C584" s="34" t="n"/>
    </row>
    <row r="585" ht="13.5" customHeight="1" s="107">
      <c r="A585" s="36" t="n"/>
      <c r="B585" s="92" t="n"/>
      <c r="C585" s="37" t="n"/>
    </row>
    <row r="586" ht="13.5" customHeight="1" s="107">
      <c r="A586" s="33" t="n"/>
      <c r="B586" s="91" t="n"/>
      <c r="C586" s="34" t="n"/>
    </row>
    <row r="587" ht="13.5" customHeight="1" s="107">
      <c r="A587" s="36" t="n"/>
      <c r="B587" s="92" t="n"/>
      <c r="C587" s="37" t="n"/>
    </row>
    <row r="588" ht="13.5" customHeight="1" s="107">
      <c r="A588" s="33" t="n"/>
      <c r="B588" s="91" t="n"/>
      <c r="C588" s="34" t="n"/>
    </row>
    <row r="589" ht="13.5" customHeight="1" s="107">
      <c r="A589" s="36" t="n"/>
      <c r="B589" s="92" t="n"/>
      <c r="C589" s="37" t="n"/>
    </row>
    <row r="590" ht="13.5" customHeight="1" s="107">
      <c r="A590" s="33" t="n"/>
      <c r="B590" s="91" t="n"/>
      <c r="C590" s="34" t="n"/>
    </row>
    <row r="591" ht="13.5" customHeight="1" s="107">
      <c r="A591" s="36" t="n"/>
      <c r="B591" s="92" t="n"/>
      <c r="C591" s="37" t="n"/>
    </row>
    <row r="592" ht="13.5" customHeight="1" s="107">
      <c r="A592" s="33" t="n"/>
      <c r="B592" s="91" t="n"/>
      <c r="C592" s="34" t="n"/>
    </row>
    <row r="593" ht="13.5" customHeight="1" s="107">
      <c r="A593" s="36" t="n"/>
      <c r="B593" s="92" t="n"/>
      <c r="C593" s="37" t="n"/>
    </row>
    <row r="594" ht="13.5" customHeight="1" s="107">
      <c r="A594" s="33" t="n"/>
      <c r="B594" s="91" t="n"/>
      <c r="C594" s="34" t="n"/>
    </row>
    <row r="595" ht="13.5" customHeight="1" s="107">
      <c r="A595" s="36" t="n"/>
      <c r="B595" s="92" t="n"/>
      <c r="C595" s="37" t="n"/>
    </row>
    <row r="596" ht="13.5" customHeight="1" s="107">
      <c r="A596" s="33" t="n"/>
      <c r="B596" s="91" t="n"/>
      <c r="C596" s="34" t="n"/>
    </row>
    <row r="597" ht="13.5" customHeight="1" s="107">
      <c r="A597" s="36" t="n"/>
      <c r="B597" s="92" t="n"/>
      <c r="C597" s="37" t="n"/>
    </row>
    <row r="598" ht="13.5" customHeight="1" s="107">
      <c r="A598" s="33" t="n"/>
      <c r="B598" s="91" t="n"/>
      <c r="C598" s="34" t="n"/>
    </row>
    <row r="599" ht="13.5" customHeight="1" s="107">
      <c r="A599" s="36" t="n"/>
      <c r="B599" s="92" t="n"/>
      <c r="C599" s="37" t="n"/>
    </row>
    <row r="600" ht="13.5" customHeight="1" s="107">
      <c r="A600" s="33" t="n"/>
      <c r="B600" s="91" t="n"/>
      <c r="C600" s="34" t="n"/>
    </row>
    <row r="601" ht="13.5" customHeight="1" s="107">
      <c r="A601" s="36" t="n"/>
      <c r="B601" s="92" t="n"/>
      <c r="C601" s="37" t="n"/>
    </row>
    <row r="602" ht="13.5" customHeight="1" s="107">
      <c r="A602" s="33" t="n"/>
      <c r="B602" s="91" t="n"/>
      <c r="C602" s="34" t="n"/>
    </row>
    <row r="603" ht="13.5" customHeight="1" s="107">
      <c r="A603" s="36" t="n"/>
      <c r="B603" s="92" t="n"/>
      <c r="C603" s="37" t="n"/>
    </row>
    <row r="604" ht="13.5" customHeight="1" s="107">
      <c r="A604" s="33" t="n"/>
      <c r="B604" s="91" t="n"/>
      <c r="C604" s="34" t="n"/>
    </row>
    <row r="605" ht="13.5" customHeight="1" s="107">
      <c r="A605" s="36" t="n"/>
      <c r="B605" s="92" t="n"/>
      <c r="C605" s="37" t="n"/>
    </row>
    <row r="606" ht="13.5" customHeight="1" s="107">
      <c r="A606" s="33" t="n"/>
      <c r="B606" s="91" t="n"/>
      <c r="C606" s="34" t="n"/>
    </row>
    <row r="607" ht="13.5" customHeight="1" s="107">
      <c r="A607" s="36" t="n"/>
      <c r="B607" s="92" t="n"/>
      <c r="C607" s="37" t="n"/>
    </row>
    <row r="608" ht="13.5" customHeight="1" s="107">
      <c r="A608" s="33" t="n"/>
      <c r="B608" s="91" t="n"/>
      <c r="C608" s="34" t="n"/>
    </row>
    <row r="609" ht="13.5" customHeight="1" s="107">
      <c r="A609" s="36" t="n"/>
      <c r="B609" s="92" t="n"/>
      <c r="C609" s="37" t="n"/>
    </row>
    <row r="610" ht="13.5" customHeight="1" s="107">
      <c r="A610" s="33" t="n"/>
      <c r="B610" s="91" t="n"/>
      <c r="C610" s="34" t="n"/>
    </row>
    <row r="611" ht="13.5" customHeight="1" s="107">
      <c r="A611" s="36" t="n"/>
      <c r="B611" s="92" t="n"/>
      <c r="C611" s="37" t="n"/>
    </row>
    <row r="612" ht="13.5" customHeight="1" s="107">
      <c r="A612" s="33" t="n"/>
      <c r="B612" s="91" t="n"/>
      <c r="C612" s="34" t="n"/>
    </row>
    <row r="613" ht="13.5" customHeight="1" s="107">
      <c r="A613" s="36" t="n"/>
      <c r="B613" s="92" t="n"/>
      <c r="C613" s="37" t="n"/>
    </row>
    <row r="614" ht="13.5" customHeight="1" s="107">
      <c r="A614" s="33" t="n"/>
      <c r="B614" s="91" t="n"/>
      <c r="C614" s="34" t="n"/>
    </row>
    <row r="615" ht="13.5" customHeight="1" s="107">
      <c r="A615" s="36" t="n"/>
      <c r="B615" s="92" t="n"/>
      <c r="C615" s="37" t="n"/>
    </row>
    <row r="616" ht="13.5" customHeight="1" s="107">
      <c r="A616" s="33" t="n"/>
      <c r="B616" s="91" t="n"/>
      <c r="C616" s="34" t="n"/>
    </row>
    <row r="617" ht="13.5" customHeight="1" s="107">
      <c r="A617" s="36" t="n"/>
      <c r="B617" s="92" t="n"/>
      <c r="C617" s="37" t="n"/>
    </row>
    <row r="618" ht="13.5" customHeight="1" s="107">
      <c r="A618" s="33" t="n"/>
      <c r="B618" s="91" t="n"/>
      <c r="C618" s="34" t="n"/>
    </row>
    <row r="619" ht="13.5" customHeight="1" s="107">
      <c r="A619" s="36" t="n"/>
      <c r="B619" s="92" t="n"/>
      <c r="C619" s="37" t="n"/>
    </row>
    <row r="620" ht="13.5" customHeight="1" s="107">
      <c r="A620" s="33" t="n"/>
      <c r="B620" s="91" t="n"/>
      <c r="C620" s="34" t="n"/>
    </row>
    <row r="621" ht="13.5" customHeight="1" s="107">
      <c r="A621" s="36" t="n"/>
      <c r="B621" s="92" t="n"/>
      <c r="C621" s="37" t="n"/>
    </row>
    <row r="622" ht="13.5" customHeight="1" s="107">
      <c r="A622" s="33" t="n"/>
      <c r="B622" s="91" t="n"/>
      <c r="C622" s="34" t="n"/>
    </row>
    <row r="623" ht="13.5" customHeight="1" s="107">
      <c r="A623" s="36" t="n"/>
      <c r="B623" s="92" t="n"/>
      <c r="C623" s="37" t="n"/>
    </row>
    <row r="624" ht="13.5" customHeight="1" s="107">
      <c r="A624" s="33" t="n"/>
      <c r="B624" s="91" t="n"/>
      <c r="C624" s="34" t="n"/>
    </row>
    <row r="625" ht="13.5" customHeight="1" s="107">
      <c r="A625" s="36" t="n"/>
      <c r="B625" s="92" t="n"/>
      <c r="C625" s="37" t="n"/>
    </row>
    <row r="626" ht="13.5" customHeight="1" s="107">
      <c r="A626" s="33" t="n"/>
      <c r="B626" s="91" t="n"/>
      <c r="C626" s="34" t="n"/>
    </row>
    <row r="627" ht="13.5" customHeight="1" s="107">
      <c r="A627" s="36" t="n"/>
      <c r="B627" s="92" t="n"/>
      <c r="C627" s="37" t="n"/>
    </row>
    <row r="628" ht="13.5" customHeight="1" s="107">
      <c r="A628" s="33" t="n"/>
      <c r="B628" s="91" t="n"/>
      <c r="C628" s="34" t="n"/>
    </row>
    <row r="629" ht="13.5" customHeight="1" s="107">
      <c r="A629" s="36" t="n"/>
      <c r="B629" s="92" t="n"/>
      <c r="C629" s="37" t="n"/>
    </row>
    <row r="630" ht="13.5" customHeight="1" s="107">
      <c r="A630" s="33" t="n"/>
      <c r="B630" s="91" t="n"/>
      <c r="C630" s="34" t="n"/>
    </row>
    <row r="631" ht="13.5" customHeight="1" s="107">
      <c r="A631" s="36" t="n"/>
      <c r="B631" s="92" t="n"/>
      <c r="C631" s="37" t="n"/>
    </row>
    <row r="632" ht="13.5" customHeight="1" s="107">
      <c r="A632" s="33" t="n"/>
      <c r="B632" s="91" t="n"/>
      <c r="C632" s="34" t="n"/>
    </row>
    <row r="633" ht="13.5" customHeight="1" s="107">
      <c r="A633" s="36" t="n"/>
      <c r="B633" s="92" t="n"/>
      <c r="C633" s="37" t="n"/>
    </row>
    <row r="634" ht="13.5" customHeight="1" s="107">
      <c r="A634" s="33" t="n"/>
      <c r="B634" s="91" t="n"/>
      <c r="C634" s="34" t="n"/>
    </row>
    <row r="635" ht="13.5" customHeight="1" s="107">
      <c r="A635" s="36" t="n"/>
      <c r="B635" s="92" t="n"/>
      <c r="C635" s="37" t="n"/>
    </row>
    <row r="636" ht="13.5" customHeight="1" s="107">
      <c r="A636" s="33" t="n"/>
      <c r="B636" s="91" t="n"/>
      <c r="C636" s="34" t="n"/>
    </row>
    <row r="637" ht="13.5" customHeight="1" s="107">
      <c r="A637" s="36" t="n"/>
      <c r="B637" s="92" t="n"/>
      <c r="C637" s="37" t="n"/>
    </row>
    <row r="638" ht="13.5" customHeight="1" s="107">
      <c r="A638" s="33" t="n"/>
      <c r="B638" s="91" t="n"/>
      <c r="C638" s="34" t="n"/>
    </row>
    <row r="639" ht="13.5" customHeight="1" s="107">
      <c r="A639" s="36" t="n"/>
      <c r="B639" s="92" t="n"/>
      <c r="C639" s="37" t="n"/>
    </row>
    <row r="640" ht="13.5" customHeight="1" s="107">
      <c r="A640" s="33" t="n"/>
      <c r="B640" s="91" t="n"/>
      <c r="C640" s="34" t="n"/>
    </row>
    <row r="641" ht="13.5" customHeight="1" s="107">
      <c r="A641" s="36" t="n"/>
      <c r="B641" s="92" t="n"/>
      <c r="C641" s="37" t="n"/>
    </row>
    <row r="642" ht="13.5" customHeight="1" s="107">
      <c r="A642" s="33" t="n"/>
      <c r="B642" s="91" t="n"/>
      <c r="C642" s="34" t="n"/>
    </row>
    <row r="643" ht="13.5" customHeight="1" s="107">
      <c r="A643" s="36" t="n"/>
      <c r="B643" s="92" t="n"/>
      <c r="C643" s="37" t="n"/>
    </row>
    <row r="644" ht="13.5" customHeight="1" s="107">
      <c r="A644" s="33" t="n"/>
      <c r="B644" s="91" t="n"/>
      <c r="C644" s="34" t="n"/>
    </row>
    <row r="645" ht="13.5" customHeight="1" s="107">
      <c r="A645" s="36" t="n"/>
      <c r="B645" s="92" t="n"/>
      <c r="C645" s="37" t="n"/>
    </row>
    <row r="646" ht="13.5" customHeight="1" s="107">
      <c r="A646" s="33" t="n"/>
      <c r="B646" s="91" t="n"/>
      <c r="C646" s="34" t="n"/>
    </row>
    <row r="647" ht="13.5" customHeight="1" s="107">
      <c r="A647" s="36" t="n"/>
      <c r="B647" s="92" t="n"/>
      <c r="C647" s="37" t="n"/>
    </row>
    <row r="648" ht="13.5" customHeight="1" s="107">
      <c r="A648" s="33" t="n"/>
      <c r="B648" s="91" t="n"/>
      <c r="C648" s="34" t="n"/>
    </row>
    <row r="649" ht="13.5" customHeight="1" s="107">
      <c r="A649" s="36" t="n"/>
      <c r="B649" s="92" t="n"/>
      <c r="C649" s="37" t="n"/>
    </row>
    <row r="650" ht="13.5" customHeight="1" s="107">
      <c r="A650" s="33" t="n"/>
      <c r="B650" s="91" t="n"/>
      <c r="C650" s="34" t="n"/>
    </row>
    <row r="651" ht="13.5" customHeight="1" s="107">
      <c r="A651" s="36" t="n"/>
      <c r="B651" s="92" t="n"/>
      <c r="C651" s="37" t="n"/>
    </row>
    <row r="652" ht="13.5" customHeight="1" s="107">
      <c r="A652" s="33" t="n"/>
      <c r="B652" s="91" t="n"/>
      <c r="C652" s="34" t="n"/>
    </row>
    <row r="653" ht="13.5" customHeight="1" s="107">
      <c r="A653" s="36" t="n"/>
      <c r="B653" s="92" t="n"/>
      <c r="C653" s="37" t="n"/>
    </row>
    <row r="654" ht="13.5" customHeight="1" s="107">
      <c r="A654" s="33" t="n"/>
      <c r="B654" s="91" t="n"/>
      <c r="C654" s="34" t="n"/>
    </row>
    <row r="655" ht="13.5" customHeight="1" s="107">
      <c r="A655" s="36" t="n"/>
      <c r="B655" s="92" t="n"/>
      <c r="C655" s="37" t="n"/>
    </row>
    <row r="656" ht="13.5" customHeight="1" s="107">
      <c r="A656" s="33" t="n"/>
      <c r="B656" s="91" t="n"/>
      <c r="C656" s="34" t="n"/>
    </row>
    <row r="657" ht="13.5" customHeight="1" s="107">
      <c r="A657" s="36" t="n"/>
      <c r="B657" s="92" t="n"/>
      <c r="C657" s="37" t="n"/>
    </row>
    <row r="658" ht="13.5" customHeight="1" s="107">
      <c r="A658" s="33" t="n"/>
      <c r="B658" s="91" t="n"/>
      <c r="C658" s="34" t="n"/>
    </row>
    <row r="659" ht="13.5" customHeight="1" s="107">
      <c r="A659" s="36" t="n"/>
      <c r="B659" s="92" t="n"/>
      <c r="C659" s="37" t="n"/>
    </row>
    <row r="660" ht="13.5" customHeight="1" s="107">
      <c r="A660" s="33" t="n"/>
      <c r="B660" s="91" t="n"/>
      <c r="C660" s="34" t="n"/>
    </row>
    <row r="661" ht="13.5" customHeight="1" s="107">
      <c r="A661" s="36" t="n"/>
      <c r="B661" s="92" t="n"/>
      <c r="C661" s="37" t="n"/>
    </row>
    <row r="662" ht="13.5" customHeight="1" s="107">
      <c r="A662" s="33" t="n"/>
      <c r="B662" s="91" t="n"/>
      <c r="C662" s="34" t="n"/>
    </row>
    <row r="663" ht="13.5" customHeight="1" s="107">
      <c r="A663" s="36" t="n"/>
      <c r="B663" s="92" t="n"/>
      <c r="C663" s="37" t="n"/>
    </row>
    <row r="664" ht="13.5" customHeight="1" s="107">
      <c r="A664" s="33" t="n"/>
      <c r="B664" s="91" t="n"/>
      <c r="C664" s="34" t="n"/>
    </row>
    <row r="665" ht="13.5" customHeight="1" s="107">
      <c r="A665" s="36" t="n"/>
      <c r="B665" s="92" t="n"/>
      <c r="C665" s="37" t="n"/>
    </row>
    <row r="666" ht="13.5" customHeight="1" s="107">
      <c r="A666" s="33" t="n"/>
      <c r="B666" s="91" t="n"/>
      <c r="C666" s="34" t="n"/>
    </row>
    <row r="667" ht="13.5" customHeight="1" s="107">
      <c r="A667" s="36" t="n"/>
      <c r="B667" s="92" t="n"/>
      <c r="C667" s="37" t="n"/>
    </row>
    <row r="668" ht="13.5" customHeight="1" s="107">
      <c r="A668" s="33" t="n"/>
      <c r="B668" s="91" t="n"/>
      <c r="C668" s="34" t="n"/>
    </row>
    <row r="669" ht="13.5" customHeight="1" s="107">
      <c r="A669" s="36" t="n"/>
      <c r="B669" s="92" t="n"/>
      <c r="C669" s="37" t="n"/>
    </row>
    <row r="670" ht="13.5" customHeight="1" s="107">
      <c r="A670" s="33" t="n"/>
      <c r="B670" s="91" t="n"/>
      <c r="C670" s="34" t="n"/>
    </row>
    <row r="671" ht="13.5" customHeight="1" s="107">
      <c r="A671" s="36" t="n"/>
      <c r="B671" s="92" t="n"/>
      <c r="C671" s="37" t="n"/>
    </row>
    <row r="672" ht="13.5" customHeight="1" s="107">
      <c r="A672" s="33" t="n"/>
      <c r="B672" s="91" t="n"/>
      <c r="C672" s="34" t="n"/>
    </row>
    <row r="673" ht="13.5" customHeight="1" s="107">
      <c r="A673" s="36" t="n"/>
      <c r="B673" s="92" t="n"/>
      <c r="C673" s="37" t="n"/>
    </row>
    <row r="674" ht="13.5" customHeight="1" s="107">
      <c r="A674" s="33" t="n"/>
      <c r="B674" s="91" t="n"/>
      <c r="C674" s="34" t="n"/>
    </row>
    <row r="675" ht="13.5" customHeight="1" s="107">
      <c r="A675" s="36" t="n"/>
      <c r="B675" s="92" t="n"/>
      <c r="C675" s="37" t="n"/>
    </row>
    <row r="676" ht="13.5" customHeight="1" s="107">
      <c r="A676" s="33" t="n"/>
      <c r="B676" s="91" t="n"/>
      <c r="C676" s="34" t="n"/>
    </row>
    <row r="677" ht="13.5" customHeight="1" s="107">
      <c r="A677" s="36" t="n"/>
      <c r="B677" s="92" t="n"/>
      <c r="C677" s="37" t="n"/>
    </row>
    <row r="678" ht="13.5" customHeight="1" s="107">
      <c r="A678" s="33" t="n"/>
      <c r="B678" s="91" t="n"/>
      <c r="C678" s="34" t="n"/>
    </row>
    <row r="679" ht="13.5" customHeight="1" s="107">
      <c r="A679" s="36" t="n"/>
      <c r="B679" s="92" t="n"/>
      <c r="C679" s="37" t="n"/>
    </row>
    <row r="680" ht="13.5" customHeight="1" s="107">
      <c r="A680" s="33" t="n"/>
      <c r="B680" s="91" t="n"/>
      <c r="C680" s="34" t="n"/>
    </row>
    <row r="681" ht="13.5" customHeight="1" s="107">
      <c r="A681" s="36" t="n"/>
      <c r="B681" s="92" t="n"/>
      <c r="C681" s="37" t="n"/>
    </row>
    <row r="682" ht="13.5" customHeight="1" s="107">
      <c r="A682" s="33" t="n"/>
      <c r="B682" s="91" t="n"/>
      <c r="C682" s="34" t="n"/>
    </row>
    <row r="683" ht="13.5" customHeight="1" s="107">
      <c r="A683" s="36" t="n"/>
      <c r="B683" s="92" t="n"/>
      <c r="C683" s="37" t="n"/>
    </row>
    <row r="684" ht="13.5" customHeight="1" s="107">
      <c r="A684" s="33" t="n"/>
      <c r="B684" s="91" t="n"/>
      <c r="C684" s="34" t="n"/>
    </row>
    <row r="685" ht="13.5" customHeight="1" s="107">
      <c r="A685" s="36" t="n"/>
      <c r="B685" s="92" t="n"/>
      <c r="C685" s="37" t="n"/>
    </row>
    <row r="686" ht="13.5" customHeight="1" s="107">
      <c r="A686" s="33" t="n"/>
      <c r="B686" s="91" t="n"/>
      <c r="C686" s="34" t="n"/>
    </row>
    <row r="687" ht="13.5" customHeight="1" s="107">
      <c r="A687" s="36" t="n"/>
      <c r="B687" s="92" t="n"/>
      <c r="C687" s="37" t="n"/>
    </row>
    <row r="688" ht="13.5" customHeight="1" s="107">
      <c r="A688" s="33" t="n"/>
      <c r="B688" s="91" t="n"/>
      <c r="C688" s="34" t="n"/>
    </row>
    <row r="689" ht="13.5" customHeight="1" s="107">
      <c r="A689" s="36" t="n"/>
      <c r="B689" s="92" t="n"/>
      <c r="C689" s="37" t="n"/>
    </row>
    <row r="690" ht="13.5" customHeight="1" s="107">
      <c r="A690" s="33" t="n"/>
      <c r="B690" s="91" t="n"/>
      <c r="C690" s="34" t="n"/>
    </row>
    <row r="691" ht="13.5" customHeight="1" s="107">
      <c r="A691" s="36" t="n"/>
      <c r="B691" s="92" t="n"/>
      <c r="C691" s="37" t="n"/>
    </row>
    <row r="692" ht="13.5" customHeight="1" s="107">
      <c r="A692" s="33" t="n"/>
      <c r="B692" s="91" t="n"/>
      <c r="C692" s="34" t="n"/>
    </row>
    <row r="693" ht="13.5" customHeight="1" s="107">
      <c r="A693" s="36" t="n"/>
      <c r="B693" s="92" t="n"/>
      <c r="C693" s="37" t="n"/>
    </row>
    <row r="694" ht="13.5" customHeight="1" s="107">
      <c r="A694" s="33" t="n"/>
      <c r="B694" s="91" t="n"/>
      <c r="C694" s="34" t="n"/>
    </row>
    <row r="695" ht="13.5" customHeight="1" s="107">
      <c r="A695" s="36" t="n"/>
      <c r="B695" s="92" t="n"/>
      <c r="C695" s="37" t="n"/>
    </row>
    <row r="696" ht="13.5" customHeight="1" s="107">
      <c r="A696" s="33" t="n"/>
      <c r="B696" s="91" t="n"/>
      <c r="C696" s="34" t="n"/>
    </row>
    <row r="697" ht="13.5" customHeight="1" s="107">
      <c r="A697" s="36" t="n"/>
      <c r="B697" s="92" t="n"/>
      <c r="C697" s="37" t="n"/>
    </row>
    <row r="698" ht="13.5" customHeight="1" s="107">
      <c r="A698" s="33" t="n"/>
      <c r="B698" s="91" t="n"/>
      <c r="C698" s="34" t="n"/>
    </row>
    <row r="699" ht="13.5" customHeight="1" s="107">
      <c r="A699" s="36" t="n"/>
      <c r="B699" s="92" t="n"/>
      <c r="C699" s="37" t="n"/>
    </row>
    <row r="700" ht="13.5" customHeight="1" s="107">
      <c r="A700" s="33" t="n"/>
      <c r="B700" s="91" t="n"/>
      <c r="C700" s="34" t="n"/>
    </row>
    <row r="701" ht="13.5" customHeight="1" s="107">
      <c r="A701" s="36" t="n"/>
      <c r="B701" s="92" t="n"/>
      <c r="C701" s="37" t="n"/>
    </row>
    <row r="702" ht="13.5" customHeight="1" s="107">
      <c r="A702" s="33" t="n"/>
      <c r="B702" s="91" t="n"/>
      <c r="C702" s="34" t="n"/>
    </row>
    <row r="703" ht="13.5" customHeight="1" s="107">
      <c r="A703" s="36" t="n"/>
      <c r="B703" s="92" t="n"/>
      <c r="C703" s="37" t="n"/>
    </row>
    <row r="704" ht="13.5" customHeight="1" s="107">
      <c r="A704" s="33" t="n"/>
      <c r="B704" s="91" t="n"/>
      <c r="C704" s="34" t="n"/>
    </row>
    <row r="705" ht="13.5" customHeight="1" s="107">
      <c r="A705" s="36" t="n"/>
      <c r="B705" s="92" t="n"/>
      <c r="C705" s="37" t="n"/>
    </row>
    <row r="706" ht="13.5" customHeight="1" s="107">
      <c r="A706" s="33" t="n"/>
      <c r="B706" s="91" t="n"/>
      <c r="C706" s="34" t="n"/>
    </row>
    <row r="707" ht="13.5" customHeight="1" s="107">
      <c r="A707" s="36" t="n"/>
      <c r="B707" s="92" t="n"/>
      <c r="C707" s="37" t="n"/>
    </row>
    <row r="708" ht="13.5" customHeight="1" s="107">
      <c r="A708" s="33" t="n"/>
      <c r="B708" s="91" t="n"/>
      <c r="C708" s="34" t="n"/>
    </row>
    <row r="709" ht="13.5" customHeight="1" s="107">
      <c r="A709" s="36" t="n"/>
      <c r="B709" s="92" t="n"/>
      <c r="C709" s="37" t="n"/>
    </row>
    <row r="710" ht="13.5" customHeight="1" s="107">
      <c r="A710" s="33" t="n"/>
      <c r="B710" s="91" t="n"/>
      <c r="C710" s="34" t="n"/>
    </row>
    <row r="711" ht="13.5" customHeight="1" s="107">
      <c r="A711" s="36" t="n"/>
      <c r="B711" s="92" t="n"/>
      <c r="C711" s="37" t="n"/>
    </row>
    <row r="712" ht="13.5" customHeight="1" s="107">
      <c r="A712" s="33" t="n"/>
      <c r="B712" s="91" t="n"/>
      <c r="C712" s="34" t="n"/>
    </row>
    <row r="713" ht="13.5" customHeight="1" s="107">
      <c r="A713" s="36" t="n"/>
      <c r="B713" s="92" t="n"/>
      <c r="C713" s="37" t="n"/>
    </row>
    <row r="714" ht="13.5" customHeight="1" s="107">
      <c r="A714" s="33" t="n"/>
      <c r="B714" s="91" t="n"/>
      <c r="C714" s="34" t="n"/>
    </row>
    <row r="715" ht="13.5" customHeight="1" s="107">
      <c r="A715" s="36" t="n"/>
      <c r="B715" s="92" t="n"/>
      <c r="C715" s="37" t="n"/>
    </row>
    <row r="716" ht="13.5" customHeight="1" s="107">
      <c r="A716" s="33" t="n"/>
      <c r="B716" s="91" t="n"/>
      <c r="C716" s="34" t="n"/>
    </row>
    <row r="717" ht="13.5" customHeight="1" s="107">
      <c r="A717" s="36" t="n"/>
      <c r="B717" s="92" t="n"/>
      <c r="C717" s="37" t="n"/>
    </row>
    <row r="718" ht="13.5" customHeight="1" s="107">
      <c r="A718" s="33" t="n"/>
      <c r="B718" s="91" t="n"/>
      <c r="C718" s="34" t="n"/>
    </row>
    <row r="719" ht="13.5" customHeight="1" s="107">
      <c r="A719" s="36" t="n"/>
      <c r="B719" s="92" t="n"/>
      <c r="C719" s="37" t="n"/>
    </row>
    <row r="720" ht="13.5" customHeight="1" s="107">
      <c r="A720" s="33" t="n"/>
      <c r="B720" s="91" t="n"/>
      <c r="C720" s="34" t="n"/>
    </row>
    <row r="721" ht="13.5" customHeight="1" s="107">
      <c r="A721" s="36" t="n"/>
      <c r="B721" s="92" t="n"/>
      <c r="C721" s="37" t="n"/>
    </row>
    <row r="722" ht="13.5" customHeight="1" s="107">
      <c r="A722" s="33" t="n"/>
      <c r="B722" s="91" t="n"/>
      <c r="C722" s="34" t="n"/>
    </row>
    <row r="723" ht="13.5" customHeight="1" s="107">
      <c r="A723" s="36" t="n"/>
      <c r="B723" s="92" t="n"/>
      <c r="C723" s="37" t="n"/>
    </row>
    <row r="724" ht="13.5" customHeight="1" s="107">
      <c r="A724" s="33" t="n"/>
      <c r="B724" s="91" t="n"/>
      <c r="C724" s="34" t="n"/>
    </row>
    <row r="725" ht="13.5" customHeight="1" s="107">
      <c r="A725" s="36" t="n"/>
      <c r="B725" s="92" t="n"/>
      <c r="C725" s="37" t="n"/>
    </row>
    <row r="726" ht="13.5" customHeight="1" s="107">
      <c r="A726" s="33" t="n"/>
      <c r="B726" s="91" t="n"/>
      <c r="C726" s="34" t="n"/>
    </row>
    <row r="727" ht="13.5" customHeight="1" s="107">
      <c r="A727" s="36" t="n"/>
      <c r="B727" s="92" t="n"/>
      <c r="C727" s="37" t="n"/>
    </row>
    <row r="728" ht="13.5" customHeight="1" s="107">
      <c r="A728" s="33" t="n"/>
      <c r="B728" s="91" t="n"/>
      <c r="C728" s="34" t="n"/>
    </row>
    <row r="729" ht="13.5" customHeight="1" s="107">
      <c r="A729" s="36" t="n"/>
      <c r="B729" s="92" t="n"/>
      <c r="C729" s="37" t="n"/>
    </row>
    <row r="730" ht="13.5" customHeight="1" s="107">
      <c r="A730" s="33" t="n"/>
      <c r="B730" s="91" t="n"/>
      <c r="C730" s="34" t="n"/>
    </row>
    <row r="731" ht="13.5" customHeight="1" s="107">
      <c r="A731" s="36" t="n"/>
      <c r="B731" s="92" t="n"/>
      <c r="C731" s="37" t="n"/>
    </row>
    <row r="732" ht="13.5" customHeight="1" s="107">
      <c r="A732" s="33" t="n"/>
      <c r="B732" s="91" t="n"/>
      <c r="C732" s="34" t="n"/>
    </row>
    <row r="733" ht="13.5" customHeight="1" s="107">
      <c r="A733" s="36" t="n"/>
      <c r="B733" s="92" t="n"/>
      <c r="C733" s="37" t="n"/>
    </row>
    <row r="734" ht="13.5" customHeight="1" s="107">
      <c r="A734" s="33" t="n"/>
      <c r="B734" s="91" t="n"/>
      <c r="C734" s="34" t="n"/>
    </row>
    <row r="735" ht="13.5" customHeight="1" s="107">
      <c r="A735" s="36" t="n"/>
      <c r="B735" s="92" t="n"/>
      <c r="C735" s="37" t="n"/>
    </row>
    <row r="736" ht="13.5" customHeight="1" s="107">
      <c r="A736" s="33" t="n"/>
      <c r="B736" s="91" t="n"/>
      <c r="C736" s="34" t="n"/>
    </row>
    <row r="737" ht="13.5" customHeight="1" s="107">
      <c r="A737" s="36" t="n"/>
      <c r="B737" s="92" t="n"/>
      <c r="C737" s="37" t="n"/>
    </row>
    <row r="738" ht="13.5" customHeight="1" s="107">
      <c r="A738" s="33" t="n"/>
      <c r="B738" s="91" t="n"/>
      <c r="C738" s="34" t="n"/>
    </row>
    <row r="739" ht="13.5" customHeight="1" s="107">
      <c r="A739" s="36" t="n"/>
      <c r="B739" s="92" t="n"/>
      <c r="C739" s="37" t="n"/>
    </row>
    <row r="740" ht="13.5" customHeight="1" s="107">
      <c r="A740" s="33" t="n"/>
      <c r="B740" s="91" t="n"/>
      <c r="C740" s="34" t="n"/>
    </row>
    <row r="741" ht="13.5" customHeight="1" s="107">
      <c r="A741" s="36" t="n"/>
      <c r="B741" s="92" t="n"/>
      <c r="C741" s="37" t="n"/>
    </row>
    <row r="742" ht="13.5" customHeight="1" s="107">
      <c r="A742" s="33" t="n"/>
      <c r="B742" s="91" t="n"/>
      <c r="C742" s="34" t="n"/>
    </row>
    <row r="743" ht="13.5" customHeight="1" s="107">
      <c r="A743" s="36" t="n"/>
      <c r="B743" s="92" t="n"/>
      <c r="C743" s="37" t="n"/>
    </row>
    <row r="744" ht="13.5" customHeight="1" s="107">
      <c r="A744" s="33" t="n"/>
      <c r="B744" s="91" t="n"/>
      <c r="C744" s="34" t="n"/>
    </row>
    <row r="745" ht="13.5" customHeight="1" s="107">
      <c r="A745" s="36" t="n"/>
      <c r="B745" s="92" t="n"/>
      <c r="C745" s="37" t="n"/>
    </row>
    <row r="746" ht="13.5" customHeight="1" s="107">
      <c r="A746" s="33" t="n"/>
      <c r="B746" s="91" t="n"/>
      <c r="C746" s="34" t="n"/>
    </row>
    <row r="747" ht="13.5" customHeight="1" s="107">
      <c r="A747" s="36" t="n"/>
      <c r="B747" s="92" t="n"/>
      <c r="C747" s="37" t="n"/>
    </row>
    <row r="748" ht="13.5" customHeight="1" s="107">
      <c r="A748" s="33" t="n"/>
      <c r="B748" s="91" t="n"/>
      <c r="C748" s="34" t="n"/>
    </row>
    <row r="749" ht="13.5" customHeight="1" s="107">
      <c r="A749" s="36" t="n"/>
      <c r="B749" s="92" t="n"/>
      <c r="C749" s="37" t="n"/>
    </row>
    <row r="750" ht="13.5" customHeight="1" s="107">
      <c r="A750" s="33" t="n"/>
      <c r="B750" s="91" t="n"/>
      <c r="C750" s="34" t="n"/>
    </row>
    <row r="751" ht="13.5" customHeight="1" s="107">
      <c r="A751" s="36" t="n"/>
      <c r="B751" s="92" t="n"/>
      <c r="C751" s="37" t="n"/>
    </row>
    <row r="752" ht="13.5" customHeight="1" s="107">
      <c r="A752" s="33" t="n"/>
      <c r="B752" s="91" t="n"/>
      <c r="C752" s="34" t="n"/>
    </row>
    <row r="753" ht="13.5" customHeight="1" s="107">
      <c r="A753" s="36" t="n"/>
      <c r="B753" s="92" t="n"/>
      <c r="C753" s="37" t="n"/>
    </row>
    <row r="754" ht="13.5" customHeight="1" s="107">
      <c r="A754" s="33" t="n"/>
      <c r="B754" s="91" t="n"/>
      <c r="C754" s="34" t="n"/>
    </row>
    <row r="755" ht="13.5" customHeight="1" s="107">
      <c r="A755" s="36" t="n"/>
      <c r="B755" s="92" t="n"/>
      <c r="C755" s="37" t="n"/>
    </row>
    <row r="756" ht="13.5" customHeight="1" s="107">
      <c r="A756" s="33" t="n"/>
      <c r="B756" s="91" t="n"/>
      <c r="C756" s="34" t="n"/>
    </row>
    <row r="757" ht="13.5" customHeight="1" s="107">
      <c r="A757" s="36" t="n"/>
      <c r="B757" s="92" t="n"/>
      <c r="C757" s="37" t="n"/>
    </row>
    <row r="758" ht="13.5" customHeight="1" s="107">
      <c r="A758" s="33" t="n"/>
      <c r="B758" s="91" t="n"/>
      <c r="C758" s="34" t="n"/>
    </row>
    <row r="759" ht="13.5" customHeight="1" s="107">
      <c r="A759" s="36" t="n"/>
      <c r="B759" s="92" t="n"/>
      <c r="C759" s="37" t="n"/>
    </row>
    <row r="760" ht="13.5" customHeight="1" s="107">
      <c r="A760" s="33" t="n"/>
      <c r="B760" s="91" t="n"/>
      <c r="C760" s="34" t="n"/>
    </row>
    <row r="761" ht="13.5" customHeight="1" s="107">
      <c r="A761" s="36" t="n"/>
      <c r="B761" s="92" t="n"/>
      <c r="C761" s="37" t="n"/>
    </row>
    <row r="762" ht="13.5" customHeight="1" s="107">
      <c r="A762" s="33" t="n"/>
      <c r="B762" s="91" t="n"/>
      <c r="C762" s="34" t="n"/>
    </row>
    <row r="763" ht="13.5" customHeight="1" s="107">
      <c r="A763" s="36" t="n"/>
      <c r="B763" s="92" t="n"/>
      <c r="C763" s="37" t="n"/>
    </row>
    <row r="764" ht="13.5" customHeight="1" s="107">
      <c r="A764" s="33" t="n"/>
      <c r="B764" s="91" t="n"/>
      <c r="C764" s="34" t="n"/>
    </row>
    <row r="765" ht="13.5" customHeight="1" s="107">
      <c r="A765" s="36" t="n"/>
      <c r="B765" s="92" t="n"/>
      <c r="C765" s="37" t="n"/>
    </row>
    <row r="766" ht="13.5" customHeight="1" s="107">
      <c r="A766" s="33" t="n"/>
      <c r="B766" s="91" t="n"/>
      <c r="C766" s="34" t="n"/>
    </row>
    <row r="767" ht="13.5" customHeight="1" s="107">
      <c r="A767" s="36" t="n"/>
      <c r="B767" s="92" t="n"/>
      <c r="C767" s="37" t="n"/>
    </row>
    <row r="768" ht="13.5" customHeight="1" s="107">
      <c r="A768" s="33" t="n"/>
      <c r="B768" s="91" t="n"/>
      <c r="C768" s="34" t="n"/>
    </row>
    <row r="769" ht="13.5" customHeight="1" s="107">
      <c r="A769" s="36" t="n"/>
      <c r="B769" s="92" t="n"/>
      <c r="C769" s="37" t="n"/>
    </row>
    <row r="770" ht="13.5" customHeight="1" s="107">
      <c r="A770" s="33" t="n"/>
      <c r="B770" s="91" t="n"/>
      <c r="C770" s="34" t="n"/>
    </row>
    <row r="771" ht="13.5" customHeight="1" s="107">
      <c r="A771" s="36" t="n"/>
      <c r="B771" s="92" t="n"/>
      <c r="C771" s="37" t="n"/>
    </row>
    <row r="772" ht="13.5" customHeight="1" s="107">
      <c r="A772" s="33" t="n"/>
      <c r="B772" s="91" t="n"/>
      <c r="C772" s="34" t="n"/>
    </row>
    <row r="773" ht="13.5" customHeight="1" s="107">
      <c r="A773" s="36" t="n"/>
      <c r="B773" s="92" t="n"/>
      <c r="C773" s="37" t="n"/>
    </row>
    <row r="774" ht="13.5" customHeight="1" s="107">
      <c r="A774" s="33" t="n"/>
      <c r="B774" s="91" t="n"/>
      <c r="C774" s="34" t="n"/>
    </row>
    <row r="775" ht="13.5" customHeight="1" s="107">
      <c r="A775" s="36" t="n"/>
      <c r="B775" s="92" t="n"/>
      <c r="C775" s="37" t="n"/>
    </row>
    <row r="776" ht="13.5" customHeight="1" s="107">
      <c r="A776" s="33" t="n"/>
      <c r="B776" s="91" t="n"/>
      <c r="C776" s="34" t="n"/>
    </row>
    <row r="777" ht="13.5" customHeight="1" s="107">
      <c r="A777" s="36" t="n"/>
      <c r="B777" s="92" t="n"/>
      <c r="C777" s="37" t="n"/>
    </row>
    <row r="778" ht="13.5" customHeight="1" s="107">
      <c r="A778" s="33" t="n"/>
      <c r="B778" s="91" t="n"/>
      <c r="C778" s="34" t="n"/>
    </row>
    <row r="779" ht="13.5" customHeight="1" s="107">
      <c r="A779" s="36" t="n"/>
      <c r="B779" s="92" t="n"/>
      <c r="C779" s="37" t="n"/>
    </row>
    <row r="780" ht="13.5" customHeight="1" s="107">
      <c r="A780" s="33" t="n"/>
      <c r="B780" s="91" t="n"/>
      <c r="C780" s="34" t="n"/>
    </row>
    <row r="781" ht="13.5" customHeight="1" s="107">
      <c r="A781" s="36" t="n"/>
      <c r="B781" s="92" t="n"/>
      <c r="C781" s="37" t="n"/>
    </row>
    <row r="782" ht="13.5" customHeight="1" s="107">
      <c r="A782" s="33" t="n"/>
      <c r="B782" s="91" t="n"/>
      <c r="C782" s="34" t="n"/>
    </row>
    <row r="783" ht="13.5" customHeight="1" s="107">
      <c r="A783" s="36" t="n"/>
      <c r="B783" s="92" t="n"/>
      <c r="C783" s="37" t="n"/>
    </row>
    <row r="784" ht="13.5" customHeight="1" s="107">
      <c r="A784" s="33" t="n"/>
      <c r="B784" s="91" t="n"/>
      <c r="C784" s="34" t="n"/>
    </row>
    <row r="785" ht="13.5" customHeight="1" s="107">
      <c r="A785" s="36" t="n"/>
      <c r="B785" s="92" t="n"/>
      <c r="C785" s="37" t="n"/>
    </row>
    <row r="786" ht="13.5" customHeight="1" s="107">
      <c r="A786" s="33" t="n"/>
      <c r="B786" s="91" t="n"/>
      <c r="C786" s="34" t="n"/>
    </row>
    <row r="787" ht="13.5" customHeight="1" s="107">
      <c r="A787" s="36" t="n"/>
      <c r="B787" s="92" t="n"/>
      <c r="C787" s="37" t="n"/>
    </row>
    <row r="788" ht="13.5" customHeight="1" s="107">
      <c r="A788" s="33" t="n"/>
      <c r="B788" s="91" t="n"/>
      <c r="C788" s="34" t="n"/>
    </row>
    <row r="789" ht="13.5" customHeight="1" s="107">
      <c r="A789" s="36" t="n"/>
      <c r="B789" s="92" t="n"/>
      <c r="C789" s="37" t="n"/>
    </row>
    <row r="790" ht="13.5" customHeight="1" s="107">
      <c r="A790" s="33" t="n"/>
      <c r="B790" s="91" t="n"/>
      <c r="C790" s="34" t="n"/>
    </row>
    <row r="791" ht="13.5" customHeight="1" s="107">
      <c r="A791" s="36" t="n"/>
      <c r="B791" s="92" t="n"/>
      <c r="C791" s="37" t="n"/>
    </row>
    <row r="792" ht="13.5" customHeight="1" s="107">
      <c r="A792" s="33" t="n"/>
      <c r="B792" s="91" t="n"/>
      <c r="C792" s="34" t="n"/>
    </row>
    <row r="793" ht="13.5" customHeight="1" s="107">
      <c r="A793" s="36" t="n"/>
      <c r="B793" s="92" t="n"/>
      <c r="C793" s="37" t="n"/>
    </row>
    <row r="794" ht="13.5" customHeight="1" s="107">
      <c r="A794" s="33" t="n"/>
      <c r="B794" s="91" t="n"/>
      <c r="C794" s="34" t="n"/>
    </row>
    <row r="795" ht="13.5" customHeight="1" s="107">
      <c r="A795" s="36" t="n"/>
      <c r="B795" s="92" t="n"/>
      <c r="C795" s="37" t="n"/>
    </row>
    <row r="796" ht="13.5" customHeight="1" s="107">
      <c r="A796" s="33" t="n"/>
      <c r="B796" s="91" t="n"/>
      <c r="C796" s="34" t="n"/>
    </row>
    <row r="797" ht="13.5" customHeight="1" s="107">
      <c r="A797" s="36" t="n"/>
      <c r="B797" s="92" t="n"/>
      <c r="C797" s="37" t="n"/>
    </row>
    <row r="798" ht="13.5" customHeight="1" s="107">
      <c r="A798" s="33" t="n"/>
      <c r="B798" s="91" t="n"/>
      <c r="C798" s="34" t="n"/>
    </row>
    <row r="799" ht="13.5" customHeight="1" s="107">
      <c r="A799" s="36" t="n"/>
      <c r="B799" s="92" t="n"/>
      <c r="C799" s="37" t="n"/>
    </row>
    <row r="800" ht="13.5" customHeight="1" s="107">
      <c r="A800" s="33" t="n"/>
      <c r="B800" s="91" t="n"/>
      <c r="C800" s="34" t="n"/>
    </row>
    <row r="801" ht="13.5" customHeight="1" s="107">
      <c r="A801" s="36" t="n"/>
      <c r="B801" s="92" t="n"/>
      <c r="C801" s="37" t="n"/>
    </row>
    <row r="802" ht="13.5" customHeight="1" s="107">
      <c r="A802" s="33" t="n"/>
      <c r="B802" s="91" t="n"/>
      <c r="C802" s="34" t="n"/>
    </row>
    <row r="803" ht="13.5" customHeight="1" s="107">
      <c r="A803" s="36" t="n"/>
      <c r="B803" s="92" t="n"/>
      <c r="C803" s="37" t="n"/>
    </row>
    <row r="804" ht="13.5" customHeight="1" s="107">
      <c r="A804" s="33" t="n"/>
      <c r="B804" s="91" t="n"/>
      <c r="C804" s="34" t="n"/>
    </row>
    <row r="805" ht="13.5" customHeight="1" s="107">
      <c r="A805" s="36" t="n"/>
      <c r="B805" s="92" t="n"/>
      <c r="C805" s="37" t="n"/>
    </row>
    <row r="806" ht="13.5" customHeight="1" s="107">
      <c r="A806" s="33" t="n"/>
      <c r="B806" s="91" t="n"/>
      <c r="C806" s="34" t="n"/>
    </row>
    <row r="807" ht="13.5" customHeight="1" s="107">
      <c r="A807" s="36" t="n"/>
      <c r="B807" s="92" t="n"/>
      <c r="C807" s="37" t="n"/>
    </row>
    <row r="808" ht="13.5" customHeight="1" s="107">
      <c r="A808" s="33" t="n"/>
      <c r="B808" s="91" t="n"/>
      <c r="C808" s="34" t="n"/>
    </row>
    <row r="809" ht="13.5" customHeight="1" s="107">
      <c r="A809" s="36" t="n"/>
      <c r="B809" s="92" t="n"/>
      <c r="C809" s="37" t="n"/>
    </row>
    <row r="810" ht="13.5" customHeight="1" s="107">
      <c r="A810" s="33" t="n"/>
      <c r="B810" s="91" t="n"/>
      <c r="C810" s="34" t="n"/>
    </row>
    <row r="811" ht="13.5" customHeight="1" s="107">
      <c r="A811" s="36" t="n"/>
      <c r="B811" s="92" t="n"/>
      <c r="C811" s="37" t="n"/>
    </row>
    <row r="812" ht="13.5" customHeight="1" s="107">
      <c r="A812" s="33" t="n"/>
      <c r="B812" s="91" t="n"/>
      <c r="C812" s="34" t="n"/>
    </row>
    <row r="813" ht="13.5" customHeight="1" s="107">
      <c r="A813" s="36" t="n"/>
      <c r="B813" s="92" t="n"/>
      <c r="C813" s="37" t="n"/>
    </row>
    <row r="814" ht="13.5" customHeight="1" s="107">
      <c r="A814" s="33" t="n"/>
      <c r="B814" s="91" t="n"/>
      <c r="C814" s="34" t="n"/>
    </row>
    <row r="815" ht="13.5" customHeight="1" s="107">
      <c r="A815" s="36" t="n"/>
      <c r="B815" s="92" t="n"/>
      <c r="C815" s="37" t="n"/>
    </row>
    <row r="816" ht="13.5" customHeight="1" s="107">
      <c r="A816" s="33" t="n"/>
      <c r="B816" s="91" t="n"/>
      <c r="C816" s="34" t="n"/>
    </row>
    <row r="817" ht="13.5" customHeight="1" s="107">
      <c r="A817" s="36" t="n"/>
      <c r="B817" s="92" t="n"/>
      <c r="C817" s="37" t="n"/>
    </row>
    <row r="818" ht="13.5" customHeight="1" s="107">
      <c r="A818" s="33" t="n"/>
      <c r="B818" s="91" t="n"/>
      <c r="C818" s="34" t="n"/>
    </row>
    <row r="819" ht="13.5" customHeight="1" s="107">
      <c r="A819" s="36" t="n"/>
      <c r="B819" s="92" t="n"/>
      <c r="C819" s="37" t="n"/>
    </row>
    <row r="820" ht="13.5" customHeight="1" s="107">
      <c r="A820" s="33" t="n"/>
      <c r="B820" s="91" t="n"/>
      <c r="C820" s="34" t="n"/>
    </row>
    <row r="821" ht="13.5" customHeight="1" s="107">
      <c r="A821" s="36" t="n"/>
      <c r="B821" s="92" t="n"/>
      <c r="C821" s="37" t="n"/>
    </row>
    <row r="822" ht="13.5" customHeight="1" s="107">
      <c r="A822" s="33" t="n"/>
      <c r="B822" s="91" t="n"/>
      <c r="C822" s="34" t="n"/>
    </row>
    <row r="823" ht="13.5" customHeight="1" s="107">
      <c r="A823" s="36" t="n"/>
      <c r="B823" s="92" t="n"/>
      <c r="C823" s="37" t="n"/>
    </row>
    <row r="824" ht="13.5" customHeight="1" s="107">
      <c r="A824" s="33" t="n"/>
      <c r="B824" s="91" t="n"/>
      <c r="C824" s="34" t="n"/>
    </row>
    <row r="825" ht="13.5" customHeight="1" s="107">
      <c r="A825" s="36" t="n"/>
      <c r="B825" s="92" t="n"/>
      <c r="C825" s="37" t="n"/>
    </row>
    <row r="826" ht="13.5" customHeight="1" s="107">
      <c r="A826" s="33" t="n"/>
      <c r="B826" s="91" t="n"/>
      <c r="C826" s="34" t="n"/>
    </row>
    <row r="827" ht="13.5" customHeight="1" s="107">
      <c r="A827" s="36" t="n"/>
      <c r="B827" s="92" t="n"/>
      <c r="C827" s="37" t="n"/>
    </row>
    <row r="828" ht="13.5" customHeight="1" s="107">
      <c r="A828" s="33" t="n"/>
      <c r="B828" s="91" t="n"/>
      <c r="C828" s="34" t="n"/>
    </row>
    <row r="829" ht="13.5" customHeight="1" s="107">
      <c r="A829" s="36" t="n"/>
      <c r="B829" s="92" t="n"/>
      <c r="C829" s="37" t="n"/>
    </row>
    <row r="830" ht="13.5" customHeight="1" s="107">
      <c r="A830" s="33" t="n"/>
      <c r="B830" s="91" t="n"/>
      <c r="C830" s="34" t="n"/>
    </row>
    <row r="831" ht="13.5" customHeight="1" s="107">
      <c r="A831" s="36" t="n"/>
      <c r="B831" s="92" t="n"/>
      <c r="C831" s="37" t="n"/>
    </row>
    <row r="832" ht="13.5" customHeight="1" s="107">
      <c r="A832" s="33" t="n"/>
      <c r="B832" s="91" t="n"/>
      <c r="C832" s="34" t="n"/>
    </row>
    <row r="833" ht="13.5" customHeight="1" s="107">
      <c r="A833" s="36" t="n"/>
      <c r="B833" s="92" t="n"/>
      <c r="C833" s="37" t="n"/>
    </row>
    <row r="834" ht="13.5" customHeight="1" s="107">
      <c r="A834" s="33" t="n"/>
      <c r="B834" s="91" t="n"/>
      <c r="C834" s="34" t="n"/>
    </row>
    <row r="835" ht="13.5" customHeight="1" s="107">
      <c r="A835" s="36" t="n"/>
      <c r="B835" s="92" t="n"/>
      <c r="C835" s="37" t="n"/>
    </row>
    <row r="836" ht="13.5" customHeight="1" s="107">
      <c r="A836" s="33" t="n"/>
      <c r="B836" s="91" t="n"/>
      <c r="C836" s="34" t="n"/>
    </row>
    <row r="837" ht="13.5" customHeight="1" s="107">
      <c r="A837" s="36" t="n"/>
      <c r="B837" s="92" t="n"/>
      <c r="C837" s="37" t="n"/>
    </row>
    <row r="838" ht="13.5" customHeight="1" s="107">
      <c r="A838" s="33" t="n"/>
      <c r="B838" s="91" t="n"/>
      <c r="C838" s="34" t="n"/>
    </row>
    <row r="839" ht="13.5" customHeight="1" s="107">
      <c r="A839" s="36" t="n"/>
      <c r="B839" s="92" t="n"/>
      <c r="C839" s="37" t="n"/>
    </row>
    <row r="840" ht="13.5" customHeight="1" s="107">
      <c r="A840" s="33" t="n"/>
      <c r="B840" s="91" t="n"/>
      <c r="C840" s="34" t="n"/>
    </row>
    <row r="841" ht="13.5" customHeight="1" s="107">
      <c r="A841" s="36" t="n"/>
      <c r="B841" s="92" t="n"/>
      <c r="C841" s="37" t="n"/>
    </row>
    <row r="842" ht="13.5" customHeight="1" s="107">
      <c r="A842" s="33" t="n"/>
      <c r="B842" s="91" t="n"/>
      <c r="C842" s="34" t="n"/>
    </row>
    <row r="843" ht="13.5" customHeight="1" s="107">
      <c r="A843" s="36" t="n"/>
      <c r="B843" s="92" t="n"/>
      <c r="C843" s="37" t="n"/>
    </row>
    <row r="844" ht="13.5" customHeight="1" s="107">
      <c r="A844" s="33" t="n"/>
      <c r="B844" s="91" t="n"/>
      <c r="C844" s="34" t="n"/>
    </row>
    <row r="845" ht="13.5" customHeight="1" s="107">
      <c r="A845" s="36" t="n"/>
      <c r="B845" s="92" t="n"/>
      <c r="C845" s="37" t="n"/>
    </row>
    <row r="846" ht="13.5" customHeight="1" s="107">
      <c r="A846" s="33" t="n"/>
      <c r="B846" s="91" t="n"/>
      <c r="C846" s="34" t="n"/>
    </row>
    <row r="847" ht="13.5" customHeight="1" s="107">
      <c r="A847" s="36" t="n"/>
      <c r="B847" s="92" t="n"/>
      <c r="C847" s="37" t="n"/>
    </row>
    <row r="848" ht="13.5" customHeight="1" s="107">
      <c r="A848" s="33" t="n"/>
      <c r="B848" s="91" t="n"/>
      <c r="C848" s="34" t="n"/>
    </row>
    <row r="849" ht="13.5" customHeight="1" s="107">
      <c r="A849" s="36" t="n"/>
      <c r="B849" s="92" t="n"/>
      <c r="C849" s="37" t="n"/>
    </row>
    <row r="850" ht="13.5" customHeight="1" s="107">
      <c r="A850" s="33" t="n"/>
      <c r="B850" s="91" t="n"/>
      <c r="C850" s="34" t="n"/>
    </row>
    <row r="851" ht="13.5" customHeight="1" s="107">
      <c r="A851" s="36" t="n"/>
      <c r="B851" s="92" t="n"/>
      <c r="C851" s="37" t="n"/>
    </row>
    <row r="852" ht="13.5" customHeight="1" s="107">
      <c r="A852" s="33" t="n"/>
      <c r="B852" s="91" t="n"/>
      <c r="C852" s="34" t="n"/>
    </row>
    <row r="853" ht="13.5" customHeight="1" s="107">
      <c r="A853" s="36" t="n"/>
      <c r="B853" s="92" t="n"/>
      <c r="C853" s="37" t="n"/>
    </row>
    <row r="854" ht="13.5" customHeight="1" s="107">
      <c r="A854" s="33" t="n"/>
      <c r="B854" s="91" t="n"/>
      <c r="C854" s="34" t="n"/>
    </row>
    <row r="855" ht="13.5" customHeight="1" s="107">
      <c r="A855" s="36" t="n"/>
      <c r="B855" s="92" t="n"/>
      <c r="C855" s="37" t="n"/>
    </row>
    <row r="856" ht="13.5" customHeight="1" s="107">
      <c r="A856" s="33" t="n"/>
      <c r="B856" s="91" t="n"/>
      <c r="C856" s="34" t="n"/>
    </row>
    <row r="857" ht="13.5" customHeight="1" s="107">
      <c r="A857" s="36" t="n"/>
      <c r="B857" s="92" t="n"/>
      <c r="C857" s="37" t="n"/>
    </row>
    <row r="858" ht="13.5" customHeight="1" s="107">
      <c r="A858" s="33" t="n"/>
      <c r="B858" s="91" t="n"/>
      <c r="C858" s="34" t="n"/>
    </row>
    <row r="859" ht="13.5" customHeight="1" s="107">
      <c r="A859" s="36" t="n"/>
      <c r="B859" s="92" t="n"/>
      <c r="C859" s="37" t="n"/>
    </row>
    <row r="860" ht="13.5" customHeight="1" s="107">
      <c r="A860" s="33" t="n"/>
      <c r="B860" s="91" t="n"/>
      <c r="C860" s="34" t="n"/>
    </row>
    <row r="861" ht="13.5" customHeight="1" s="107">
      <c r="A861" s="36" t="n"/>
      <c r="B861" s="92" t="n"/>
      <c r="C861" s="37" t="n"/>
    </row>
    <row r="862" ht="13.5" customHeight="1" s="107">
      <c r="A862" s="33" t="n"/>
      <c r="B862" s="91" t="n"/>
      <c r="C862" s="34" t="n"/>
    </row>
    <row r="863" ht="13.5" customHeight="1" s="107">
      <c r="A863" s="36" t="n"/>
      <c r="B863" s="92" t="n"/>
      <c r="C863" s="37" t="n"/>
    </row>
    <row r="864" ht="13.5" customHeight="1" s="107">
      <c r="A864" s="33" t="n"/>
      <c r="B864" s="91" t="n"/>
      <c r="C864" s="34" t="n"/>
    </row>
    <row r="865" ht="13.5" customHeight="1" s="107">
      <c r="A865" s="36" t="n"/>
      <c r="B865" s="92" t="n"/>
      <c r="C865" s="37" t="n"/>
    </row>
    <row r="866" ht="13.5" customHeight="1" s="107">
      <c r="A866" s="33" t="n"/>
      <c r="B866" s="91" t="n"/>
      <c r="C866" s="34" t="n"/>
    </row>
    <row r="867" ht="13.5" customHeight="1" s="107">
      <c r="A867" s="36" t="n"/>
      <c r="B867" s="92" t="n"/>
      <c r="C867" s="37" t="n"/>
    </row>
    <row r="868" ht="13.5" customHeight="1" s="107">
      <c r="A868" s="33" t="n"/>
      <c r="B868" s="91" t="n"/>
      <c r="C868" s="34" t="n"/>
    </row>
    <row r="869" ht="13.5" customHeight="1" s="107">
      <c r="A869" s="36" t="n"/>
      <c r="B869" s="92" t="n"/>
      <c r="C869" s="37" t="n"/>
    </row>
    <row r="870" ht="13.5" customHeight="1" s="107">
      <c r="A870" s="33" t="n"/>
      <c r="B870" s="91" t="n"/>
      <c r="C870" s="34" t="n"/>
    </row>
    <row r="871" ht="13.5" customHeight="1" s="107">
      <c r="A871" s="36" t="n"/>
      <c r="B871" s="92" t="n"/>
      <c r="C871" s="37" t="n"/>
    </row>
    <row r="872" ht="13.5" customHeight="1" s="107">
      <c r="A872" s="33" t="n"/>
      <c r="B872" s="91" t="n"/>
      <c r="C872" s="34" t="n"/>
    </row>
    <row r="873" ht="13.5" customHeight="1" s="107">
      <c r="A873" s="36" t="n"/>
      <c r="B873" s="92" t="n"/>
      <c r="C873" s="37" t="n"/>
    </row>
    <row r="874" ht="13.5" customHeight="1" s="107">
      <c r="A874" s="33" t="n"/>
      <c r="B874" s="91" t="n"/>
      <c r="C874" s="34" t="n"/>
    </row>
    <row r="875" ht="13.5" customHeight="1" s="107">
      <c r="A875" s="36" t="n"/>
      <c r="B875" s="92" t="n"/>
      <c r="C875" s="37" t="n"/>
    </row>
    <row r="876" ht="13.5" customHeight="1" s="107">
      <c r="A876" s="33" t="n"/>
      <c r="B876" s="91" t="n"/>
      <c r="C876" s="34" t="n"/>
    </row>
    <row r="877" ht="13.5" customHeight="1" s="107">
      <c r="A877" s="36" t="n"/>
      <c r="B877" s="92" t="n"/>
      <c r="C877" s="37" t="n"/>
    </row>
    <row r="878" ht="13.5" customHeight="1" s="107">
      <c r="A878" s="33" t="n"/>
      <c r="B878" s="91" t="n"/>
      <c r="C878" s="34" t="n"/>
    </row>
    <row r="879" ht="13.5" customHeight="1" s="107">
      <c r="A879" s="36" t="n"/>
      <c r="B879" s="92" t="n"/>
      <c r="C879" s="37" t="n"/>
    </row>
    <row r="880" ht="13.5" customHeight="1" s="107">
      <c r="A880" s="33" t="n"/>
      <c r="B880" s="91" t="n"/>
      <c r="C880" s="34" t="n"/>
    </row>
    <row r="881" ht="13.5" customHeight="1" s="107">
      <c r="A881" s="36" t="n"/>
      <c r="B881" s="92" t="n"/>
      <c r="C881" s="37" t="n"/>
    </row>
    <row r="882" ht="13.5" customHeight="1" s="107">
      <c r="A882" s="33" t="n"/>
      <c r="B882" s="91" t="n"/>
      <c r="C882" s="34" t="n"/>
    </row>
    <row r="883" ht="13.5" customHeight="1" s="107">
      <c r="A883" s="36" t="n"/>
      <c r="B883" s="92" t="n"/>
      <c r="C883" s="37" t="n"/>
    </row>
    <row r="884" ht="13.5" customHeight="1" s="107">
      <c r="A884" s="33" t="n"/>
      <c r="B884" s="91" t="n"/>
      <c r="C884" s="34" t="n"/>
    </row>
    <row r="885" ht="13.5" customHeight="1" s="107">
      <c r="A885" s="36" t="n"/>
      <c r="B885" s="92" t="n"/>
      <c r="C885" s="37" t="n"/>
    </row>
    <row r="886" ht="13.5" customHeight="1" s="107">
      <c r="A886" s="33" t="n"/>
      <c r="B886" s="91" t="n"/>
      <c r="C886" s="34" t="n"/>
    </row>
    <row r="887" ht="13.5" customHeight="1" s="107">
      <c r="A887" s="36" t="n"/>
      <c r="B887" s="92" t="n"/>
      <c r="C887" s="37" t="n"/>
    </row>
    <row r="888" ht="13.5" customHeight="1" s="107">
      <c r="A888" s="33" t="n"/>
      <c r="B888" s="91" t="n"/>
      <c r="C888" s="34" t="n"/>
    </row>
    <row r="889" ht="13.5" customHeight="1" s="107">
      <c r="A889" s="36" t="n"/>
      <c r="B889" s="92" t="n"/>
      <c r="C889" s="37" t="n"/>
    </row>
    <row r="890" ht="13.5" customHeight="1" s="107">
      <c r="A890" s="33" t="n"/>
      <c r="B890" s="91" t="n"/>
      <c r="C890" s="34" t="n"/>
    </row>
    <row r="891" ht="13.5" customHeight="1" s="107">
      <c r="A891" s="36" t="n"/>
      <c r="B891" s="92" t="n"/>
      <c r="C891" s="37" t="n"/>
    </row>
    <row r="892" ht="13.5" customHeight="1" s="107">
      <c r="A892" s="33" t="n"/>
      <c r="B892" s="91" t="n"/>
      <c r="C892" s="34" t="n"/>
    </row>
    <row r="893" ht="13.5" customHeight="1" s="107">
      <c r="A893" s="36" t="n"/>
      <c r="B893" s="92" t="n"/>
      <c r="C893" s="37" t="n"/>
    </row>
    <row r="894" ht="13.5" customHeight="1" s="107">
      <c r="A894" s="33" t="n"/>
      <c r="B894" s="91" t="n"/>
      <c r="C894" s="34" t="n"/>
    </row>
    <row r="895" ht="13.5" customHeight="1" s="107">
      <c r="A895" s="36" t="n"/>
      <c r="B895" s="92" t="n"/>
      <c r="C895" s="37" t="n"/>
    </row>
    <row r="896" ht="13.5" customHeight="1" s="107">
      <c r="A896" s="33" t="n"/>
      <c r="B896" s="91" t="n"/>
      <c r="C896" s="34" t="n"/>
    </row>
    <row r="897" ht="13.5" customHeight="1" s="107">
      <c r="A897" s="36" t="n"/>
      <c r="B897" s="92" t="n"/>
      <c r="C897" s="37" t="n"/>
    </row>
    <row r="898" ht="13.5" customHeight="1" s="107">
      <c r="A898" s="33" t="n"/>
      <c r="B898" s="91" t="n"/>
      <c r="C898" s="34" t="n"/>
    </row>
    <row r="899" ht="13.5" customHeight="1" s="107">
      <c r="A899" s="36" t="n"/>
      <c r="B899" s="92" t="n"/>
      <c r="C899" s="37" t="n"/>
    </row>
    <row r="900" ht="13.5" customHeight="1" s="107">
      <c r="A900" s="33" t="n"/>
      <c r="B900" s="91" t="n"/>
      <c r="C900" s="34" t="n"/>
    </row>
    <row r="901" ht="13.5" customHeight="1" s="107">
      <c r="A901" s="36" t="n"/>
      <c r="B901" s="92" t="n"/>
      <c r="C901" s="37" t="n"/>
    </row>
    <row r="902" ht="13.5" customHeight="1" s="107">
      <c r="A902" s="33" t="n"/>
      <c r="B902" s="91" t="n"/>
      <c r="C902" s="34" t="n"/>
    </row>
    <row r="903" ht="13.5" customHeight="1" s="107">
      <c r="A903" s="36" t="n"/>
      <c r="B903" s="92" t="n"/>
      <c r="C903" s="37" t="n"/>
    </row>
    <row r="904" ht="13.5" customHeight="1" s="107">
      <c r="A904" s="33" t="n"/>
      <c r="B904" s="91" t="n"/>
      <c r="C904" s="34" t="n"/>
    </row>
    <row r="905" ht="13.5" customHeight="1" s="107">
      <c r="A905" s="36" t="n"/>
      <c r="B905" s="92" t="n"/>
      <c r="C905" s="37" t="n"/>
    </row>
    <row r="906" ht="13.5" customHeight="1" s="107">
      <c r="A906" s="33" t="n"/>
      <c r="B906" s="91" t="n"/>
      <c r="C906" s="34" t="n"/>
    </row>
    <row r="907" ht="13.5" customHeight="1" s="107">
      <c r="A907" s="36" t="n"/>
      <c r="B907" s="92" t="n"/>
      <c r="C907" s="37" t="n"/>
    </row>
    <row r="908" ht="13.5" customHeight="1" s="107">
      <c r="A908" s="33" t="n"/>
      <c r="B908" s="91" t="n"/>
      <c r="C908" s="34" t="n"/>
    </row>
    <row r="909" ht="13.5" customHeight="1" s="107">
      <c r="A909" s="36" t="n"/>
      <c r="B909" s="92" t="n"/>
      <c r="C909" s="37" t="n"/>
    </row>
    <row r="910" ht="13.5" customHeight="1" s="107">
      <c r="A910" s="33" t="n"/>
      <c r="B910" s="91" t="n"/>
      <c r="C910" s="34" t="n"/>
    </row>
    <row r="911" ht="13.5" customHeight="1" s="107">
      <c r="A911" s="36" t="n"/>
      <c r="B911" s="92" t="n"/>
      <c r="C911" s="37" t="n"/>
    </row>
    <row r="912" ht="13.5" customHeight="1" s="107">
      <c r="A912" s="33" t="n"/>
      <c r="B912" s="91" t="n"/>
      <c r="C912" s="34" t="n"/>
    </row>
    <row r="913" ht="13.5" customHeight="1" s="107">
      <c r="A913" s="36" t="n"/>
      <c r="B913" s="92" t="n"/>
      <c r="C913" s="37" t="n"/>
    </row>
    <row r="914" ht="13.5" customHeight="1" s="107">
      <c r="A914" s="33" t="n"/>
      <c r="B914" s="91" t="n"/>
      <c r="C914" s="34" t="n"/>
    </row>
    <row r="915" ht="13.5" customHeight="1" s="107">
      <c r="A915" s="36" t="n"/>
      <c r="B915" s="92" t="n"/>
      <c r="C915" s="37" t="n"/>
    </row>
    <row r="916" ht="13.5" customHeight="1" s="107">
      <c r="A916" s="33" t="n"/>
      <c r="B916" s="91" t="n"/>
      <c r="C916" s="34" t="n"/>
    </row>
    <row r="917" ht="13.5" customHeight="1" s="107">
      <c r="A917" s="36" t="n"/>
      <c r="B917" s="92" t="n"/>
      <c r="C917" s="37" t="n"/>
    </row>
    <row r="918" ht="13.5" customHeight="1" s="107">
      <c r="A918" s="33" t="n"/>
      <c r="B918" s="91" t="n"/>
      <c r="C918" s="34" t="n"/>
    </row>
    <row r="919" ht="13.5" customHeight="1" s="107">
      <c r="A919" s="36" t="n"/>
      <c r="B919" s="92" t="n"/>
      <c r="C919" s="37" t="n"/>
    </row>
    <row r="920" ht="13.5" customHeight="1" s="107">
      <c r="A920" s="33" t="n"/>
      <c r="B920" s="91" t="n"/>
      <c r="C920" s="34" t="n"/>
    </row>
    <row r="921" ht="13.5" customHeight="1" s="107">
      <c r="A921" s="36" t="n"/>
      <c r="B921" s="92" t="n"/>
      <c r="C921" s="37" t="n"/>
    </row>
    <row r="922" ht="13.5" customHeight="1" s="107">
      <c r="A922" s="33" t="n"/>
      <c r="B922" s="91" t="n"/>
      <c r="C922" s="34" t="n"/>
    </row>
    <row r="923" ht="13.5" customHeight="1" s="107">
      <c r="A923" s="36" t="n"/>
      <c r="B923" s="92" t="n"/>
      <c r="C923" s="37" t="n"/>
    </row>
    <row r="924" ht="13.5" customHeight="1" s="107">
      <c r="A924" s="33" t="n"/>
      <c r="B924" s="91" t="n"/>
      <c r="C924" s="34" t="n"/>
    </row>
    <row r="925" ht="13.5" customHeight="1" s="107">
      <c r="A925" s="36" t="n"/>
      <c r="B925" s="92" t="n"/>
      <c r="C925" s="37" t="n"/>
    </row>
    <row r="926" ht="13.5" customHeight="1" s="107">
      <c r="A926" s="33" t="n"/>
      <c r="B926" s="91" t="n"/>
      <c r="C926" s="34" t="n"/>
    </row>
    <row r="927" ht="13.5" customHeight="1" s="107">
      <c r="A927" s="36" t="n"/>
      <c r="B927" s="92" t="n"/>
      <c r="C927" s="37" t="n"/>
    </row>
    <row r="928" ht="13.5" customHeight="1" s="107">
      <c r="A928" s="33" t="n"/>
      <c r="B928" s="91" t="n"/>
      <c r="C928" s="34" t="n"/>
    </row>
    <row r="929" ht="13.5" customHeight="1" s="107">
      <c r="A929" s="36" t="n"/>
      <c r="B929" s="92" t="n"/>
      <c r="C929" s="37" t="n"/>
    </row>
    <row r="930" ht="13.5" customHeight="1" s="107">
      <c r="A930" s="33" t="n"/>
      <c r="B930" s="91" t="n"/>
      <c r="C930" s="34" t="n"/>
    </row>
    <row r="931" ht="13.5" customHeight="1" s="107">
      <c r="A931" s="36" t="n"/>
      <c r="B931" s="92" t="n"/>
      <c r="C931" s="37" t="n"/>
    </row>
    <row r="932" ht="13.5" customHeight="1" s="107">
      <c r="A932" s="33" t="n"/>
      <c r="B932" s="91" t="n"/>
      <c r="C932" s="34" t="n"/>
    </row>
    <row r="933" ht="13.5" customHeight="1" s="107">
      <c r="A933" s="36" t="n"/>
      <c r="B933" s="92" t="n"/>
      <c r="C933" s="37" t="n"/>
    </row>
    <row r="934" ht="13.5" customHeight="1" s="107">
      <c r="A934" s="33" t="n"/>
      <c r="B934" s="91" t="n"/>
      <c r="C934" s="34" t="n"/>
    </row>
    <row r="935" ht="13.5" customHeight="1" s="107">
      <c r="A935" s="36" t="n"/>
      <c r="B935" s="92" t="n"/>
      <c r="C935" s="37" t="n"/>
    </row>
    <row r="936" ht="13.5" customHeight="1" s="107">
      <c r="A936" s="33" t="n"/>
      <c r="B936" s="91" t="n"/>
      <c r="C936" s="34" t="n"/>
    </row>
    <row r="937" ht="13.5" customHeight="1" s="107">
      <c r="A937" s="36" t="n"/>
      <c r="B937" s="92" t="n"/>
      <c r="C937" s="37" t="n"/>
    </row>
    <row r="938" ht="13.5" customHeight="1" s="107">
      <c r="A938" s="33" t="n"/>
      <c r="B938" s="91" t="n"/>
      <c r="C938" s="34" t="n"/>
    </row>
    <row r="939" ht="13.5" customHeight="1" s="107">
      <c r="A939" s="36" t="n"/>
      <c r="B939" s="92" t="n"/>
      <c r="C939" s="37" t="n"/>
    </row>
    <row r="940" ht="13.5" customHeight="1" s="107">
      <c r="A940" s="33" t="n"/>
      <c r="B940" s="91" t="n"/>
      <c r="C940" s="34" t="n"/>
    </row>
    <row r="941" ht="13.5" customHeight="1" s="107">
      <c r="A941" s="36" t="n"/>
      <c r="B941" s="92" t="n"/>
      <c r="C941" s="37" t="n"/>
    </row>
    <row r="942" ht="13.5" customHeight="1" s="107">
      <c r="A942" s="33" t="n"/>
      <c r="B942" s="91" t="n"/>
      <c r="C942" s="34" t="n"/>
    </row>
    <row r="943" ht="13.5" customHeight="1" s="107">
      <c r="A943" s="36" t="n"/>
      <c r="B943" s="92" t="n"/>
      <c r="C943" s="37" t="n"/>
    </row>
    <row r="944" ht="13.5" customHeight="1" s="107">
      <c r="A944" s="33" t="n"/>
      <c r="B944" s="91" t="n"/>
      <c r="C944" s="34" t="n"/>
    </row>
    <row r="945" ht="13.5" customHeight="1" s="107">
      <c r="A945" s="36" t="n"/>
      <c r="B945" s="92" t="n"/>
      <c r="C945" s="37" t="n"/>
    </row>
    <row r="946" ht="13.5" customHeight="1" s="107">
      <c r="A946" s="33" t="n"/>
      <c r="B946" s="91" t="n"/>
      <c r="C946" s="34" t="n"/>
    </row>
    <row r="947" ht="13.5" customHeight="1" s="107">
      <c r="A947" s="36" t="n"/>
      <c r="B947" s="92" t="n"/>
      <c r="C947" s="37" t="n"/>
    </row>
    <row r="948" ht="13.5" customHeight="1" s="107">
      <c r="A948" s="33" t="n"/>
      <c r="B948" s="91" t="n"/>
      <c r="C948" s="34" t="n"/>
    </row>
    <row r="949" ht="13.5" customHeight="1" s="107">
      <c r="A949" s="36" t="n"/>
      <c r="B949" s="92" t="n"/>
      <c r="C949" s="37" t="n"/>
    </row>
    <row r="950" ht="13.5" customHeight="1" s="107">
      <c r="A950" s="33" t="n"/>
      <c r="B950" s="91" t="n"/>
      <c r="C950" s="34" t="n"/>
    </row>
    <row r="951" ht="13.5" customHeight="1" s="107">
      <c r="A951" s="36" t="n"/>
      <c r="B951" s="92" t="n"/>
      <c r="C951" s="37" t="n"/>
    </row>
    <row r="952" ht="13.5" customHeight="1" s="107">
      <c r="A952" s="33" t="n"/>
      <c r="B952" s="91" t="n"/>
      <c r="C952" s="34" t="n"/>
    </row>
    <row r="953">
      <c r="A953" s="36" t="n"/>
      <c r="B953" s="92" t="n"/>
      <c r="C953" s="37" t="n"/>
    </row>
    <row r="954">
      <c r="A954" s="33" t="n"/>
      <c r="B954" s="91" t="n"/>
      <c r="C954" s="34" t="n"/>
    </row>
    <row r="955">
      <c r="A955" s="36" t="n"/>
      <c r="B955" s="92" t="n"/>
      <c r="C955" s="37" t="n"/>
    </row>
    <row r="956">
      <c r="A956" s="33" t="n"/>
      <c r="B956" s="91" t="n"/>
      <c r="C956" s="34" t="n"/>
    </row>
    <row r="957">
      <c r="A957" s="36" t="n"/>
      <c r="B957" s="92" t="n"/>
      <c r="C957" s="37" t="n"/>
    </row>
    <row r="958">
      <c r="A958" s="33" t="n"/>
      <c r="B958" s="91" t="n"/>
      <c r="C958" s="34" t="n"/>
    </row>
    <row r="959">
      <c r="A959" s="36" t="n"/>
      <c r="B959" s="92" t="n"/>
      <c r="C959" s="37" t="n"/>
    </row>
    <row r="960">
      <c r="A960" s="33" t="n"/>
      <c r="B960" s="91" t="n"/>
      <c r="C960" s="34" t="n"/>
    </row>
    <row r="961">
      <c r="A961" s="36" t="n"/>
      <c r="B961" s="92" t="n"/>
      <c r="C961" s="37" t="n"/>
    </row>
    <row r="962">
      <c r="A962" s="33" t="n"/>
      <c r="B962" s="91" t="n"/>
      <c r="C962" s="34" t="n"/>
    </row>
    <row r="963">
      <c r="A963" s="36" t="n"/>
      <c r="B963" s="92" t="n"/>
      <c r="C963" s="37" t="n"/>
    </row>
    <row r="964">
      <c r="A964" s="33" t="n"/>
      <c r="B964" s="91" t="n"/>
      <c r="C964" s="34" t="n"/>
    </row>
    <row r="965">
      <c r="A965" s="36" t="n"/>
      <c r="B965" s="92" t="n"/>
      <c r="C965" s="37" t="n"/>
    </row>
    <row r="966">
      <c r="A966" s="33" t="n"/>
      <c r="B966" s="91" t="n"/>
      <c r="C966" s="34" t="n"/>
    </row>
    <row r="967">
      <c r="A967" s="36" t="n"/>
      <c r="B967" s="92" t="n"/>
      <c r="C967" s="37" t="n"/>
    </row>
    <row r="968">
      <c r="A968" s="33" t="n"/>
      <c r="B968" s="91" t="n"/>
      <c r="C968" s="34" t="n"/>
    </row>
    <row r="969">
      <c r="A969" s="36" t="n"/>
      <c r="B969" s="92" t="n"/>
      <c r="C969" s="37" t="n"/>
    </row>
    <row r="970">
      <c r="A970" s="33" t="n"/>
      <c r="B970" s="91" t="n"/>
      <c r="C970" s="34" t="n"/>
    </row>
    <row r="971">
      <c r="A971" s="36" t="n"/>
      <c r="B971" s="92" t="n"/>
      <c r="C971" s="37" t="n"/>
    </row>
    <row r="972">
      <c r="A972" s="33" t="n"/>
      <c r="B972" s="91" t="n"/>
      <c r="C972" s="34" t="n"/>
    </row>
    <row r="973">
      <c r="A973" s="36" t="n"/>
      <c r="B973" s="92" t="n"/>
      <c r="C973" s="37" t="n"/>
    </row>
    <row r="974">
      <c r="A974" s="33" t="n"/>
      <c r="B974" s="91" t="n"/>
      <c r="C974" s="34" t="n"/>
    </row>
    <row r="975">
      <c r="A975" s="36" t="n"/>
      <c r="B975" s="92" t="n"/>
      <c r="C975" s="37" t="n"/>
    </row>
    <row r="976">
      <c r="A976" s="33" t="n"/>
      <c r="B976" s="91" t="n"/>
      <c r="C976" s="34" t="n"/>
    </row>
    <row r="977">
      <c r="A977" s="36" t="n"/>
      <c r="B977" s="92" t="n"/>
      <c r="C977" s="37" t="n"/>
    </row>
    <row r="978">
      <c r="A978" s="33" t="n"/>
      <c r="B978" s="91" t="n"/>
      <c r="C978" s="34" t="n"/>
    </row>
    <row r="979">
      <c r="A979" s="36" t="n"/>
      <c r="B979" s="92" t="n"/>
      <c r="C979" s="37" t="n"/>
    </row>
    <row r="980">
      <c r="A980" s="33" t="n"/>
      <c r="B980" s="91" t="n"/>
      <c r="C980" s="34" t="n"/>
    </row>
    <row r="981">
      <c r="A981" s="36" t="n"/>
      <c r="B981" s="92" t="n"/>
      <c r="C981" s="37" t="n"/>
    </row>
    <row r="982">
      <c r="A982" s="33" t="n"/>
      <c r="B982" s="91" t="n"/>
      <c r="C982" s="34" t="n"/>
    </row>
    <row r="983">
      <c r="A983" s="36" t="n"/>
      <c r="B983" s="92" t="n"/>
      <c r="C983" s="37" t="n"/>
    </row>
    <row r="984">
      <c r="A984" s="33" t="n"/>
      <c r="B984" s="91" t="n"/>
      <c r="C984" s="34" t="n"/>
    </row>
    <row r="985">
      <c r="A985" s="36" t="n"/>
      <c r="B985" s="92" t="n"/>
      <c r="C985" s="37" t="n"/>
    </row>
    <row r="986">
      <c r="A986" s="33" t="n"/>
      <c r="B986" s="91" t="n"/>
      <c r="C986" s="34" t="n"/>
    </row>
    <row r="987">
      <c r="A987" s="36" t="n"/>
      <c r="B987" s="92" t="n"/>
      <c r="C987" s="37" t="n"/>
    </row>
    <row r="988">
      <c r="A988" s="33" t="n"/>
      <c r="B988" s="91" t="n"/>
      <c r="C988" s="34" t="n"/>
    </row>
    <row r="989">
      <c r="A989" s="36" t="n"/>
      <c r="B989" s="92" t="n"/>
      <c r="C989" s="37" t="n"/>
    </row>
    <row r="990">
      <c r="A990" s="33" t="n"/>
      <c r="B990" s="91" t="n"/>
      <c r="C990" s="34" t="n"/>
    </row>
    <row r="991">
      <c r="A991" s="36" t="n"/>
      <c r="B991" s="92" t="n"/>
      <c r="C991" s="37" t="n"/>
    </row>
    <row r="992">
      <c r="A992" s="33" t="n"/>
      <c r="B992" s="91" t="n"/>
      <c r="C992" s="34" t="n"/>
    </row>
    <row r="993">
      <c r="A993" s="36" t="n"/>
      <c r="B993" s="92" t="n"/>
      <c r="C993" s="37" t="n"/>
    </row>
    <row r="994">
      <c r="A994" s="33" t="n"/>
      <c r="B994" s="91" t="n"/>
      <c r="C994" s="34" t="n"/>
    </row>
    <row r="995">
      <c r="A995" s="36" t="n"/>
      <c r="B995" s="92" t="n"/>
      <c r="C995" s="37" t="n"/>
    </row>
    <row r="996">
      <c r="A996" s="33" t="n"/>
      <c r="B996" s="91" t="n"/>
      <c r="C996" s="34" t="n"/>
    </row>
    <row r="997">
      <c r="A997" s="36" t="n"/>
      <c r="B997" s="92" t="n"/>
      <c r="C997" s="37" t="n"/>
    </row>
    <row r="998">
      <c r="A998" s="33" t="n"/>
      <c r="B998" s="91" t="n"/>
      <c r="C998" s="34" t="n"/>
    </row>
    <row r="999">
      <c r="A999" s="36" t="n"/>
      <c r="B999" s="92" t="n"/>
      <c r="C999" s="37" t="n"/>
    </row>
    <row r="1000">
      <c r="A1000" s="33" t="n"/>
      <c r="B1000" s="91" t="n"/>
      <c r="C1000" s="34" t="n"/>
    </row>
    <row r="1001">
      <c r="A1001" s="36" t="n"/>
      <c r="B1001" s="92" t="n"/>
      <c r="C1001" s="37" t="n"/>
    </row>
    <row r="1002">
      <c r="A1002" s="33" t="n"/>
      <c r="B1002" s="91" t="n"/>
      <c r="C1002" s="34" t="n"/>
    </row>
    <row r="1003">
      <c r="A1003" s="36" t="n"/>
      <c r="B1003" s="92" t="n"/>
      <c r="C1003" s="37" t="n"/>
    </row>
    <row r="1004">
      <c r="A1004" s="33" t="n"/>
      <c r="B1004" s="91" t="n"/>
      <c r="C1004" s="34" t="n"/>
    </row>
    <row r="1005">
      <c r="A1005" s="36" t="n"/>
      <c r="B1005" s="92" t="n"/>
      <c r="C1005" s="37" t="n"/>
    </row>
    <row r="1006">
      <c r="A1006" s="33" t="n"/>
      <c r="B1006" s="91" t="n"/>
      <c r="C1006" s="34" t="n"/>
    </row>
    <row r="1007">
      <c r="A1007" s="36" t="n"/>
      <c r="B1007" s="92" t="n"/>
      <c r="C1007" s="37" t="n"/>
    </row>
    <row r="1008">
      <c r="A1008" s="33" t="n"/>
      <c r="B1008" s="91" t="n"/>
      <c r="C1008" s="34" t="n"/>
    </row>
    <row r="1009">
      <c r="A1009" s="36" t="n"/>
      <c r="B1009" s="92" t="n"/>
      <c r="C1009" s="37" t="n"/>
    </row>
    <row r="1010">
      <c r="A1010" s="33" t="n"/>
      <c r="B1010" s="91" t="n"/>
      <c r="C1010" s="34" t="n"/>
    </row>
    <row r="1011">
      <c r="A1011" s="36" t="n"/>
      <c r="B1011" s="92" t="n"/>
      <c r="C1011" s="37" t="n"/>
    </row>
    <row r="1012">
      <c r="A1012" s="33" t="n"/>
      <c r="B1012" s="91" t="n"/>
      <c r="C1012" s="34" t="n"/>
    </row>
    <row r="1013">
      <c r="A1013" s="36" t="n"/>
      <c r="B1013" s="92" t="n"/>
      <c r="C1013" s="37" t="n"/>
    </row>
    <row r="1014">
      <c r="A1014" s="33" t="n"/>
      <c r="B1014" s="91" t="n"/>
      <c r="C1014" s="34" t="n"/>
    </row>
    <row r="1015">
      <c r="A1015" s="36" t="n"/>
      <c r="B1015" s="92" t="n"/>
      <c r="C1015" s="37" t="n"/>
    </row>
    <row r="1016">
      <c r="A1016" s="33" t="n"/>
      <c r="B1016" s="91" t="n"/>
      <c r="C1016" s="34" t="n"/>
    </row>
    <row r="1017">
      <c r="A1017" s="36" t="n"/>
      <c r="B1017" s="92" t="n"/>
      <c r="C1017" s="37" t="n"/>
    </row>
    <row r="1018">
      <c r="A1018" s="33" t="n"/>
      <c r="B1018" s="91" t="n"/>
      <c r="C1018" s="34" t="n"/>
    </row>
    <row r="1019">
      <c r="A1019" s="36" t="n"/>
      <c r="B1019" s="92" t="n"/>
      <c r="C1019" s="37" t="n"/>
    </row>
    <row r="1020">
      <c r="A1020" s="33" t="n"/>
      <c r="B1020" s="91" t="n"/>
      <c r="C1020" s="34" t="n"/>
    </row>
    <row r="1021">
      <c r="A1021" s="36" t="n"/>
      <c r="B1021" s="92" t="n"/>
      <c r="C1021" s="37" t="n"/>
    </row>
    <row r="1022">
      <c r="A1022" s="33" t="n"/>
      <c r="B1022" s="91" t="n"/>
      <c r="C1022" s="34" t="n"/>
    </row>
    <row r="1023">
      <c r="A1023" s="36" t="n"/>
      <c r="B1023" s="92" t="n"/>
      <c r="C1023" s="37" t="n"/>
    </row>
    <row r="1024">
      <c r="A1024" s="33" t="n"/>
      <c r="B1024" s="91" t="n"/>
      <c r="C1024" s="34" t="n"/>
    </row>
    <row r="1025">
      <c r="A1025" s="36" t="n"/>
      <c r="B1025" s="92" t="n"/>
      <c r="C1025" s="37" t="n"/>
    </row>
    <row r="1026">
      <c r="A1026" s="33" t="n"/>
      <c r="B1026" s="91" t="n"/>
      <c r="C1026" s="34" t="n"/>
    </row>
    <row r="1027">
      <c r="A1027" s="36" t="n"/>
      <c r="B1027" s="92" t="n"/>
      <c r="C1027" s="37" t="n"/>
    </row>
    <row r="1028">
      <c r="A1028" s="33" t="n"/>
      <c r="B1028" s="91" t="n"/>
      <c r="C1028" s="34" t="n"/>
    </row>
    <row r="1029">
      <c r="A1029" s="36" t="n"/>
      <c r="B1029" s="92" t="n"/>
      <c r="C1029" s="37" t="n"/>
    </row>
    <row r="1030">
      <c r="A1030" s="33" t="n"/>
      <c r="B1030" s="91" t="n"/>
      <c r="C1030" s="34" t="n"/>
    </row>
    <row r="1031">
      <c r="A1031" s="36" t="n"/>
      <c r="B1031" s="92" t="n"/>
      <c r="C1031" s="37" t="n"/>
    </row>
    <row r="1032">
      <c r="A1032" s="33" t="n"/>
      <c r="B1032" s="91" t="n"/>
      <c r="C1032" s="34" t="n"/>
    </row>
    <row r="1033">
      <c r="A1033" s="36" t="n"/>
      <c r="B1033" s="92" t="n"/>
      <c r="C1033" s="37" t="n"/>
    </row>
    <row r="1034">
      <c r="A1034" s="33" t="n"/>
      <c r="B1034" s="91" t="n"/>
      <c r="C1034" s="34" t="n"/>
    </row>
    <row r="1035">
      <c r="A1035" s="36" t="n"/>
      <c r="B1035" s="92" t="n"/>
      <c r="C1035" s="37" t="n"/>
    </row>
    <row r="1036">
      <c r="A1036" s="33" t="n"/>
      <c r="B1036" s="91" t="n"/>
      <c r="C1036" s="34" t="n"/>
    </row>
    <row r="1037">
      <c r="A1037" s="36" t="n"/>
      <c r="B1037" s="92" t="n"/>
      <c r="C1037" s="37" t="n"/>
    </row>
    <row r="1038">
      <c r="A1038" s="33" t="n"/>
      <c r="B1038" s="91" t="n"/>
      <c r="C1038" s="34" t="n"/>
    </row>
    <row r="1039">
      <c r="A1039" s="36" t="n"/>
      <c r="B1039" s="92" t="n"/>
      <c r="C1039" s="37" t="n"/>
    </row>
    <row r="1040">
      <c r="A1040" s="33" t="n"/>
      <c r="B1040" s="91" t="n"/>
      <c r="C1040" s="34" t="n"/>
    </row>
    <row r="1041">
      <c r="A1041" s="36" t="n"/>
      <c r="B1041" s="92" t="n"/>
      <c r="C1041" s="37" t="n"/>
    </row>
    <row r="1042">
      <c r="A1042" s="33" t="n"/>
      <c r="B1042" s="91" t="n"/>
      <c r="C1042" s="34" t="n"/>
    </row>
    <row r="1043">
      <c r="A1043" s="36" t="n"/>
      <c r="B1043" s="92" t="n"/>
      <c r="C1043" s="37" t="n"/>
    </row>
    <row r="1044">
      <c r="A1044" s="33" t="n"/>
      <c r="B1044" s="91" t="n"/>
      <c r="C1044" s="34" t="n"/>
    </row>
    <row r="1045">
      <c r="A1045" s="36" t="n"/>
      <c r="B1045" s="92" t="n"/>
      <c r="C1045" s="37" t="n"/>
    </row>
    <row r="1046">
      <c r="A1046" s="33" t="n"/>
      <c r="B1046" s="91" t="n"/>
      <c r="C1046" s="34" t="n"/>
    </row>
    <row r="1047">
      <c r="A1047" s="36" t="n"/>
      <c r="B1047" s="92" t="n"/>
      <c r="C1047" s="37" t="n"/>
    </row>
    <row r="1048">
      <c r="A1048" s="33" t="n"/>
      <c r="B1048" s="91" t="n"/>
      <c r="C1048" s="34" t="n"/>
    </row>
    <row r="1049">
      <c r="A1049" s="36" t="n"/>
      <c r="B1049" s="92" t="n"/>
      <c r="C1049" s="37" t="n"/>
    </row>
    <row r="1050">
      <c r="A1050" s="33" t="n"/>
      <c r="B1050" s="91" t="n"/>
      <c r="C1050" s="34" t="n"/>
    </row>
    <row r="1051">
      <c r="A1051" s="36" t="n"/>
      <c r="B1051" s="92" t="n"/>
      <c r="C1051" s="37" t="n"/>
    </row>
    <row r="1052">
      <c r="A1052" s="33" t="n"/>
      <c r="B1052" s="91" t="n"/>
      <c r="C1052" s="34" t="n"/>
    </row>
    <row r="1053">
      <c r="A1053" s="36" t="n"/>
      <c r="B1053" s="92" t="n"/>
      <c r="C1053" s="37" t="n"/>
    </row>
    <row r="1054">
      <c r="A1054" s="33" t="n"/>
      <c r="B1054" s="91" t="n"/>
      <c r="C1054" s="34" t="n"/>
    </row>
    <row r="1055">
      <c r="A1055" s="36" t="n"/>
      <c r="B1055" s="92" t="n"/>
      <c r="C1055" s="37" t="n"/>
    </row>
    <row r="1056">
      <c r="A1056" s="33" t="n"/>
      <c r="B1056" s="91" t="n"/>
      <c r="C1056" s="34" t="n"/>
    </row>
    <row r="1057">
      <c r="A1057" s="36" t="n"/>
      <c r="B1057" s="92" t="n"/>
      <c r="C1057" s="37" t="n"/>
    </row>
    <row r="1058">
      <c r="A1058" s="33" t="n"/>
      <c r="B1058" s="91" t="n"/>
      <c r="C1058" s="34" t="n"/>
    </row>
    <row r="1059">
      <c r="A1059" s="36" t="n"/>
      <c r="B1059" s="92" t="n"/>
      <c r="C1059" s="37" t="n"/>
    </row>
    <row r="1060">
      <c r="A1060" s="33" t="n"/>
      <c r="B1060" s="91" t="n"/>
      <c r="C1060" s="34" t="n"/>
    </row>
    <row r="1061">
      <c r="A1061" s="36" t="n"/>
      <c r="B1061" s="92" t="n"/>
      <c r="C1061" s="37" t="n"/>
    </row>
    <row r="1062">
      <c r="A1062" s="33" t="n"/>
      <c r="B1062" s="91" t="n"/>
      <c r="C1062" s="34" t="n"/>
    </row>
    <row r="1063">
      <c r="A1063" s="36" t="n"/>
      <c r="B1063" s="92" t="n"/>
      <c r="C1063" s="37" t="n"/>
    </row>
    <row r="1064">
      <c r="A1064" s="33" t="n"/>
      <c r="B1064" s="91" t="n"/>
      <c r="C1064" s="34" t="n"/>
    </row>
    <row r="1065">
      <c r="A1065" s="36" t="n"/>
      <c r="B1065" s="92" t="n"/>
      <c r="C1065" s="37" t="n"/>
    </row>
    <row r="1066">
      <c r="A1066" s="33" t="n"/>
      <c r="B1066" s="91" t="n"/>
      <c r="C1066" s="34" t="n"/>
    </row>
    <row r="1067">
      <c r="A1067" s="36" t="n"/>
      <c r="B1067" s="92" t="n"/>
      <c r="C1067" s="37" t="n"/>
    </row>
    <row r="1068">
      <c r="A1068" s="33" t="n"/>
      <c r="B1068" s="91" t="n"/>
      <c r="C1068" s="34" t="n"/>
    </row>
    <row r="1069">
      <c r="A1069" s="36" t="n"/>
      <c r="B1069" s="92" t="n"/>
      <c r="C1069" s="37" t="n"/>
    </row>
    <row r="1070">
      <c r="A1070" s="33" t="n"/>
      <c r="B1070" s="91" t="n"/>
      <c r="C1070" s="34" t="n"/>
    </row>
    <row r="1071">
      <c r="A1071" s="36" t="n"/>
      <c r="B1071" s="92" t="n"/>
      <c r="C1071" s="37" t="n"/>
    </row>
    <row r="1072">
      <c r="A1072" s="33" t="n"/>
      <c r="B1072" s="91" t="n"/>
      <c r="C1072" s="34" t="n"/>
    </row>
    <row r="1073">
      <c r="A1073" s="36" t="n"/>
      <c r="B1073" s="92" t="n"/>
      <c r="C1073" s="37" t="n"/>
    </row>
    <row r="1074">
      <c r="A1074" s="33" t="n"/>
      <c r="B1074" s="91" t="n"/>
      <c r="C1074" s="34" t="n"/>
    </row>
    <row r="1075">
      <c r="A1075" s="36" t="n"/>
      <c r="B1075" s="92" t="n"/>
      <c r="C1075" s="37" t="n"/>
    </row>
    <row r="1076">
      <c r="A1076" s="33" t="n"/>
      <c r="B1076" s="91" t="n"/>
      <c r="C1076" s="34" t="n"/>
    </row>
    <row r="1077">
      <c r="A1077" s="36" t="n"/>
      <c r="B1077" s="92" t="n"/>
      <c r="C1077" s="37" t="n"/>
    </row>
    <row r="1078">
      <c r="A1078" s="33" t="n"/>
      <c r="B1078" s="91" t="n"/>
      <c r="C1078" s="34" t="n"/>
    </row>
    <row r="1079">
      <c r="A1079" s="36" t="n"/>
      <c r="B1079" s="92" t="n"/>
      <c r="C1079" s="37" t="n"/>
    </row>
    <row r="1080">
      <c r="A1080" s="33" t="n"/>
      <c r="B1080" s="91" t="n"/>
      <c r="C1080" s="34" t="n"/>
    </row>
    <row r="1081">
      <c r="A1081" s="36" t="n"/>
      <c r="B1081" s="92" t="n"/>
      <c r="C1081" s="37" t="n"/>
    </row>
    <row r="1082">
      <c r="A1082" s="33" t="n"/>
      <c r="B1082" s="91" t="n"/>
      <c r="C1082" s="34" t="n"/>
    </row>
    <row r="1083">
      <c r="A1083" s="36" t="n"/>
      <c r="B1083" s="92" t="n"/>
      <c r="C1083" s="37" t="n"/>
    </row>
    <row r="1084">
      <c r="A1084" s="33" t="n"/>
      <c r="B1084" s="91" t="n"/>
      <c r="C1084" s="34" t="n"/>
    </row>
    <row r="1085">
      <c r="A1085" s="36" t="n"/>
      <c r="B1085" s="92" t="n"/>
      <c r="C1085" s="37" t="n"/>
    </row>
    <row r="1086">
      <c r="A1086" s="33" t="n"/>
      <c r="B1086" s="91" t="n"/>
      <c r="C1086" s="34" t="n"/>
    </row>
    <row r="1087">
      <c r="A1087" s="36" t="n"/>
      <c r="B1087" s="92" t="n"/>
      <c r="C1087" s="37" t="n"/>
    </row>
    <row r="1088">
      <c r="A1088" s="33" t="n"/>
      <c r="B1088" s="91" t="n"/>
      <c r="C1088" s="34" t="n"/>
    </row>
    <row r="1089">
      <c r="A1089" s="36" t="n"/>
      <c r="B1089" s="92" t="n"/>
      <c r="C1089" s="37" t="n"/>
    </row>
    <row r="1090">
      <c r="A1090" s="33" t="n"/>
      <c r="B1090" s="91" t="n"/>
      <c r="C1090" s="34" t="n"/>
    </row>
    <row r="1091">
      <c r="A1091" s="36" t="n"/>
      <c r="B1091" s="92" t="n"/>
      <c r="C1091" s="37" t="n"/>
    </row>
    <row r="1092">
      <c r="A1092" s="33" t="n"/>
      <c r="B1092" s="91" t="n"/>
      <c r="C1092" s="34" t="n"/>
    </row>
    <row r="1093">
      <c r="A1093" s="36" t="n"/>
      <c r="B1093" s="92" t="n"/>
      <c r="C1093" s="37" t="n"/>
    </row>
    <row r="1094">
      <c r="A1094" s="33" t="n"/>
      <c r="B1094" s="91" t="n"/>
      <c r="C1094" s="34" t="n"/>
    </row>
    <row r="1095">
      <c r="A1095" s="36" t="n"/>
      <c r="B1095" s="92" t="n"/>
      <c r="C1095" s="37" t="n"/>
    </row>
    <row r="1096">
      <c r="A1096" s="33" t="n"/>
      <c r="B1096" s="91" t="n"/>
      <c r="C1096" s="34" t="n"/>
    </row>
    <row r="1097">
      <c r="A1097" s="36" t="n"/>
      <c r="B1097" s="92" t="n"/>
      <c r="C1097" s="37" t="n"/>
    </row>
    <row r="1098">
      <c r="A1098" s="33" t="n"/>
      <c r="B1098" s="91" t="n"/>
      <c r="C1098" s="34" t="n"/>
    </row>
    <row r="1099">
      <c r="A1099" s="36" t="n"/>
      <c r="B1099" s="92" t="n"/>
      <c r="C1099" s="37" t="n"/>
    </row>
    <row r="1100">
      <c r="A1100" s="33" t="n"/>
      <c r="B1100" s="91" t="n"/>
      <c r="C1100" s="34" t="n"/>
    </row>
    <row r="1101">
      <c r="A1101" s="36" t="n"/>
      <c r="B1101" s="92" t="n"/>
      <c r="C1101" s="37" t="n"/>
    </row>
    <row r="1102">
      <c r="A1102" s="33" t="n"/>
      <c r="B1102" s="91" t="n"/>
      <c r="C1102" s="34" t="n"/>
    </row>
    <row r="1103">
      <c r="A1103" s="36" t="n"/>
      <c r="B1103" s="92" t="n"/>
      <c r="C1103" s="37" t="n"/>
    </row>
    <row r="1104">
      <c r="A1104" s="33" t="n"/>
      <c r="B1104" s="91" t="n"/>
      <c r="C1104" s="34" t="n"/>
    </row>
    <row r="1105">
      <c r="A1105" s="36" t="n"/>
      <c r="B1105" s="92" t="n"/>
      <c r="C1105" s="37" t="n"/>
    </row>
    <row r="1106">
      <c r="A1106" s="33" t="n"/>
      <c r="B1106" s="91" t="n"/>
      <c r="C1106" s="34" t="n"/>
    </row>
    <row r="1107">
      <c r="A1107" s="36" t="n"/>
      <c r="B1107" s="92" t="n"/>
      <c r="C1107" s="37" t="n"/>
    </row>
    <row r="1108">
      <c r="A1108" s="33" t="n"/>
      <c r="B1108" s="91" t="n"/>
      <c r="C1108" s="34" t="n"/>
    </row>
    <row r="1109">
      <c r="A1109" s="36" t="n"/>
      <c r="B1109" s="92" t="n"/>
      <c r="C1109" s="37" t="n"/>
    </row>
    <row r="1110">
      <c r="A1110" s="33" t="n"/>
      <c r="B1110" s="91" t="n"/>
      <c r="C1110" s="34" t="n"/>
    </row>
    <row r="1111">
      <c r="A1111" s="36" t="n"/>
      <c r="B1111" s="92" t="n"/>
      <c r="C1111" s="37" t="n"/>
    </row>
    <row r="1112">
      <c r="A1112" s="33" t="n"/>
      <c r="B1112" s="91" t="n"/>
      <c r="C1112" s="34" t="n"/>
    </row>
    <row r="1113">
      <c r="A1113" s="36" t="n"/>
      <c r="B1113" s="92" t="n"/>
      <c r="C1113" s="37" t="n"/>
    </row>
    <row r="1114">
      <c r="A1114" s="33" t="n"/>
      <c r="B1114" s="91" t="n"/>
      <c r="C1114" s="34" t="n"/>
    </row>
    <row r="1115">
      <c r="A1115" s="36" t="n"/>
      <c r="B1115" s="92" t="n"/>
      <c r="C1115" s="37" t="n"/>
    </row>
    <row r="1116">
      <c r="A1116" s="33" t="n"/>
      <c r="B1116" s="91" t="n"/>
      <c r="C1116" s="34" t="n"/>
    </row>
    <row r="1117">
      <c r="A1117" s="36" t="n"/>
      <c r="B1117" s="92" t="n"/>
      <c r="C1117" s="37" t="n"/>
    </row>
    <row r="1118">
      <c r="A1118" s="33" t="n"/>
      <c r="B1118" s="91" t="n"/>
      <c r="C1118" s="34" t="n"/>
    </row>
    <row r="1119">
      <c r="A1119" s="36" t="n"/>
      <c r="B1119" s="92" t="n"/>
      <c r="C1119" s="37" t="n"/>
    </row>
    <row r="1120">
      <c r="A1120" s="33" t="n"/>
      <c r="B1120" s="91" t="n"/>
      <c r="C1120" s="34" t="n"/>
    </row>
    <row r="1121">
      <c r="A1121" s="36" t="n"/>
      <c r="B1121" s="92" t="n"/>
      <c r="C1121" s="37" t="n"/>
    </row>
    <row r="1122">
      <c r="A1122" s="33" t="n"/>
      <c r="B1122" s="91" t="n"/>
      <c r="C1122" s="34" t="n"/>
    </row>
    <row r="1123">
      <c r="A1123" s="36" t="n"/>
      <c r="B1123" s="92" t="n"/>
      <c r="C1123" s="37" t="n"/>
    </row>
    <row r="1124">
      <c r="A1124" s="33" t="n"/>
      <c r="B1124" s="91" t="n"/>
      <c r="C1124" s="34" t="n"/>
    </row>
    <row r="1125">
      <c r="A1125" s="36" t="n"/>
      <c r="B1125" s="92" t="n"/>
      <c r="C1125" s="37" t="n"/>
    </row>
    <row r="1126">
      <c r="A1126" s="33" t="n"/>
      <c r="B1126" s="91" t="n"/>
      <c r="C1126" s="34" t="n"/>
    </row>
    <row r="1127">
      <c r="A1127" s="36" t="n"/>
      <c r="B1127" s="92" t="n"/>
      <c r="C1127" s="37" t="n"/>
    </row>
    <row r="1128">
      <c r="A1128" s="33" t="n"/>
      <c r="B1128" s="91" t="n"/>
      <c r="C1128" s="34" t="n"/>
    </row>
    <row r="1129">
      <c r="A1129" s="36" t="n"/>
      <c r="B1129" s="92" t="n"/>
      <c r="C1129" s="37" t="n"/>
    </row>
    <row r="1130">
      <c r="A1130" s="33" t="n"/>
      <c r="B1130" s="91" t="n"/>
      <c r="C1130" s="34" t="n"/>
    </row>
    <row r="1131">
      <c r="A1131" s="36" t="n"/>
      <c r="B1131" s="92" t="n"/>
      <c r="C1131" s="37" t="n"/>
    </row>
    <row r="1132">
      <c r="A1132" s="33" t="n"/>
      <c r="B1132" s="91" t="n"/>
      <c r="C1132" s="34" t="n"/>
    </row>
    <row r="1133">
      <c r="A1133" s="36" t="n"/>
      <c r="B1133" s="92" t="n"/>
      <c r="C1133" s="37" t="n"/>
    </row>
    <row r="1134">
      <c r="A1134" s="33" t="n"/>
      <c r="B1134" s="91" t="n"/>
      <c r="C1134" s="34" t="n"/>
    </row>
    <row r="1135">
      <c r="A1135" s="36" t="n"/>
      <c r="B1135" s="92" t="n"/>
      <c r="C1135" s="37" t="n"/>
    </row>
    <row r="1136">
      <c r="A1136" s="33" t="n"/>
      <c r="B1136" s="91" t="n"/>
      <c r="C1136" s="34" t="n"/>
    </row>
    <row r="1137">
      <c r="A1137" s="36" t="n"/>
      <c r="B1137" s="92" t="n"/>
      <c r="C1137" s="37" t="n"/>
    </row>
    <row r="1138">
      <c r="A1138" s="33" t="n"/>
      <c r="B1138" s="91" t="n"/>
      <c r="C1138" s="34" t="n"/>
    </row>
    <row r="1139">
      <c r="A1139" s="36" t="n"/>
      <c r="B1139" s="92" t="n"/>
      <c r="C1139" s="37" t="n"/>
    </row>
    <row r="1140">
      <c r="A1140" s="33" t="n"/>
      <c r="B1140" s="91" t="n"/>
      <c r="C1140" s="34" t="n"/>
    </row>
    <row r="1141">
      <c r="A1141" s="36" t="n"/>
      <c r="B1141" s="92" t="n"/>
      <c r="C1141" s="37" t="n"/>
    </row>
    <row r="1142">
      <c r="A1142" s="33" t="n"/>
      <c r="B1142" s="91" t="n"/>
      <c r="C1142" s="34" t="n"/>
    </row>
    <row r="1143">
      <c r="A1143" s="36" t="n"/>
      <c r="B1143" s="92" t="n"/>
      <c r="C1143" s="37" t="n"/>
    </row>
    <row r="1144">
      <c r="A1144" s="33" t="n"/>
      <c r="B1144" s="91" t="n"/>
      <c r="C1144" s="34" t="n"/>
    </row>
    <row r="1145">
      <c r="A1145" s="36" t="n"/>
      <c r="B1145" s="92" t="n"/>
      <c r="C1145" s="37" t="n"/>
    </row>
    <row r="1146">
      <c r="A1146" s="33" t="n"/>
      <c r="B1146" s="91" t="n"/>
      <c r="C1146" s="34" t="n"/>
    </row>
    <row r="1147">
      <c r="A1147" s="36" t="n"/>
      <c r="B1147" s="92" t="n"/>
      <c r="C1147" s="37" t="n"/>
    </row>
    <row r="1148">
      <c r="A1148" s="33" t="n"/>
      <c r="B1148" s="91" t="n"/>
      <c r="C1148" s="34" t="n"/>
    </row>
    <row r="1149">
      <c r="A1149" s="36" t="n"/>
      <c r="B1149" s="92" t="n"/>
      <c r="C1149" s="37" t="n"/>
    </row>
    <row r="1150">
      <c r="A1150" s="33" t="n"/>
      <c r="B1150" s="91" t="n"/>
      <c r="C1150" s="34" t="n"/>
    </row>
    <row r="1151">
      <c r="A1151" s="36" t="n"/>
      <c r="B1151" s="92" t="n"/>
      <c r="C1151" s="37" t="n"/>
    </row>
    <row r="1152">
      <c r="A1152" s="33" t="n"/>
      <c r="B1152" s="91" t="n"/>
      <c r="C1152" s="34" t="n"/>
    </row>
    <row r="1153">
      <c r="A1153" s="36" t="n"/>
      <c r="B1153" s="92" t="n"/>
      <c r="C1153" s="37" t="n"/>
    </row>
    <row r="1154">
      <c r="A1154" s="33" t="n"/>
      <c r="B1154" s="91" t="n"/>
      <c r="C1154" s="34" t="n"/>
    </row>
    <row r="1155">
      <c r="A1155" s="36" t="n"/>
      <c r="B1155" s="92" t="n"/>
      <c r="C1155" s="37" t="n"/>
    </row>
    <row r="1156">
      <c r="A1156" s="33" t="n"/>
      <c r="B1156" s="91" t="n"/>
      <c r="C1156" s="34" t="n"/>
    </row>
    <row r="1157">
      <c r="A1157" s="36" t="n"/>
      <c r="B1157" s="92" t="n"/>
      <c r="C1157" s="37" t="n"/>
    </row>
    <row r="1158">
      <c r="A1158" s="33" t="n"/>
      <c r="B1158" s="91" t="n"/>
      <c r="C1158" s="34" t="n"/>
    </row>
    <row r="1159">
      <c r="A1159" s="36" t="n"/>
      <c r="B1159" s="92" t="n"/>
      <c r="C1159" s="37" t="n"/>
    </row>
    <row r="1160">
      <c r="A1160" s="33" t="n"/>
      <c r="B1160" s="91" t="n"/>
      <c r="C1160" s="34" t="n"/>
    </row>
    <row r="1161">
      <c r="A1161" s="36" t="n"/>
      <c r="B1161" s="92" t="n"/>
      <c r="C1161" s="37" t="n"/>
    </row>
    <row r="1162">
      <c r="A1162" s="33" t="n"/>
      <c r="B1162" s="91" t="n"/>
      <c r="C1162" s="34" t="n"/>
    </row>
    <row r="1163">
      <c r="A1163" s="36" t="n"/>
      <c r="B1163" s="92" t="n"/>
      <c r="C1163" s="37" t="n"/>
    </row>
    <row r="1164">
      <c r="A1164" s="33" t="n"/>
      <c r="B1164" s="91" t="n"/>
      <c r="C1164" s="34" t="n"/>
    </row>
    <row r="1165">
      <c r="A1165" s="36" t="n"/>
      <c r="B1165" s="92" t="n"/>
      <c r="C1165" s="37" t="n"/>
    </row>
    <row r="1166">
      <c r="A1166" s="33" t="n"/>
      <c r="B1166" s="91" t="n"/>
      <c r="C1166" s="34" t="n"/>
    </row>
    <row r="1167">
      <c r="A1167" s="36" t="n"/>
      <c r="B1167" s="92" t="n"/>
      <c r="C1167" s="37" t="n"/>
    </row>
    <row r="1168">
      <c r="A1168" s="33" t="n"/>
      <c r="B1168" s="91" t="n"/>
      <c r="C1168" s="34" t="n"/>
    </row>
    <row r="1169">
      <c r="A1169" s="36" t="n"/>
      <c r="B1169" s="92" t="n"/>
      <c r="C1169" s="37" t="n"/>
    </row>
    <row r="1170">
      <c r="A1170" s="33" t="n"/>
      <c r="B1170" s="91" t="n"/>
      <c r="C1170" s="34" t="n"/>
    </row>
    <row r="1171">
      <c r="A1171" s="36" t="n"/>
      <c r="B1171" s="92" t="n"/>
      <c r="C1171" s="37" t="n"/>
    </row>
    <row r="1172">
      <c r="A1172" s="33" t="n"/>
      <c r="B1172" s="91" t="n"/>
      <c r="C1172" s="34" t="n"/>
    </row>
    <row r="1173">
      <c r="A1173" s="36" t="n"/>
      <c r="B1173" s="92" t="n"/>
      <c r="C1173" s="37" t="n"/>
    </row>
    <row r="1174">
      <c r="A1174" s="33" t="n"/>
      <c r="B1174" s="91" t="n"/>
      <c r="C1174" s="34" t="n"/>
    </row>
    <row r="1175">
      <c r="A1175" s="36" t="n"/>
      <c r="B1175" s="92" t="n"/>
      <c r="C1175" s="37" t="n"/>
    </row>
    <row r="1176">
      <c r="A1176" s="33" t="n"/>
      <c r="B1176" s="91" t="n"/>
      <c r="C1176" s="34" t="n"/>
    </row>
    <row r="1177">
      <c r="A1177" s="36" t="n"/>
      <c r="B1177" s="92" t="n"/>
      <c r="C1177" s="37" t="n"/>
    </row>
    <row r="1178">
      <c r="A1178" s="33" t="n"/>
      <c r="B1178" s="91" t="n"/>
      <c r="C1178" s="34" t="n"/>
    </row>
    <row r="1179">
      <c r="A1179" s="36" t="n"/>
      <c r="B1179" s="92" t="n"/>
      <c r="C1179" s="37" t="n"/>
    </row>
    <row r="1180">
      <c r="A1180" s="33" t="n"/>
      <c r="B1180" s="91" t="n"/>
      <c r="C1180" s="34" t="n"/>
    </row>
    <row r="1181">
      <c r="A1181" s="36" t="n"/>
      <c r="B1181" s="92" t="n"/>
      <c r="C1181" s="37" t="n"/>
    </row>
    <row r="1182">
      <c r="A1182" s="33" t="n"/>
      <c r="B1182" s="91" t="n"/>
      <c r="C1182" s="34" t="n"/>
    </row>
    <row r="1183">
      <c r="A1183" s="36" t="n"/>
      <c r="B1183" s="92" t="n"/>
      <c r="C1183" s="37" t="n"/>
    </row>
    <row r="1184">
      <c r="A1184" s="33" t="n"/>
      <c r="B1184" s="91" t="n"/>
      <c r="C1184" s="34" t="n"/>
    </row>
    <row r="1185">
      <c r="A1185" s="36" t="n"/>
      <c r="B1185" s="92" t="n"/>
      <c r="C1185" s="37" t="n"/>
    </row>
    <row r="1186">
      <c r="A1186" s="33" t="n"/>
      <c r="B1186" s="91" t="n"/>
      <c r="C1186" s="34" t="n"/>
    </row>
    <row r="1187">
      <c r="A1187" s="36" t="n"/>
      <c r="B1187" s="92" t="n"/>
      <c r="C1187" s="37" t="n"/>
    </row>
    <row r="1188">
      <c r="A1188" s="33" t="n"/>
      <c r="B1188" s="91" t="n"/>
      <c r="C1188" s="34" t="n"/>
    </row>
    <row r="1189">
      <c r="A1189" s="36" t="n"/>
      <c r="B1189" s="92" t="n"/>
      <c r="C1189" s="37" t="n"/>
    </row>
    <row r="1190">
      <c r="A1190" s="33" t="n"/>
      <c r="B1190" s="91" t="n"/>
      <c r="C1190" s="34" t="n"/>
    </row>
    <row r="1191">
      <c r="A1191" s="36" t="n"/>
      <c r="B1191" s="92" t="n"/>
      <c r="C1191" s="37" t="n"/>
    </row>
    <row r="1192">
      <c r="A1192" s="33" t="n"/>
      <c r="B1192" s="91" t="n"/>
      <c r="C1192" s="34" t="n"/>
    </row>
    <row r="1193">
      <c r="A1193" s="36" t="n"/>
      <c r="B1193" s="92" t="n"/>
      <c r="C1193" s="37" t="n"/>
    </row>
    <row r="1194">
      <c r="A1194" s="33" t="n"/>
      <c r="B1194" s="91" t="n"/>
      <c r="C1194" s="34" t="n"/>
    </row>
    <row r="1195">
      <c r="A1195" s="36" t="n"/>
      <c r="B1195" s="92" t="n"/>
      <c r="C1195" s="37" t="n"/>
    </row>
    <row r="1196">
      <c r="A1196" s="33" t="n"/>
      <c r="B1196" s="91" t="n"/>
      <c r="C1196" s="34" t="n"/>
    </row>
    <row r="1197">
      <c r="A1197" s="36" t="n"/>
      <c r="B1197" s="92" t="n"/>
      <c r="C1197" s="37" t="n"/>
    </row>
    <row r="1198">
      <c r="A1198" s="33" t="n"/>
      <c r="B1198" s="91" t="n"/>
      <c r="C1198" s="34" t="n"/>
    </row>
    <row r="1199">
      <c r="A1199" s="36" t="n"/>
      <c r="B1199" s="92" t="n"/>
      <c r="C1199" s="37" t="n"/>
    </row>
    <row r="1200">
      <c r="A1200" s="33" t="n"/>
      <c r="B1200" s="91" t="n"/>
      <c r="C1200" s="34" t="n"/>
    </row>
    <row r="1201">
      <c r="A1201" s="36" t="n"/>
      <c r="B1201" s="92" t="n"/>
      <c r="C1201" s="37" t="n"/>
    </row>
    <row r="1202">
      <c r="A1202" s="33" t="n"/>
      <c r="B1202" s="91" t="n"/>
      <c r="C1202" s="34" t="n"/>
    </row>
    <row r="1203">
      <c r="A1203" s="36" t="n"/>
      <c r="B1203" s="92" t="n"/>
      <c r="C1203" s="37" t="n"/>
    </row>
    <row r="1204">
      <c r="A1204" s="33" t="n"/>
      <c r="B1204" s="91" t="n"/>
      <c r="C1204" s="34" t="n"/>
    </row>
    <row r="1205">
      <c r="A1205" s="36" t="n"/>
      <c r="B1205" s="92" t="n"/>
      <c r="C1205" s="37" t="n"/>
    </row>
    <row r="1206">
      <c r="A1206" s="33" t="n"/>
      <c r="B1206" s="91" t="n"/>
      <c r="C1206" s="34" t="n"/>
    </row>
    <row r="1207">
      <c r="A1207" s="36" t="n"/>
      <c r="B1207" s="92" t="n"/>
      <c r="C1207" s="37" t="n"/>
    </row>
    <row r="1208">
      <c r="A1208" s="33" t="n"/>
      <c r="B1208" s="91" t="n"/>
      <c r="C1208" s="34" t="n"/>
    </row>
    <row r="1209">
      <c r="A1209" s="36" t="n"/>
      <c r="B1209" s="92" t="n"/>
      <c r="C1209" s="37" t="n"/>
    </row>
    <row r="1210">
      <c r="A1210" s="33" t="n"/>
      <c r="B1210" s="91" t="n"/>
      <c r="C1210" s="34" t="n"/>
    </row>
    <row r="1211">
      <c r="A1211" s="36" t="n"/>
      <c r="B1211" s="92" t="n"/>
      <c r="C1211" s="37" t="n"/>
    </row>
    <row r="1212">
      <c r="A1212" s="33" t="n"/>
      <c r="B1212" s="91" t="n"/>
      <c r="C1212" s="34" t="n"/>
    </row>
    <row r="1213">
      <c r="A1213" s="36" t="n"/>
      <c r="B1213" s="92" t="n"/>
      <c r="C1213" s="37" t="n"/>
    </row>
    <row r="1214">
      <c r="A1214" s="33" t="n"/>
      <c r="B1214" s="91" t="n"/>
      <c r="C1214" s="34" t="n"/>
    </row>
    <row r="1215">
      <c r="A1215" s="36" t="n"/>
      <c r="B1215" s="92" t="n"/>
      <c r="C1215" s="37" t="n"/>
    </row>
    <row r="1216">
      <c r="A1216" s="33" t="n"/>
      <c r="B1216" s="91" t="n"/>
      <c r="C1216" s="34" t="n"/>
    </row>
    <row r="1217">
      <c r="A1217" s="36" t="n"/>
      <c r="B1217" s="92" t="n"/>
      <c r="C1217" s="37" t="n"/>
    </row>
    <row r="1218">
      <c r="A1218" s="33" t="n"/>
      <c r="B1218" s="91" t="n"/>
      <c r="C1218" s="34" t="n"/>
    </row>
    <row r="1219">
      <c r="A1219" s="36" t="n"/>
      <c r="B1219" s="92" t="n"/>
      <c r="C1219" s="37" t="n"/>
    </row>
    <row r="1220">
      <c r="A1220" s="33" t="n"/>
      <c r="B1220" s="91" t="n"/>
      <c r="C1220" s="34" t="n"/>
    </row>
    <row r="1221">
      <c r="A1221" s="36" t="n"/>
      <c r="B1221" s="92" t="n"/>
      <c r="C1221" s="37" t="n"/>
    </row>
    <row r="1222">
      <c r="A1222" s="33" t="n"/>
      <c r="B1222" s="91" t="n"/>
      <c r="C1222" s="34" t="n"/>
    </row>
    <row r="1223">
      <c r="A1223" s="36" t="n"/>
      <c r="B1223" s="92" t="n"/>
      <c r="C1223" s="37" t="n"/>
    </row>
    <row r="1224">
      <c r="A1224" s="33" t="n"/>
      <c r="B1224" s="91" t="n"/>
      <c r="C1224" s="34" t="n"/>
    </row>
    <row r="1225">
      <c r="A1225" s="36" t="n"/>
      <c r="B1225" s="92" t="n"/>
      <c r="C1225" s="37" t="n"/>
    </row>
    <row r="1226">
      <c r="A1226" s="33" t="n"/>
      <c r="B1226" s="91" t="n"/>
      <c r="C1226" s="34" t="n"/>
    </row>
    <row r="1227">
      <c r="A1227" s="36" t="n"/>
      <c r="B1227" s="92" t="n"/>
      <c r="C1227" s="37" t="n"/>
    </row>
    <row r="1228">
      <c r="A1228" s="33" t="n"/>
      <c r="B1228" s="91" t="n"/>
      <c r="C1228" s="34" t="n"/>
    </row>
    <row r="1229">
      <c r="A1229" s="36" t="n"/>
      <c r="B1229" s="92" t="n"/>
      <c r="C1229" s="37" t="n"/>
    </row>
    <row r="1230">
      <c r="A1230" s="33" t="n"/>
      <c r="B1230" s="91" t="n"/>
      <c r="C1230" s="34" t="n"/>
    </row>
    <row r="1231">
      <c r="A1231" s="36" t="n"/>
      <c r="B1231" s="92" t="n"/>
      <c r="C1231" s="37" t="n"/>
    </row>
    <row r="1232">
      <c r="A1232" s="33" t="n"/>
      <c r="B1232" s="91" t="n"/>
      <c r="C1232" s="34" t="n"/>
    </row>
    <row r="1233">
      <c r="A1233" s="36" t="n"/>
      <c r="B1233" s="92" t="n"/>
      <c r="C1233" s="37" t="n"/>
    </row>
    <row r="1234">
      <c r="A1234" s="33" t="n"/>
      <c r="B1234" s="91" t="n"/>
      <c r="C1234" s="34" t="n"/>
    </row>
    <row r="1235">
      <c r="A1235" s="36" t="n"/>
      <c r="B1235" s="92" t="n"/>
      <c r="C1235" s="37" t="n"/>
    </row>
    <row r="1236">
      <c r="A1236" s="33" t="n"/>
      <c r="B1236" s="91" t="n"/>
      <c r="C1236" s="34" t="n"/>
    </row>
    <row r="1237">
      <c r="A1237" s="36" t="n"/>
      <c r="B1237" s="92" t="n"/>
      <c r="C1237" s="37" t="n"/>
    </row>
    <row r="1238">
      <c r="A1238" s="33" t="n"/>
      <c r="B1238" s="91" t="n"/>
      <c r="C1238" s="34" t="n"/>
    </row>
    <row r="1239">
      <c r="A1239" s="36" t="n"/>
      <c r="B1239" s="92" t="n"/>
      <c r="C1239" s="37" t="n"/>
    </row>
    <row r="1240">
      <c r="A1240" s="33" t="n"/>
      <c r="B1240" s="91" t="n"/>
      <c r="C1240" s="34" t="n"/>
    </row>
    <row r="1241">
      <c r="A1241" s="36" t="n"/>
      <c r="B1241" s="92" t="n"/>
      <c r="C1241" s="37" t="n"/>
    </row>
    <row r="1242">
      <c r="A1242" s="33" t="n"/>
      <c r="B1242" s="91" t="n"/>
      <c r="C1242" s="34" t="n"/>
    </row>
    <row r="1243">
      <c r="A1243" s="36" t="n"/>
      <c r="B1243" s="92" t="n"/>
      <c r="C1243" s="37" t="n"/>
    </row>
    <row r="1244">
      <c r="A1244" s="33" t="n"/>
      <c r="B1244" s="91" t="n"/>
      <c r="C1244" s="34" t="n"/>
    </row>
    <row r="1245">
      <c r="A1245" s="36" t="n"/>
      <c r="B1245" s="92" t="n"/>
      <c r="C1245" s="37" t="n"/>
    </row>
    <row r="1246">
      <c r="A1246" s="33" t="n"/>
      <c r="B1246" s="91" t="n"/>
      <c r="C1246" s="34" t="n"/>
    </row>
    <row r="1247">
      <c r="A1247" s="36" t="n"/>
      <c r="B1247" s="92" t="n"/>
      <c r="C1247" s="37" t="n"/>
    </row>
    <row r="1248">
      <c r="A1248" s="33" t="n"/>
      <c r="B1248" s="91" t="n"/>
      <c r="C1248" s="34" t="n"/>
    </row>
    <row r="1249">
      <c r="A1249" s="36" t="n"/>
      <c r="B1249" s="92" t="n"/>
      <c r="C1249" s="37" t="n"/>
    </row>
    <row r="1250">
      <c r="A1250" s="33" t="n"/>
      <c r="B1250" s="91" t="n"/>
      <c r="C1250" s="34" t="n"/>
    </row>
    <row r="1251">
      <c r="A1251" s="36" t="n"/>
      <c r="B1251" s="92" t="n"/>
      <c r="C1251" s="37" t="n"/>
    </row>
    <row r="1252">
      <c r="A1252" s="33" t="n"/>
      <c r="B1252" s="91" t="n"/>
      <c r="C1252" s="34" t="n"/>
    </row>
    <row r="1253">
      <c r="A1253" s="36" t="n"/>
      <c r="B1253" s="92" t="n"/>
      <c r="C1253" s="37" t="n"/>
    </row>
    <row r="1254">
      <c r="A1254" s="33" t="n"/>
      <c r="B1254" s="91" t="n"/>
      <c r="C1254" s="34" t="n"/>
    </row>
    <row r="1255">
      <c r="A1255" s="36" t="n"/>
      <c r="B1255" s="92" t="n"/>
      <c r="C1255" s="37" t="n"/>
    </row>
    <row r="1256">
      <c r="A1256" s="33" t="n"/>
      <c r="B1256" s="91" t="n"/>
      <c r="C1256" s="34" t="n"/>
    </row>
    <row r="1257">
      <c r="A1257" s="36" t="n"/>
      <c r="B1257" s="92" t="n"/>
      <c r="C1257" s="37" t="n"/>
    </row>
    <row r="1258">
      <c r="A1258" s="33" t="n"/>
      <c r="B1258" s="91" t="n"/>
      <c r="C1258" s="34" t="n"/>
    </row>
    <row r="1259">
      <c r="A1259" s="36" t="n"/>
      <c r="B1259" s="92" t="n"/>
      <c r="C1259" s="37" t="n"/>
    </row>
    <row r="1260">
      <c r="A1260" s="33" t="n"/>
      <c r="B1260" s="91" t="n"/>
      <c r="C1260" s="34" t="n"/>
    </row>
    <row r="1261">
      <c r="A1261" s="36" t="n"/>
      <c r="B1261" s="92" t="n"/>
      <c r="C1261" s="37" t="n"/>
    </row>
    <row r="1262">
      <c r="A1262" s="33" t="n"/>
      <c r="B1262" s="91" t="n"/>
      <c r="C1262" s="34" t="n"/>
    </row>
    <row r="1263">
      <c r="A1263" s="36" t="n"/>
      <c r="B1263" s="92" t="n"/>
      <c r="C1263" s="37" t="n"/>
    </row>
    <row r="1264">
      <c r="A1264" s="33" t="n"/>
      <c r="B1264" s="91" t="n"/>
      <c r="C1264" s="34" t="n"/>
    </row>
    <row r="1265">
      <c r="A1265" s="36" t="n"/>
      <c r="B1265" s="92" t="n"/>
      <c r="C1265" s="37" t="n"/>
    </row>
    <row r="1266">
      <c r="A1266" s="33" t="n"/>
      <c r="B1266" s="91" t="n"/>
      <c r="C1266" s="34" t="n"/>
    </row>
    <row r="1267">
      <c r="A1267" s="36" t="n"/>
      <c r="B1267" s="92" t="n"/>
      <c r="C1267" s="37" t="n"/>
    </row>
    <row r="1268">
      <c r="A1268" s="33" t="n"/>
      <c r="B1268" s="91" t="n"/>
      <c r="C1268" s="34" t="n"/>
    </row>
    <row r="1269">
      <c r="A1269" s="36" t="n"/>
      <c r="B1269" s="92" t="n"/>
      <c r="C1269" s="37" t="n"/>
    </row>
    <row r="1270">
      <c r="A1270" s="33" t="n"/>
      <c r="B1270" s="91" t="n"/>
      <c r="C1270" s="34" t="n"/>
    </row>
    <row r="1271">
      <c r="A1271" s="36" t="n"/>
      <c r="B1271" s="92" t="n"/>
      <c r="C1271" s="37" t="n"/>
    </row>
    <row r="1272">
      <c r="A1272" s="33" t="n"/>
      <c r="B1272" s="91" t="n"/>
      <c r="C1272" s="34" t="n"/>
    </row>
    <row r="1273">
      <c r="A1273" s="36" t="n"/>
      <c r="B1273" s="92" t="n"/>
      <c r="C1273" s="37" t="n"/>
    </row>
    <row r="1274">
      <c r="A1274" s="33" t="n"/>
      <c r="B1274" s="91" t="n"/>
      <c r="C1274" s="34" t="n"/>
    </row>
    <row r="1275">
      <c r="A1275" s="36" t="n"/>
      <c r="B1275" s="92" t="n"/>
      <c r="C1275" s="37" t="n"/>
    </row>
    <row r="1276">
      <c r="A1276" s="33" t="n"/>
      <c r="B1276" s="91" t="n"/>
      <c r="C1276" s="34" t="n"/>
    </row>
    <row r="1277">
      <c r="A1277" s="36" t="n"/>
      <c r="B1277" s="92" t="n"/>
      <c r="C1277" s="37" t="n"/>
    </row>
    <row r="1278">
      <c r="A1278" s="33" t="n"/>
      <c r="B1278" s="91" t="n"/>
      <c r="C1278" s="34" t="n"/>
    </row>
    <row r="1279">
      <c r="A1279" s="36" t="n"/>
      <c r="B1279" s="92" t="n"/>
      <c r="C1279" s="37" t="n"/>
    </row>
    <row r="1280">
      <c r="A1280" s="33" t="n"/>
      <c r="B1280" s="91" t="n"/>
      <c r="C1280" s="34" t="n"/>
    </row>
    <row r="1281">
      <c r="A1281" s="36" t="n"/>
      <c r="B1281" s="92" t="n"/>
      <c r="C1281" s="37" t="n"/>
    </row>
    <row r="1282">
      <c r="A1282" s="33" t="n"/>
      <c r="B1282" s="91" t="n"/>
      <c r="C1282" s="34" t="n"/>
    </row>
    <row r="1283">
      <c r="A1283" s="36" t="n"/>
      <c r="B1283" s="92" t="n"/>
      <c r="C1283" s="37" t="n"/>
    </row>
    <row r="1284">
      <c r="A1284" s="33" t="n"/>
      <c r="B1284" s="91" t="n"/>
      <c r="C1284" s="34" t="n"/>
    </row>
    <row r="1285">
      <c r="A1285" s="36" t="n"/>
      <c r="B1285" s="92" t="n"/>
      <c r="C1285" s="37" t="n"/>
    </row>
    <row r="1286">
      <c r="A1286" s="33" t="n"/>
      <c r="B1286" s="91" t="n"/>
      <c r="C1286" s="34" t="n"/>
    </row>
    <row r="1287">
      <c r="A1287" s="36" t="n"/>
      <c r="B1287" s="92" t="n"/>
      <c r="C1287" s="37" t="n"/>
    </row>
    <row r="1288">
      <c r="A1288" s="33" t="n"/>
      <c r="B1288" s="91" t="n"/>
      <c r="C1288" s="34" t="n"/>
    </row>
    <row r="1289">
      <c r="A1289" s="36" t="n"/>
      <c r="B1289" s="92" t="n"/>
      <c r="C1289" s="37" t="n"/>
    </row>
    <row r="1290">
      <c r="A1290" s="33" t="n"/>
      <c r="B1290" s="91" t="n"/>
      <c r="C1290" s="34" t="n"/>
    </row>
    <row r="1291">
      <c r="A1291" s="36" t="n"/>
      <c r="B1291" s="92" t="n"/>
      <c r="C1291" s="37" t="n"/>
    </row>
    <row r="1292">
      <c r="A1292" s="33" t="n"/>
      <c r="B1292" s="91" t="n"/>
      <c r="C1292" s="34" t="n"/>
    </row>
    <row r="1293">
      <c r="A1293" s="36" t="n"/>
      <c r="B1293" s="92" t="n"/>
      <c r="C1293" s="37" t="n"/>
    </row>
    <row r="1294">
      <c r="A1294" s="33" t="n"/>
      <c r="B1294" s="91" t="n"/>
      <c r="C1294" s="34" t="n"/>
    </row>
    <row r="1295">
      <c r="A1295" s="36" t="n"/>
      <c r="B1295" s="92" t="n"/>
      <c r="C1295" s="37" t="n"/>
    </row>
    <row r="1296">
      <c r="A1296" s="33" t="n"/>
      <c r="B1296" s="91" t="n"/>
      <c r="C1296" s="34" t="n"/>
    </row>
    <row r="1297">
      <c r="A1297" s="36" t="n"/>
      <c r="B1297" s="92" t="n"/>
      <c r="C1297" s="37" t="n"/>
    </row>
    <row r="1298">
      <c r="A1298" s="33" t="n"/>
      <c r="B1298" s="91" t="n"/>
      <c r="C1298" s="34" t="n"/>
    </row>
    <row r="1299">
      <c r="A1299" s="36" t="n"/>
      <c r="B1299" s="92" t="n"/>
      <c r="C1299" s="37" t="n"/>
    </row>
    <row r="1300">
      <c r="A1300" s="33" t="n"/>
      <c r="B1300" s="91" t="n"/>
      <c r="C1300" s="34" t="n"/>
    </row>
    <row r="1301">
      <c r="A1301" s="36" t="n"/>
      <c r="B1301" s="92" t="n"/>
      <c r="C1301" s="37" t="n"/>
    </row>
    <row r="1302">
      <c r="A1302" s="33" t="n"/>
      <c r="B1302" s="91" t="n"/>
      <c r="C1302" s="34" t="n"/>
    </row>
    <row r="1303">
      <c r="A1303" s="36" t="n"/>
      <c r="B1303" s="92" t="n"/>
      <c r="C1303" s="37" t="n"/>
    </row>
    <row r="1304">
      <c r="A1304" s="33" t="n"/>
      <c r="B1304" s="91" t="n"/>
      <c r="C1304" s="34" t="n"/>
    </row>
    <row r="1305">
      <c r="A1305" s="36" t="n"/>
      <c r="B1305" s="92" t="n"/>
      <c r="C1305" s="37" t="n"/>
    </row>
    <row r="1306">
      <c r="A1306" s="33" t="n"/>
      <c r="B1306" s="91" t="n"/>
      <c r="C1306" s="34" t="n"/>
    </row>
    <row r="1307">
      <c r="A1307" s="36" t="n"/>
      <c r="B1307" s="92" t="n"/>
      <c r="C1307" s="37" t="n"/>
    </row>
    <row r="1308">
      <c r="A1308" s="33" t="n"/>
      <c r="B1308" s="91" t="n"/>
      <c r="C1308" s="34" t="n"/>
    </row>
    <row r="1309">
      <c r="A1309" s="36" t="n"/>
      <c r="B1309" s="92" t="n"/>
      <c r="C1309" s="37" t="n"/>
    </row>
    <row r="1310">
      <c r="A1310" s="33" t="n"/>
      <c r="B1310" s="91" t="n"/>
      <c r="C1310" s="34" t="n"/>
    </row>
    <row r="1311">
      <c r="A1311" s="36" t="n"/>
      <c r="B1311" s="92" t="n"/>
      <c r="C1311" s="37" t="n"/>
    </row>
    <row r="1312">
      <c r="A1312" s="33" t="n"/>
      <c r="B1312" s="91" t="n"/>
      <c r="C1312" s="34" t="n"/>
    </row>
    <row r="1313">
      <c r="A1313" s="36" t="n"/>
      <c r="B1313" s="92" t="n"/>
      <c r="C1313" s="37" t="n"/>
    </row>
    <row r="1314">
      <c r="A1314" s="33" t="n"/>
      <c r="B1314" s="91" t="n"/>
      <c r="C1314" s="34" t="n"/>
    </row>
    <row r="1315">
      <c r="A1315" s="36" t="n"/>
      <c r="B1315" s="92" t="n"/>
      <c r="C1315" s="37" t="n"/>
    </row>
    <row r="1316">
      <c r="A1316" s="33" t="n"/>
      <c r="B1316" s="91" t="n"/>
      <c r="C1316" s="34" t="n"/>
    </row>
    <row r="1317">
      <c r="A1317" s="36" t="n"/>
      <c r="B1317" s="92" t="n"/>
      <c r="C1317" s="37" t="n"/>
    </row>
    <row r="1318">
      <c r="A1318" s="33" t="n"/>
      <c r="B1318" s="91" t="n"/>
      <c r="C1318" s="34" t="n"/>
    </row>
    <row r="1319">
      <c r="A1319" s="36" t="n"/>
      <c r="B1319" s="92" t="n"/>
      <c r="C1319" s="37" t="n"/>
    </row>
    <row r="1320">
      <c r="A1320" s="33" t="n"/>
      <c r="B1320" s="91" t="n"/>
      <c r="C1320" s="34" t="n"/>
    </row>
    <row r="1321">
      <c r="A1321" s="36" t="n"/>
      <c r="B1321" s="92" t="n"/>
      <c r="C1321" s="37" t="n"/>
    </row>
    <row r="1322">
      <c r="A1322" s="33" t="n"/>
      <c r="B1322" s="91" t="n"/>
      <c r="C1322" s="34" t="n"/>
    </row>
    <row r="1323">
      <c r="A1323" s="36" t="n"/>
      <c r="B1323" s="92" t="n"/>
      <c r="C1323" s="37" t="n"/>
    </row>
    <row r="1324">
      <c r="A1324" s="33" t="n"/>
      <c r="B1324" s="91" t="n"/>
      <c r="C1324" s="34" t="n"/>
    </row>
    <row r="1325">
      <c r="A1325" s="36" t="n"/>
      <c r="B1325" s="92" t="n"/>
      <c r="C1325" s="37" t="n"/>
    </row>
    <row r="1326">
      <c r="A1326" s="33" t="n"/>
      <c r="B1326" s="91" t="n"/>
      <c r="C1326" s="34" t="n"/>
    </row>
    <row r="1327">
      <c r="A1327" s="36" t="n"/>
      <c r="B1327" s="92" t="n"/>
      <c r="C1327" s="37" t="n"/>
    </row>
    <row r="1328">
      <c r="A1328" s="33" t="n"/>
      <c r="B1328" s="91" t="n"/>
      <c r="C1328" s="34" t="n"/>
    </row>
    <row r="1329">
      <c r="A1329" s="36" t="n"/>
      <c r="B1329" s="92" t="n"/>
      <c r="C1329" s="37" t="n"/>
    </row>
    <row r="1330">
      <c r="A1330" s="33" t="n"/>
      <c r="B1330" s="91" t="n"/>
      <c r="C1330" s="34" t="n"/>
    </row>
    <row r="1331">
      <c r="A1331" s="36" t="n"/>
      <c r="B1331" s="92" t="n"/>
      <c r="C1331" s="37" t="n"/>
    </row>
    <row r="1332">
      <c r="A1332" s="33" t="n"/>
      <c r="B1332" s="91" t="n"/>
      <c r="C1332" s="34" t="n"/>
    </row>
    <row r="1333">
      <c r="A1333" s="36" t="n"/>
      <c r="B1333" s="92" t="n"/>
      <c r="C1333" s="37" t="n"/>
    </row>
    <row r="1334">
      <c r="A1334" s="33" t="n"/>
      <c r="B1334" s="91" t="n"/>
      <c r="C1334" s="34" t="n"/>
    </row>
    <row r="1335">
      <c r="A1335" s="36" t="n"/>
      <c r="B1335" s="92" t="n"/>
      <c r="C1335" s="37" t="n"/>
    </row>
    <row r="1336">
      <c r="A1336" s="33" t="n"/>
      <c r="B1336" s="91" t="n"/>
      <c r="C1336" s="34" t="n"/>
    </row>
    <row r="1337">
      <c r="A1337" s="36" t="n"/>
      <c r="B1337" s="92" t="n"/>
      <c r="C1337" s="37" t="n"/>
    </row>
    <row r="1338">
      <c r="A1338" s="33" t="n"/>
      <c r="B1338" s="91" t="n"/>
      <c r="C1338" s="34" t="n"/>
    </row>
    <row r="1339">
      <c r="A1339" s="36" t="n"/>
      <c r="B1339" s="92" t="n"/>
      <c r="C1339" s="37" t="n"/>
    </row>
    <row r="1340">
      <c r="A1340" s="33" t="n"/>
      <c r="B1340" s="91" t="n"/>
      <c r="C1340" s="34" t="n"/>
    </row>
    <row r="1341">
      <c r="A1341" s="36" t="n"/>
      <c r="B1341" s="92" t="n"/>
      <c r="C1341" s="37" t="n"/>
    </row>
    <row r="1342">
      <c r="A1342" s="33" t="n"/>
      <c r="B1342" s="91" t="n"/>
      <c r="C1342" s="34" t="n"/>
    </row>
    <row r="1343">
      <c r="A1343" s="36" t="n"/>
      <c r="B1343" s="92" t="n"/>
      <c r="C1343" s="37" t="n"/>
    </row>
    <row r="1344">
      <c r="A1344" s="33" t="n"/>
      <c r="B1344" s="91" t="n"/>
      <c r="C1344" s="34" t="n"/>
    </row>
    <row r="1345">
      <c r="A1345" s="36" t="n"/>
      <c r="B1345" s="92" t="n"/>
      <c r="C1345" s="37" t="n"/>
    </row>
    <row r="1346">
      <c r="A1346" s="33" t="n"/>
      <c r="B1346" s="91" t="n"/>
      <c r="C1346" s="34" t="n"/>
    </row>
    <row r="1347">
      <c r="A1347" s="36" t="n"/>
      <c r="B1347" s="92" t="n"/>
      <c r="C1347" s="37" t="n"/>
    </row>
    <row r="1348">
      <c r="A1348" s="33" t="n"/>
      <c r="B1348" s="91" t="n"/>
      <c r="C1348" s="34" t="n"/>
    </row>
    <row r="1349">
      <c r="A1349" s="36" t="n"/>
      <c r="B1349" s="92" t="n"/>
      <c r="C1349" s="37" t="n"/>
    </row>
    <row r="1350">
      <c r="A1350" s="33" t="n"/>
      <c r="B1350" s="91" t="n"/>
      <c r="C1350" s="34" t="n"/>
    </row>
    <row r="1351">
      <c r="A1351" s="36" t="n"/>
      <c r="B1351" s="92" t="n"/>
      <c r="C1351" s="37" t="n"/>
    </row>
    <row r="1352">
      <c r="A1352" s="33" t="n"/>
      <c r="B1352" s="91" t="n"/>
      <c r="C1352" s="34" t="n"/>
    </row>
    <row r="1353">
      <c r="A1353" s="36" t="n"/>
      <c r="B1353" s="92" t="n"/>
      <c r="C1353" s="37" t="n"/>
    </row>
    <row r="1354">
      <c r="A1354" s="33" t="n"/>
      <c r="B1354" s="91" t="n"/>
      <c r="C1354" s="34" t="n"/>
    </row>
    <row r="1355">
      <c r="A1355" s="36" t="n"/>
      <c r="B1355" s="92" t="n"/>
      <c r="C1355" s="37" t="n"/>
    </row>
    <row r="1356">
      <c r="A1356" s="33" t="n"/>
      <c r="B1356" s="91" t="n"/>
      <c r="C1356" s="34" t="n"/>
    </row>
    <row r="1357">
      <c r="A1357" s="36" t="n"/>
      <c r="B1357" s="92" t="n"/>
      <c r="C1357" s="37" t="n"/>
    </row>
    <row r="1358">
      <c r="A1358" s="33" t="n"/>
      <c r="B1358" s="91" t="n"/>
      <c r="C1358" s="34" t="n"/>
    </row>
    <row r="1359">
      <c r="A1359" s="36" t="n"/>
      <c r="B1359" s="92" t="n"/>
      <c r="C1359" s="37" t="n"/>
    </row>
    <row r="1360">
      <c r="A1360" s="33" t="n"/>
      <c r="B1360" s="91" t="n"/>
      <c r="C1360" s="34" t="n"/>
    </row>
    <row r="1361">
      <c r="A1361" s="36" t="n"/>
      <c r="B1361" s="92" t="n"/>
      <c r="C1361" s="37" t="n"/>
    </row>
    <row r="1362">
      <c r="A1362" s="33" t="n"/>
      <c r="B1362" s="91" t="n"/>
      <c r="C1362" s="34" t="n"/>
    </row>
    <row r="1363">
      <c r="A1363" s="36" t="n"/>
      <c r="B1363" s="92" t="n"/>
      <c r="C1363" s="37" t="n"/>
    </row>
    <row r="1364">
      <c r="A1364" s="33" t="n"/>
      <c r="B1364" s="91" t="n"/>
      <c r="C1364" s="34" t="n"/>
    </row>
    <row r="1365">
      <c r="A1365" s="36" t="n"/>
      <c r="B1365" s="92" t="n"/>
      <c r="C1365" s="37" t="n"/>
    </row>
    <row r="1366">
      <c r="A1366" s="33" t="n"/>
      <c r="B1366" s="91" t="n"/>
      <c r="C1366" s="34" t="n"/>
    </row>
    <row r="1367">
      <c r="A1367" s="36" t="n"/>
      <c r="B1367" s="92" t="n"/>
      <c r="C1367" s="37" t="n"/>
    </row>
    <row r="1368">
      <c r="A1368" s="33" t="n"/>
      <c r="B1368" s="91" t="n"/>
      <c r="C1368" s="34" t="n"/>
    </row>
    <row r="1369">
      <c r="A1369" s="36" t="n"/>
      <c r="B1369" s="92" t="n"/>
      <c r="C1369" s="37" t="n"/>
    </row>
    <row r="1370">
      <c r="A1370" s="33" t="n"/>
      <c r="B1370" s="91" t="n"/>
      <c r="C1370" s="34" t="n"/>
    </row>
    <row r="1371">
      <c r="A1371" s="36" t="n"/>
      <c r="B1371" s="92" t="n"/>
      <c r="C1371" s="37" t="n"/>
    </row>
    <row r="1372">
      <c r="A1372" s="33" t="n"/>
      <c r="B1372" s="91" t="n"/>
      <c r="C1372" s="34" t="n"/>
    </row>
    <row r="1373">
      <c r="A1373" s="36" t="n"/>
      <c r="B1373" s="92" t="n"/>
      <c r="C1373" s="37" t="n"/>
    </row>
    <row r="1374">
      <c r="A1374" s="33" t="n"/>
      <c r="B1374" s="91" t="n"/>
      <c r="C1374" s="34" t="n"/>
    </row>
    <row r="1375">
      <c r="A1375" s="36" t="n"/>
      <c r="B1375" s="92" t="n"/>
      <c r="C1375" s="37" t="n"/>
    </row>
    <row r="1376">
      <c r="A1376" s="33" t="n"/>
      <c r="B1376" s="91" t="n"/>
      <c r="C1376" s="34" t="n"/>
    </row>
    <row r="1377">
      <c r="A1377" s="36" t="n"/>
      <c r="B1377" s="92" t="n"/>
      <c r="C1377" s="37" t="n"/>
    </row>
    <row r="1378">
      <c r="A1378" s="33" t="n"/>
      <c r="B1378" s="91" t="n"/>
      <c r="C1378" s="34" t="n"/>
    </row>
    <row r="1379">
      <c r="A1379" s="36" t="n"/>
      <c r="B1379" s="92" t="n"/>
      <c r="C1379" s="37" t="n"/>
    </row>
    <row r="1380">
      <c r="A1380" s="33" t="n"/>
      <c r="B1380" s="91" t="n"/>
      <c r="C1380" s="34" t="n"/>
    </row>
    <row r="1381">
      <c r="A1381" s="36" t="n"/>
      <c r="B1381" s="92" t="n"/>
      <c r="C1381" s="37" t="n"/>
    </row>
    <row r="1382">
      <c r="A1382" s="33" t="n"/>
      <c r="B1382" s="91" t="n"/>
      <c r="C1382" s="34" t="n"/>
    </row>
    <row r="1383">
      <c r="A1383" s="36" t="n"/>
      <c r="B1383" s="92" t="n"/>
      <c r="C1383" s="37" t="n"/>
    </row>
    <row r="1384">
      <c r="A1384" s="33" t="n"/>
      <c r="B1384" s="91" t="n"/>
      <c r="C1384" s="34" t="n"/>
    </row>
    <row r="1385">
      <c r="A1385" s="36" t="n"/>
      <c r="B1385" s="92" t="n"/>
      <c r="C1385" s="37" t="n"/>
    </row>
    <row r="1386">
      <c r="A1386" s="33" t="n"/>
      <c r="B1386" s="91" t="n"/>
      <c r="C1386" s="34" t="n"/>
    </row>
    <row r="1387">
      <c r="A1387" s="36" t="n"/>
      <c r="B1387" s="92" t="n"/>
      <c r="C1387" s="37" t="n"/>
    </row>
    <row r="1388">
      <c r="A1388" s="33" t="n"/>
      <c r="B1388" s="91" t="n"/>
      <c r="C1388" s="34" t="n"/>
    </row>
    <row r="1389">
      <c r="A1389" s="36" t="n"/>
      <c r="B1389" s="92" t="n"/>
      <c r="C1389" s="37" t="n"/>
    </row>
    <row r="1390">
      <c r="A1390" s="33" t="n"/>
      <c r="B1390" s="91" t="n"/>
      <c r="C1390" s="34" t="n"/>
    </row>
    <row r="1391">
      <c r="A1391" s="36" t="n"/>
      <c r="B1391" s="92" t="n"/>
      <c r="C1391" s="37" t="n"/>
    </row>
    <row r="1392">
      <c r="A1392" s="33" t="n"/>
      <c r="B1392" s="91" t="n"/>
      <c r="C1392" s="34" t="n"/>
    </row>
    <row r="1393">
      <c r="A1393" s="36" t="n"/>
      <c r="B1393" s="92" t="n"/>
      <c r="C1393" s="37" t="n"/>
    </row>
    <row r="1394">
      <c r="A1394" s="33" t="n"/>
      <c r="B1394" s="91" t="n"/>
      <c r="C1394" s="34" t="n"/>
    </row>
    <row r="1395">
      <c r="A1395" s="36" t="n"/>
      <c r="B1395" s="92" t="n"/>
      <c r="C1395" s="37" t="n"/>
    </row>
    <row r="1396">
      <c r="A1396" s="33" t="n"/>
      <c r="B1396" s="91" t="n"/>
      <c r="C1396" s="34" t="n"/>
    </row>
    <row r="1397">
      <c r="A1397" s="36" t="n"/>
      <c r="B1397" s="92" t="n"/>
      <c r="C1397" s="37" t="n"/>
    </row>
    <row r="1398">
      <c r="A1398" s="33" t="n"/>
      <c r="B1398" s="91" t="n"/>
      <c r="C1398" s="34" t="n"/>
    </row>
    <row r="1399">
      <c r="A1399" s="36" t="n"/>
      <c r="B1399" s="92" t="n"/>
      <c r="C1399" s="37" t="n"/>
    </row>
    <row r="1400">
      <c r="A1400" s="33" t="n"/>
      <c r="B1400" s="91" t="n"/>
      <c r="C1400" s="34" t="n"/>
    </row>
    <row r="1401">
      <c r="A1401" s="36" t="n"/>
      <c r="B1401" s="92" t="n"/>
      <c r="C1401" s="37" t="n"/>
    </row>
    <row r="1402">
      <c r="A1402" s="33" t="n"/>
      <c r="B1402" s="91" t="n"/>
      <c r="C1402" s="34" t="n"/>
    </row>
    <row r="1403">
      <c r="A1403" s="36" t="n"/>
      <c r="B1403" s="92" t="n"/>
      <c r="C1403" s="37" t="n"/>
    </row>
    <row r="1404">
      <c r="A1404" s="33" t="n"/>
      <c r="B1404" s="91" t="n"/>
      <c r="C1404" s="34" t="n"/>
    </row>
    <row r="1405">
      <c r="A1405" s="36" t="n"/>
      <c r="B1405" s="92" t="n"/>
      <c r="C1405" s="37" t="n"/>
    </row>
    <row r="1406">
      <c r="A1406" s="33" t="n"/>
      <c r="B1406" s="91" t="n"/>
      <c r="C1406" s="34" t="n"/>
    </row>
    <row r="1407">
      <c r="A1407" s="36" t="n"/>
      <c r="B1407" s="92" t="n"/>
      <c r="C1407" s="37" t="n"/>
    </row>
    <row r="1408">
      <c r="A1408" s="33" t="n"/>
      <c r="B1408" s="91" t="n"/>
      <c r="C1408" s="34" t="n"/>
    </row>
    <row r="1409">
      <c r="A1409" s="36" t="n"/>
      <c r="B1409" s="92" t="n"/>
      <c r="C1409" s="37" t="n"/>
    </row>
    <row r="1410">
      <c r="A1410" s="33" t="n"/>
      <c r="B1410" s="91" t="n"/>
      <c r="C1410" s="34" t="n"/>
    </row>
    <row r="1411">
      <c r="A1411" s="36" t="n"/>
      <c r="B1411" s="92" t="n"/>
      <c r="C1411" s="37" t="n"/>
    </row>
    <row r="1412">
      <c r="A1412" s="33" t="n"/>
      <c r="B1412" s="91" t="n"/>
      <c r="C1412" s="34" t="n"/>
    </row>
    <row r="1413">
      <c r="A1413" s="36" t="n"/>
      <c r="B1413" s="92" t="n"/>
      <c r="C1413" s="37" t="n"/>
    </row>
    <row r="1414">
      <c r="A1414" s="33" t="n"/>
      <c r="B1414" s="91" t="n"/>
      <c r="C1414" s="34" t="n"/>
    </row>
    <row r="1415">
      <c r="A1415" s="36" t="n"/>
      <c r="B1415" s="92" t="n"/>
      <c r="C1415" s="37" t="n"/>
    </row>
    <row r="1416">
      <c r="A1416" s="33" t="n"/>
      <c r="B1416" s="91" t="n"/>
      <c r="C1416" s="34" t="n"/>
    </row>
    <row r="1417">
      <c r="A1417" s="36" t="n"/>
      <c r="B1417" s="92" t="n"/>
      <c r="C1417" s="37" t="n"/>
    </row>
    <row r="1418">
      <c r="A1418" s="33" t="n"/>
      <c r="B1418" s="91" t="n"/>
      <c r="C1418" s="34" t="n"/>
    </row>
    <row r="1419">
      <c r="A1419" s="36" t="n"/>
      <c r="B1419" s="92" t="n"/>
      <c r="C1419" s="37" t="n"/>
    </row>
    <row r="1420">
      <c r="A1420" s="33" t="n"/>
      <c r="B1420" s="91" t="n"/>
      <c r="C1420" s="34" t="n"/>
    </row>
    <row r="1421">
      <c r="A1421" s="36" t="n"/>
      <c r="B1421" s="92" t="n"/>
      <c r="C1421" s="37" t="n"/>
    </row>
    <row r="1422">
      <c r="A1422" s="33" t="n"/>
      <c r="B1422" s="91" t="n"/>
      <c r="C1422" s="34" t="n"/>
    </row>
    <row r="1423">
      <c r="A1423" s="36" t="n"/>
      <c r="B1423" s="92" t="n"/>
      <c r="C1423" s="37" t="n"/>
    </row>
    <row r="1424">
      <c r="A1424" s="33" t="n"/>
      <c r="B1424" s="91" t="n"/>
      <c r="C1424" s="34" t="n"/>
    </row>
    <row r="1425">
      <c r="A1425" s="36" t="n"/>
      <c r="B1425" s="92" t="n"/>
      <c r="C1425" s="37" t="n"/>
    </row>
    <row r="1426">
      <c r="A1426" s="33" t="n"/>
      <c r="B1426" s="91" t="n"/>
      <c r="C1426" s="34" t="n"/>
    </row>
    <row r="1427">
      <c r="A1427" s="36" t="n"/>
      <c r="B1427" s="92" t="n"/>
      <c r="C1427" s="37" t="n"/>
    </row>
    <row r="1428">
      <c r="A1428" s="33" t="n"/>
      <c r="B1428" s="91" t="n"/>
      <c r="C1428" s="34" t="n"/>
    </row>
    <row r="1429">
      <c r="A1429" s="36" t="n"/>
      <c r="B1429" s="92" t="n"/>
      <c r="C1429" s="37" t="n"/>
    </row>
    <row r="1430">
      <c r="A1430" s="33" t="n"/>
      <c r="B1430" s="91" t="n"/>
      <c r="C1430" s="34" t="n"/>
    </row>
    <row r="1431">
      <c r="A1431" s="36" t="n"/>
      <c r="B1431" s="92" t="n"/>
      <c r="C1431" s="37" t="n"/>
    </row>
    <row r="1432">
      <c r="A1432" s="33" t="n"/>
      <c r="B1432" s="91" t="n"/>
      <c r="C1432" s="34" t="n"/>
    </row>
    <row r="1433">
      <c r="A1433" s="36" t="n"/>
      <c r="B1433" s="92" t="n"/>
      <c r="C1433" s="37" t="n"/>
    </row>
    <row r="1434">
      <c r="A1434" s="33" t="n"/>
      <c r="B1434" s="91" t="n"/>
      <c r="C1434" s="34" t="n"/>
    </row>
    <row r="1435">
      <c r="A1435" s="36" t="n"/>
      <c r="B1435" s="92" t="n"/>
      <c r="C1435" s="37" t="n"/>
    </row>
    <row r="1436">
      <c r="A1436" s="33" t="n"/>
      <c r="B1436" s="91" t="n"/>
      <c r="C1436" s="34" t="n"/>
    </row>
    <row r="1437">
      <c r="A1437" s="36" t="n"/>
      <c r="B1437" s="92" t="n"/>
      <c r="C1437" s="37" t="n"/>
    </row>
    <row r="1438">
      <c r="A1438" s="33" t="n"/>
      <c r="B1438" s="91" t="n"/>
      <c r="C1438" s="34" t="n"/>
    </row>
    <row r="1439">
      <c r="A1439" s="36" t="n"/>
      <c r="B1439" s="92" t="n"/>
      <c r="C1439" s="37" t="n"/>
    </row>
    <row r="1440">
      <c r="A1440" s="33" t="n"/>
      <c r="B1440" s="91" t="n"/>
      <c r="C1440" s="34" t="n"/>
    </row>
    <row r="1441">
      <c r="A1441" s="36" t="n"/>
      <c r="B1441" s="92" t="n"/>
      <c r="C1441" s="37" t="n"/>
    </row>
    <row r="1442">
      <c r="A1442" s="33" t="n"/>
      <c r="B1442" s="91" t="n"/>
      <c r="C1442" s="34" t="n"/>
    </row>
    <row r="1443">
      <c r="A1443" s="36" t="n"/>
      <c r="B1443" s="92" t="n"/>
      <c r="C1443" s="37" t="n"/>
    </row>
    <row r="1444">
      <c r="A1444" s="33" t="n"/>
      <c r="B1444" s="91" t="n"/>
      <c r="C1444" s="34" t="n"/>
    </row>
    <row r="1445">
      <c r="A1445" s="36" t="n"/>
      <c r="B1445" s="92" t="n"/>
      <c r="C1445" s="37" t="n"/>
    </row>
    <row r="1446">
      <c r="A1446" s="33" t="n"/>
      <c r="B1446" s="91" t="n"/>
      <c r="C1446" s="34" t="n"/>
    </row>
    <row r="1447">
      <c r="A1447" s="36" t="n"/>
      <c r="B1447" s="92" t="n"/>
      <c r="C1447" s="37" t="n"/>
    </row>
    <row r="1448">
      <c r="A1448" s="33" t="n"/>
      <c r="B1448" s="91" t="n"/>
      <c r="C1448" s="34" t="n"/>
    </row>
    <row r="1449">
      <c r="A1449" s="36" t="n"/>
      <c r="B1449" s="92" t="n"/>
      <c r="C1449" s="37" t="n"/>
    </row>
    <row r="1450">
      <c r="A1450" s="33" t="n"/>
      <c r="B1450" s="91" t="n"/>
      <c r="C1450" s="34" t="n"/>
    </row>
    <row r="1451">
      <c r="A1451" s="36" t="n"/>
      <c r="B1451" s="92" t="n"/>
      <c r="C1451" s="37" t="n"/>
    </row>
    <row r="1452">
      <c r="A1452" s="33" t="n"/>
      <c r="B1452" s="91" t="n"/>
      <c r="C1452" s="34" t="n"/>
    </row>
    <row r="1453">
      <c r="A1453" s="36" t="n"/>
      <c r="B1453" s="92" t="n"/>
      <c r="C1453" s="37" t="n"/>
    </row>
    <row r="1454">
      <c r="A1454" s="33" t="n"/>
      <c r="B1454" s="91" t="n"/>
      <c r="C1454" s="34" t="n"/>
    </row>
    <row r="1455">
      <c r="A1455" s="36" t="n"/>
      <c r="B1455" s="92" t="n"/>
      <c r="C1455" s="37" t="n"/>
    </row>
    <row r="1456">
      <c r="A1456" s="33" t="n"/>
      <c r="B1456" s="91" t="n"/>
      <c r="C1456" s="34" t="n"/>
    </row>
    <row r="1457">
      <c r="A1457" s="36" t="n"/>
      <c r="B1457" s="92" t="n"/>
      <c r="C1457" s="37" t="n"/>
    </row>
    <row r="1458">
      <c r="A1458" s="33" t="n"/>
      <c r="B1458" s="91" t="n"/>
      <c r="C1458" s="34" t="n"/>
    </row>
    <row r="1459">
      <c r="A1459" s="36" t="n"/>
      <c r="B1459" s="92" t="n"/>
      <c r="C1459" s="37" t="n"/>
    </row>
    <row r="1460">
      <c r="A1460" s="33" t="n"/>
      <c r="B1460" s="91" t="n"/>
      <c r="C1460" s="34" t="n"/>
    </row>
    <row r="1461">
      <c r="A1461" s="36" t="n"/>
      <c r="B1461" s="92" t="n"/>
      <c r="C1461" s="37" t="n"/>
    </row>
    <row r="1462">
      <c r="A1462" s="33" t="n"/>
      <c r="B1462" s="91" t="n"/>
      <c r="C1462" s="34" t="n"/>
    </row>
    <row r="1463">
      <c r="A1463" s="36" t="n"/>
      <c r="B1463" s="92" t="n"/>
      <c r="C1463" s="37" t="n"/>
    </row>
    <row r="1464">
      <c r="A1464" s="33" t="n"/>
      <c r="B1464" s="91" t="n"/>
      <c r="C1464" s="34" t="n"/>
    </row>
    <row r="1465">
      <c r="A1465" s="36" t="n"/>
      <c r="B1465" s="92" t="n"/>
      <c r="C1465" s="37" t="n"/>
    </row>
    <row r="1466">
      <c r="A1466" s="33" t="n"/>
      <c r="B1466" s="91" t="n"/>
      <c r="C1466" s="34" t="n"/>
    </row>
    <row r="1467">
      <c r="A1467" s="36" t="n"/>
      <c r="B1467" s="92" t="n"/>
      <c r="C1467" s="37" t="n"/>
    </row>
    <row r="1468">
      <c r="A1468" s="33" t="n"/>
      <c r="B1468" s="91" t="n"/>
      <c r="C1468" s="34" t="n"/>
    </row>
    <row r="1469">
      <c r="A1469" s="36" t="n"/>
      <c r="B1469" s="92" t="n"/>
      <c r="C1469" s="37" t="n"/>
    </row>
    <row r="1470">
      <c r="A1470" s="33" t="n"/>
      <c r="B1470" s="91" t="n"/>
      <c r="C1470" s="34" t="n"/>
    </row>
    <row r="1471">
      <c r="A1471" s="36" t="n"/>
      <c r="B1471" s="92" t="n"/>
      <c r="C1471" s="37" t="n"/>
    </row>
    <row r="1472">
      <c r="A1472" s="33" t="n"/>
      <c r="B1472" s="91" t="n"/>
      <c r="C1472" s="34" t="n"/>
    </row>
    <row r="1473">
      <c r="A1473" s="36" t="n"/>
      <c r="B1473" s="92" t="n"/>
      <c r="C1473" s="37" t="n"/>
    </row>
    <row r="1474">
      <c r="A1474" s="33" t="n"/>
      <c r="B1474" s="91" t="n"/>
      <c r="C1474" s="34" t="n"/>
    </row>
    <row r="1475">
      <c r="A1475" s="36" t="n"/>
      <c r="B1475" s="92" t="n"/>
      <c r="C1475" s="37" t="n"/>
    </row>
    <row r="1476">
      <c r="A1476" s="33" t="n"/>
      <c r="B1476" s="91" t="n"/>
      <c r="C1476" s="34" t="n"/>
    </row>
    <row r="1477">
      <c r="A1477" s="36" t="n"/>
      <c r="B1477" s="92" t="n"/>
      <c r="C1477" s="37" t="n"/>
    </row>
    <row r="1478">
      <c r="A1478" s="33" t="n"/>
      <c r="B1478" s="91" t="n"/>
      <c r="C1478" s="34" t="n"/>
    </row>
    <row r="1479">
      <c r="A1479" s="36" t="n"/>
      <c r="B1479" s="92" t="n"/>
      <c r="C1479" s="37" t="n"/>
    </row>
    <row r="1480">
      <c r="A1480" s="33" t="n"/>
      <c r="B1480" s="91" t="n"/>
      <c r="C1480" s="34" t="n"/>
    </row>
    <row r="1481">
      <c r="A1481" s="36" t="n"/>
      <c r="B1481" s="92" t="n"/>
      <c r="C1481" s="37" t="n"/>
    </row>
    <row r="1482">
      <c r="A1482" s="33" t="n"/>
      <c r="B1482" s="91" t="n"/>
      <c r="C1482" s="34" t="n"/>
    </row>
    <row r="1483">
      <c r="A1483" s="36" t="n"/>
      <c r="B1483" s="92" t="n"/>
      <c r="C1483" s="37" t="n"/>
    </row>
    <row r="1484">
      <c r="A1484" s="33" t="n"/>
      <c r="B1484" s="91" t="n"/>
      <c r="C1484" s="34" t="n"/>
    </row>
    <row r="1485">
      <c r="A1485" s="36" t="n"/>
      <c r="B1485" s="92" t="n"/>
      <c r="C1485" s="37" t="n"/>
    </row>
    <row r="1486">
      <c r="A1486" s="33" t="n"/>
      <c r="B1486" s="91" t="n"/>
      <c r="C1486" s="34" t="n"/>
    </row>
    <row r="1487">
      <c r="A1487" s="36" t="n"/>
      <c r="B1487" s="92" t="n"/>
      <c r="C1487" s="37" t="n"/>
    </row>
    <row r="1488">
      <c r="A1488" s="33" t="n"/>
      <c r="B1488" s="91" t="n"/>
      <c r="C1488" s="34" t="n"/>
    </row>
    <row r="1489">
      <c r="A1489" s="36" t="n"/>
      <c r="B1489" s="92" t="n"/>
      <c r="C1489" s="37" t="n"/>
    </row>
    <row r="1490">
      <c r="A1490" s="33" t="n"/>
      <c r="B1490" s="91" t="n"/>
      <c r="C1490" s="34" t="n"/>
    </row>
    <row r="1491">
      <c r="A1491" s="36" t="n"/>
      <c r="B1491" s="92" t="n"/>
      <c r="C1491" s="37" t="n"/>
    </row>
    <row r="1492">
      <c r="A1492" s="33" t="n"/>
      <c r="B1492" s="91" t="n"/>
      <c r="C1492" s="34" t="n"/>
    </row>
    <row r="1493">
      <c r="A1493" s="36" t="n"/>
      <c r="B1493" s="92" t="n"/>
      <c r="C1493" s="37" t="n"/>
    </row>
    <row r="1494">
      <c r="A1494" s="33" t="n"/>
      <c r="B1494" s="91" t="n"/>
      <c r="C1494" s="34" t="n"/>
    </row>
    <row r="1495">
      <c r="A1495" s="36" t="n"/>
      <c r="B1495" s="92" t="n"/>
      <c r="C1495" s="37" t="n"/>
    </row>
    <row r="1496">
      <c r="A1496" s="33" t="n"/>
      <c r="B1496" s="91" t="n"/>
      <c r="C1496" s="34" t="n"/>
    </row>
    <row r="1497">
      <c r="A1497" s="36" t="n"/>
      <c r="B1497" s="92" t="n"/>
      <c r="C1497" s="37" t="n"/>
    </row>
    <row r="1498">
      <c r="A1498" s="33" t="n"/>
      <c r="B1498" s="91" t="n"/>
      <c r="C1498" s="34" t="n"/>
    </row>
    <row r="1499">
      <c r="A1499" s="36" t="n"/>
      <c r="B1499" s="92" t="n"/>
      <c r="C1499" s="37" t="n"/>
    </row>
    <row r="1500">
      <c r="A1500" s="33" t="n"/>
      <c r="B1500" s="91" t="n"/>
      <c r="C1500" s="34" t="n"/>
    </row>
    <row r="1501">
      <c r="A1501" s="36" t="n"/>
      <c r="B1501" s="92" t="n"/>
      <c r="C1501" s="37" t="n"/>
    </row>
    <row r="1502">
      <c r="A1502" s="33" t="n"/>
      <c r="B1502" s="91" t="n"/>
      <c r="C1502" s="34" t="n"/>
    </row>
    <row r="1503">
      <c r="A1503" s="36" t="n"/>
      <c r="B1503" s="92" t="n"/>
      <c r="C1503" s="37" t="n"/>
    </row>
    <row r="1504">
      <c r="A1504" s="33" t="n"/>
      <c r="B1504" s="91" t="n"/>
      <c r="C1504" s="34" t="n"/>
    </row>
    <row r="1505">
      <c r="A1505" s="36" t="n"/>
      <c r="B1505" s="92" t="n"/>
      <c r="C1505" s="37" t="n"/>
    </row>
    <row r="1506">
      <c r="A1506" s="33" t="n"/>
      <c r="B1506" s="91" t="n"/>
      <c r="C1506" s="34" t="n"/>
    </row>
    <row r="1507">
      <c r="A1507" s="36" t="n"/>
      <c r="B1507" s="92" t="n"/>
      <c r="C1507" s="37" t="n"/>
    </row>
    <row r="1508">
      <c r="A1508" s="33" t="n"/>
      <c r="B1508" s="91" t="n"/>
      <c r="C1508" s="34" t="n"/>
    </row>
    <row r="1509">
      <c r="A1509" s="36" t="n"/>
      <c r="B1509" s="92" t="n"/>
      <c r="C1509" s="37" t="n"/>
    </row>
    <row r="1510">
      <c r="A1510" s="33" t="n"/>
      <c r="B1510" s="91" t="n"/>
      <c r="C1510" s="34" t="n"/>
    </row>
    <row r="1511">
      <c r="A1511" s="36" t="n"/>
      <c r="B1511" s="92" t="n"/>
      <c r="C1511" s="37" t="n"/>
    </row>
    <row r="1512">
      <c r="A1512" s="33" t="n"/>
      <c r="B1512" s="91" t="n"/>
      <c r="C1512" s="34" t="n"/>
    </row>
    <row r="1513">
      <c r="A1513" s="36" t="n"/>
      <c r="B1513" s="92" t="n"/>
      <c r="C1513" s="37" t="n"/>
    </row>
    <row r="1514">
      <c r="A1514" s="33" t="n"/>
      <c r="B1514" s="91" t="n"/>
      <c r="C1514" s="34" t="n"/>
    </row>
    <row r="1515">
      <c r="A1515" s="36" t="n"/>
      <c r="B1515" s="92" t="n"/>
      <c r="C1515" s="37" t="n"/>
    </row>
    <row r="1516">
      <c r="A1516" s="33" t="n"/>
      <c r="B1516" s="91" t="n"/>
      <c r="C1516" s="34" t="n"/>
    </row>
    <row r="1517">
      <c r="A1517" s="36" t="n"/>
      <c r="B1517" s="92" t="n"/>
      <c r="C1517" s="37" t="n"/>
    </row>
    <row r="1518">
      <c r="A1518" s="33" t="n"/>
      <c r="B1518" s="91" t="n"/>
      <c r="C1518" s="34" t="n"/>
    </row>
    <row r="1519">
      <c r="A1519" s="36" t="n"/>
      <c r="B1519" s="92" t="n"/>
      <c r="C1519" s="37" t="n"/>
    </row>
    <row r="1520">
      <c r="A1520" s="33" t="n"/>
      <c r="B1520" s="91" t="n"/>
      <c r="C1520" s="34" t="n"/>
    </row>
    <row r="1521">
      <c r="A1521" s="36" t="n"/>
      <c r="B1521" s="92" t="n"/>
      <c r="C1521" s="37" t="n"/>
    </row>
    <row r="1522">
      <c r="A1522" s="33" t="n"/>
      <c r="B1522" s="91" t="n"/>
      <c r="C1522" s="34" t="n"/>
    </row>
    <row r="1523">
      <c r="A1523" s="36" t="n"/>
      <c r="B1523" s="92" t="n"/>
      <c r="C1523" s="37" t="n"/>
    </row>
    <row r="1524">
      <c r="A1524" s="33" t="n"/>
      <c r="B1524" s="91" t="n"/>
      <c r="C1524" s="34" t="n"/>
    </row>
    <row r="1525">
      <c r="A1525" s="36" t="n"/>
      <c r="B1525" s="92" t="n"/>
      <c r="C1525" s="37" t="n"/>
    </row>
    <row r="1526">
      <c r="A1526" s="33" t="n"/>
      <c r="B1526" s="91" t="n"/>
      <c r="C1526" s="34" t="n"/>
    </row>
    <row r="1527">
      <c r="A1527" s="36" t="n"/>
      <c r="B1527" s="92" t="n"/>
      <c r="C1527" s="37" t="n"/>
    </row>
    <row r="1528">
      <c r="A1528" s="33" t="n"/>
      <c r="B1528" s="91" t="n"/>
      <c r="C1528" s="34" t="n"/>
    </row>
    <row r="1529">
      <c r="A1529" s="36" t="n"/>
      <c r="B1529" s="92" t="n"/>
      <c r="C1529" s="37" t="n"/>
    </row>
    <row r="1530">
      <c r="A1530" s="33" t="n"/>
      <c r="B1530" s="91" t="n"/>
      <c r="C1530" s="34" t="n"/>
    </row>
    <row r="1531">
      <c r="A1531" s="36" t="n"/>
      <c r="B1531" s="92" t="n"/>
      <c r="C1531" s="37" t="n"/>
    </row>
    <row r="1532">
      <c r="A1532" s="33" t="n"/>
      <c r="B1532" s="91" t="n"/>
      <c r="C1532" s="34" t="n"/>
    </row>
    <row r="1533">
      <c r="A1533" s="36" t="n"/>
      <c r="B1533" s="92" t="n"/>
      <c r="C1533" s="37" t="n"/>
    </row>
    <row r="1534">
      <c r="A1534" s="33" t="n"/>
      <c r="B1534" s="91" t="n"/>
      <c r="C1534" s="34" t="n"/>
    </row>
    <row r="1535">
      <c r="A1535" s="36" t="n"/>
      <c r="B1535" s="92" t="n"/>
      <c r="C1535" s="37" t="n"/>
    </row>
    <row r="1536">
      <c r="A1536" s="33" t="n"/>
      <c r="B1536" s="91" t="n"/>
      <c r="C1536" s="34" t="n"/>
    </row>
    <row r="1537">
      <c r="A1537" s="36" t="n"/>
      <c r="B1537" s="92" t="n"/>
      <c r="C1537" s="37" t="n"/>
    </row>
    <row r="1538">
      <c r="A1538" s="33" t="n"/>
      <c r="B1538" s="91" t="n"/>
      <c r="C1538" s="34" t="n"/>
    </row>
    <row r="1539">
      <c r="A1539" s="36" t="n"/>
      <c r="B1539" s="92" t="n"/>
      <c r="C1539" s="37" t="n"/>
    </row>
    <row r="1540">
      <c r="A1540" s="33" t="n"/>
      <c r="B1540" s="91" t="n"/>
      <c r="C1540" s="34" t="n"/>
    </row>
    <row r="1541">
      <c r="A1541" s="36" t="n"/>
      <c r="B1541" s="92" t="n"/>
      <c r="C1541" s="37" t="n"/>
    </row>
    <row r="1542">
      <c r="A1542" s="33" t="n"/>
      <c r="B1542" s="91" t="n"/>
      <c r="C1542" s="34" t="n"/>
    </row>
    <row r="1543">
      <c r="A1543" s="36" t="n"/>
      <c r="B1543" s="92" t="n"/>
      <c r="C1543" s="37" t="n"/>
    </row>
    <row r="1544">
      <c r="A1544" s="33" t="n"/>
      <c r="B1544" s="91" t="n"/>
      <c r="C1544" s="34" t="n"/>
    </row>
    <row r="1545">
      <c r="A1545" s="36" t="n"/>
      <c r="B1545" s="92" t="n"/>
      <c r="C1545" s="37" t="n"/>
    </row>
    <row r="1546">
      <c r="A1546" s="33" t="n"/>
      <c r="B1546" s="91" t="n"/>
      <c r="C1546" s="34" t="n"/>
    </row>
    <row r="1547">
      <c r="A1547" s="36" t="n"/>
      <c r="B1547" s="92" t="n"/>
      <c r="C1547" s="37" t="n"/>
    </row>
    <row r="1548">
      <c r="A1548" s="33" t="n"/>
      <c r="B1548" s="91" t="n"/>
      <c r="C1548" s="34" t="n"/>
    </row>
    <row r="1549">
      <c r="A1549" s="36" t="n"/>
      <c r="B1549" s="92" t="n"/>
      <c r="C1549" s="37" t="n"/>
    </row>
    <row r="1550">
      <c r="A1550" s="33" t="n"/>
      <c r="B1550" s="91" t="n"/>
      <c r="C1550" s="34" t="n"/>
    </row>
    <row r="1551">
      <c r="A1551" s="36" t="n"/>
      <c r="B1551" s="92" t="n"/>
      <c r="C1551" s="37" t="n"/>
    </row>
    <row r="1552">
      <c r="A1552" s="33" t="n"/>
      <c r="B1552" s="91" t="n"/>
      <c r="C1552" s="34" t="n"/>
    </row>
    <row r="1553">
      <c r="A1553" s="36" t="n"/>
      <c r="B1553" s="92" t="n"/>
      <c r="C1553" s="37" t="n"/>
    </row>
    <row r="1554">
      <c r="A1554" s="33" t="n"/>
      <c r="B1554" s="91" t="n"/>
      <c r="C1554" s="34" t="n"/>
    </row>
    <row r="1555">
      <c r="A1555" s="36" t="n"/>
      <c r="B1555" s="92" t="n"/>
      <c r="C1555" s="37" t="n"/>
    </row>
    <row r="1556">
      <c r="A1556" s="33" t="n"/>
      <c r="B1556" s="91" t="n"/>
      <c r="C1556" s="34" t="n"/>
    </row>
    <row r="1557">
      <c r="A1557" s="36" t="n"/>
      <c r="B1557" s="92" t="n"/>
      <c r="C1557" s="37" t="n"/>
    </row>
    <row r="1558">
      <c r="A1558" s="33" t="n"/>
      <c r="B1558" s="91" t="n"/>
      <c r="C1558" s="34" t="n"/>
    </row>
    <row r="1559">
      <c r="A1559" s="36" t="n"/>
      <c r="B1559" s="92" t="n"/>
      <c r="C1559" s="37" t="n"/>
    </row>
    <row r="1560">
      <c r="A1560" s="33" t="n"/>
      <c r="B1560" s="91" t="n"/>
      <c r="C1560" s="34" t="n"/>
    </row>
    <row r="1561">
      <c r="A1561" s="36" t="n"/>
      <c r="B1561" s="92" t="n"/>
      <c r="C1561" s="37" t="n"/>
    </row>
    <row r="1562">
      <c r="A1562" s="33" t="n"/>
      <c r="B1562" s="91" t="n"/>
      <c r="C1562" s="34" t="n"/>
    </row>
    <row r="1563">
      <c r="A1563" s="36" t="n"/>
      <c r="B1563" s="92" t="n"/>
      <c r="C1563" s="37" t="n"/>
    </row>
    <row r="1564">
      <c r="A1564" s="33" t="n"/>
      <c r="B1564" s="91" t="n"/>
      <c r="C1564" s="34" t="n"/>
    </row>
    <row r="1565">
      <c r="A1565" s="36" t="n"/>
      <c r="B1565" s="92" t="n"/>
      <c r="C1565" s="37" t="n"/>
    </row>
    <row r="1566">
      <c r="A1566" s="33" t="n"/>
      <c r="B1566" s="91" t="n"/>
      <c r="C1566" s="34" t="n"/>
    </row>
    <row r="1567">
      <c r="A1567" s="36" t="n"/>
      <c r="B1567" s="92" t="n"/>
      <c r="C1567" s="37" t="n"/>
    </row>
    <row r="1568">
      <c r="A1568" s="33" t="n"/>
      <c r="B1568" s="91" t="n"/>
      <c r="C1568" s="34" t="n"/>
    </row>
    <row r="1569">
      <c r="A1569" s="36" t="n"/>
      <c r="B1569" s="92" t="n"/>
      <c r="C1569" s="37" t="n"/>
    </row>
    <row r="1570">
      <c r="A1570" s="33" t="n"/>
      <c r="B1570" s="91" t="n"/>
      <c r="C1570" s="34" t="n"/>
    </row>
    <row r="1571">
      <c r="A1571" s="36" t="n"/>
      <c r="B1571" s="92" t="n"/>
      <c r="C1571" s="37" t="n"/>
    </row>
    <row r="1572">
      <c r="A1572" s="33" t="n"/>
      <c r="B1572" s="91" t="n"/>
      <c r="C1572" s="34" t="n"/>
    </row>
    <row r="1573">
      <c r="A1573" s="36" t="n"/>
      <c r="B1573" s="92" t="n"/>
      <c r="C1573" s="37" t="n"/>
    </row>
    <row r="1574">
      <c r="A1574" s="33" t="n"/>
      <c r="B1574" s="91" t="n"/>
      <c r="C1574" s="34" t="n"/>
    </row>
    <row r="1575">
      <c r="A1575" s="36" t="n"/>
      <c r="B1575" s="92" t="n"/>
      <c r="C1575" s="37" t="n"/>
    </row>
    <row r="1576">
      <c r="A1576" s="33" t="n"/>
      <c r="B1576" s="91" t="n"/>
      <c r="C1576" s="34" t="n"/>
    </row>
    <row r="1577">
      <c r="A1577" s="36" t="n"/>
      <c r="B1577" s="92" t="n"/>
      <c r="C1577" s="37" t="n"/>
    </row>
    <row r="1578">
      <c r="A1578" s="33" t="n"/>
      <c r="B1578" s="91" t="n"/>
      <c r="C1578" s="34" t="n"/>
    </row>
    <row r="1579">
      <c r="A1579" s="36" t="n"/>
      <c r="B1579" s="92" t="n"/>
      <c r="C1579" s="37" t="n"/>
    </row>
    <row r="1580">
      <c r="A1580" s="33" t="n"/>
      <c r="B1580" s="91" t="n"/>
      <c r="C1580" s="34" t="n"/>
    </row>
    <row r="1581">
      <c r="A1581" s="36" t="n"/>
      <c r="B1581" s="92" t="n"/>
      <c r="C1581" s="37" t="n"/>
    </row>
    <row r="1582">
      <c r="A1582" s="33" t="n"/>
      <c r="B1582" s="91" t="n"/>
      <c r="C1582" s="34" t="n"/>
    </row>
    <row r="1583">
      <c r="A1583" s="36" t="n"/>
      <c r="B1583" s="92" t="n"/>
      <c r="C1583" s="37" t="n"/>
    </row>
    <row r="1584">
      <c r="A1584" s="33" t="n"/>
      <c r="B1584" s="91" t="n"/>
      <c r="C1584" s="34" t="n"/>
    </row>
    <row r="1585">
      <c r="A1585" s="36" t="n"/>
      <c r="B1585" s="92" t="n"/>
      <c r="C1585" s="37" t="n"/>
    </row>
    <row r="1586">
      <c r="A1586" s="33" t="n"/>
      <c r="B1586" s="91" t="n"/>
      <c r="C1586" s="34" t="n"/>
    </row>
    <row r="1587">
      <c r="A1587" s="36" t="n"/>
      <c r="B1587" s="92" t="n"/>
      <c r="C1587" s="37" t="n"/>
    </row>
    <row r="1588">
      <c r="A1588" s="33" t="n"/>
      <c r="B1588" s="91" t="n"/>
      <c r="C1588" s="34" t="n"/>
    </row>
    <row r="1589">
      <c r="A1589" s="36" t="n"/>
      <c r="B1589" s="92" t="n"/>
      <c r="C1589" s="37" t="n"/>
    </row>
    <row r="1590">
      <c r="A1590" s="33" t="n"/>
      <c r="B1590" s="91" t="n"/>
      <c r="C1590" s="34" t="n"/>
    </row>
    <row r="1591">
      <c r="A1591" s="36" t="n"/>
      <c r="B1591" s="92" t="n"/>
      <c r="C1591" s="37" t="n"/>
    </row>
    <row r="1592">
      <c r="A1592" s="33" t="n"/>
      <c r="B1592" s="91" t="n"/>
      <c r="C1592" s="34" t="n"/>
    </row>
    <row r="1593">
      <c r="A1593" s="36" t="n"/>
      <c r="B1593" s="92" t="n"/>
      <c r="C1593" s="37" t="n"/>
    </row>
    <row r="1594">
      <c r="A1594" s="33" t="n"/>
      <c r="B1594" s="91" t="n"/>
      <c r="C1594" s="34" t="n"/>
    </row>
    <row r="1595">
      <c r="A1595" s="36" t="n"/>
      <c r="B1595" s="92" t="n"/>
      <c r="C1595" s="37" t="n"/>
    </row>
    <row r="1596">
      <c r="A1596" s="33" t="n"/>
      <c r="B1596" s="91" t="n"/>
      <c r="C1596" s="34" t="n"/>
    </row>
    <row r="1597">
      <c r="A1597" s="36" t="n"/>
      <c r="B1597" s="92" t="n"/>
      <c r="C1597" s="37" t="n"/>
    </row>
    <row r="1598">
      <c r="A1598" s="33" t="n"/>
      <c r="B1598" s="91" t="n"/>
      <c r="C1598" s="34" t="n"/>
    </row>
    <row r="1599">
      <c r="A1599" s="36" t="n"/>
      <c r="B1599" s="92" t="n"/>
      <c r="C1599" s="37" t="n"/>
    </row>
    <row r="1600">
      <c r="A1600" s="33" t="n"/>
      <c r="B1600" s="91" t="n"/>
      <c r="C1600" s="34" t="n"/>
    </row>
    <row r="1601">
      <c r="A1601" s="36" t="n"/>
      <c r="B1601" s="92" t="n"/>
      <c r="C1601" s="37" t="n"/>
    </row>
    <row r="1602">
      <c r="A1602" s="33" t="n"/>
      <c r="B1602" s="91" t="n"/>
      <c r="C1602" s="34" t="n"/>
    </row>
    <row r="1603">
      <c r="A1603" s="36" t="n"/>
      <c r="B1603" s="92" t="n"/>
      <c r="C1603" s="37" t="n"/>
    </row>
    <row r="1604">
      <c r="A1604" s="33" t="n"/>
      <c r="B1604" s="91" t="n"/>
      <c r="C1604" s="34" t="n"/>
    </row>
    <row r="1605">
      <c r="A1605" s="36" t="n"/>
      <c r="B1605" s="92" t="n"/>
      <c r="C1605" s="37" t="n"/>
    </row>
    <row r="1606">
      <c r="A1606" s="33" t="n"/>
      <c r="B1606" s="91" t="n"/>
      <c r="C1606" s="34" t="n"/>
    </row>
    <row r="1607">
      <c r="A1607" s="36" t="n"/>
      <c r="B1607" s="92" t="n"/>
      <c r="C1607" s="37" t="n"/>
    </row>
    <row r="1608">
      <c r="A1608" s="33" t="n"/>
      <c r="B1608" s="91" t="n"/>
      <c r="C1608" s="34" t="n"/>
    </row>
    <row r="1609">
      <c r="A1609" s="36" t="n"/>
      <c r="B1609" s="92" t="n"/>
      <c r="C1609" s="37" t="n"/>
    </row>
    <row r="1610">
      <c r="A1610" s="33" t="n"/>
      <c r="B1610" s="91" t="n"/>
      <c r="C1610" s="34" t="n"/>
    </row>
    <row r="1611">
      <c r="A1611" s="36" t="n"/>
      <c r="B1611" s="92" t="n"/>
      <c r="C1611" s="37" t="n"/>
    </row>
    <row r="1612">
      <c r="A1612" s="33" t="n"/>
      <c r="B1612" s="91" t="n"/>
      <c r="C1612" s="34" t="n"/>
    </row>
    <row r="1613">
      <c r="A1613" s="36" t="n"/>
      <c r="B1613" s="92" t="n"/>
      <c r="C1613" s="37" t="n"/>
    </row>
    <row r="1614">
      <c r="A1614" s="33" t="n"/>
      <c r="B1614" s="91" t="n"/>
      <c r="C1614" s="34" t="n"/>
    </row>
    <row r="1615">
      <c r="A1615" s="36" t="n"/>
      <c r="B1615" s="92" t="n"/>
      <c r="C1615" s="37" t="n"/>
    </row>
    <row r="1616">
      <c r="A1616" s="33" t="n"/>
      <c r="B1616" s="91" t="n"/>
      <c r="C1616" s="34" t="n"/>
    </row>
    <row r="1617">
      <c r="A1617" s="36" t="n"/>
      <c r="B1617" s="92" t="n"/>
      <c r="C1617" s="37" t="n"/>
    </row>
    <row r="1618">
      <c r="A1618" s="33" t="n"/>
      <c r="B1618" s="91" t="n"/>
      <c r="C1618" s="34" t="n"/>
    </row>
    <row r="1619">
      <c r="A1619" s="36" t="n"/>
      <c r="B1619" s="92" t="n"/>
      <c r="C1619" s="37" t="n"/>
    </row>
    <row r="1620">
      <c r="A1620" s="33" t="n"/>
      <c r="B1620" s="91" t="n"/>
      <c r="C1620" s="34" t="n"/>
    </row>
    <row r="1621">
      <c r="A1621" s="36" t="n"/>
      <c r="B1621" s="92" t="n"/>
      <c r="C1621" s="37" t="n"/>
    </row>
    <row r="1622">
      <c r="A1622" s="33" t="n"/>
      <c r="B1622" s="91" t="n"/>
      <c r="C1622" s="34" t="n"/>
    </row>
    <row r="1623">
      <c r="A1623" s="36" t="n"/>
      <c r="B1623" s="92" t="n"/>
      <c r="C1623" s="37" t="n"/>
    </row>
    <row r="1624">
      <c r="A1624" s="33" t="n"/>
      <c r="B1624" s="91" t="n"/>
      <c r="C1624" s="34" t="n"/>
    </row>
    <row r="1625">
      <c r="A1625" s="36" t="n"/>
      <c r="B1625" s="92" t="n"/>
      <c r="C1625" s="37" t="n"/>
    </row>
    <row r="1626">
      <c r="A1626" s="33" t="n"/>
      <c r="B1626" s="91" t="n"/>
      <c r="C1626" s="34" t="n"/>
    </row>
    <row r="1627">
      <c r="A1627" s="36" t="n"/>
      <c r="B1627" s="92" t="n"/>
      <c r="C1627" s="37" t="n"/>
    </row>
    <row r="1628">
      <c r="A1628" s="33" t="n"/>
      <c r="B1628" s="91" t="n"/>
      <c r="C1628" s="34" t="n"/>
    </row>
    <row r="1629">
      <c r="A1629" s="36" t="n"/>
      <c r="B1629" s="92" t="n"/>
      <c r="C1629" s="37" t="n"/>
    </row>
    <row r="1630">
      <c r="A1630" s="33" t="n"/>
      <c r="B1630" s="91" t="n"/>
      <c r="C1630" s="34" t="n"/>
    </row>
    <row r="1631">
      <c r="A1631" s="36" t="n"/>
      <c r="B1631" s="92" t="n"/>
      <c r="C1631" s="37" t="n"/>
    </row>
    <row r="1632">
      <c r="A1632" s="33" t="n"/>
      <c r="B1632" s="91" t="n"/>
      <c r="C1632" s="34" t="n"/>
    </row>
    <row r="1633">
      <c r="A1633" s="36" t="n"/>
      <c r="B1633" s="92" t="n"/>
      <c r="C1633" s="37" t="n"/>
    </row>
    <row r="1634">
      <c r="A1634" s="33" t="n"/>
      <c r="B1634" s="91" t="n"/>
      <c r="C1634" s="34" t="n"/>
    </row>
    <row r="1635">
      <c r="A1635" s="36" t="n"/>
      <c r="B1635" s="92" t="n"/>
      <c r="C1635" s="37" t="n"/>
    </row>
    <row r="1636">
      <c r="A1636" s="33" t="n"/>
      <c r="B1636" s="91" t="n"/>
      <c r="C1636" s="34" t="n"/>
    </row>
    <row r="1637">
      <c r="A1637" s="36" t="n"/>
      <c r="B1637" s="92" t="n"/>
      <c r="C1637" s="37" t="n"/>
    </row>
    <row r="1638">
      <c r="A1638" s="33" t="n"/>
      <c r="B1638" s="91" t="n"/>
      <c r="C1638" s="34" t="n"/>
    </row>
    <row r="1639">
      <c r="A1639" s="36" t="n"/>
      <c r="B1639" s="92" t="n"/>
      <c r="C1639" s="37" t="n"/>
    </row>
    <row r="1640">
      <c r="A1640" s="33" t="n"/>
      <c r="B1640" s="91" t="n"/>
      <c r="C1640" s="34" t="n"/>
    </row>
    <row r="1641">
      <c r="A1641" s="36" t="n"/>
      <c r="B1641" s="92" t="n"/>
      <c r="C1641" s="37" t="n"/>
    </row>
    <row r="1642">
      <c r="A1642" s="33" t="n"/>
      <c r="B1642" s="91" t="n"/>
      <c r="C1642" s="34" t="n"/>
    </row>
    <row r="1643">
      <c r="A1643" s="36" t="n"/>
      <c r="B1643" s="92" t="n"/>
      <c r="C1643" s="37" t="n"/>
    </row>
    <row r="1644">
      <c r="A1644" s="33" t="n"/>
      <c r="B1644" s="91" t="n"/>
      <c r="C1644" s="34" t="n"/>
    </row>
    <row r="1645">
      <c r="A1645" s="36" t="n"/>
      <c r="B1645" s="92" t="n"/>
      <c r="C1645" s="37" t="n"/>
    </row>
    <row r="1646">
      <c r="A1646" s="33" t="n"/>
      <c r="B1646" s="91" t="n"/>
      <c r="C1646" s="34" t="n"/>
    </row>
    <row r="1647">
      <c r="A1647" s="36" t="n"/>
      <c r="B1647" s="92" t="n"/>
      <c r="C1647" s="37" t="n"/>
    </row>
    <row r="1648">
      <c r="A1648" s="33" t="n"/>
      <c r="B1648" s="91" t="n"/>
      <c r="C1648" s="34" t="n"/>
    </row>
    <row r="1649">
      <c r="A1649" s="36" t="n"/>
      <c r="B1649" s="92" t="n"/>
      <c r="C1649" s="37" t="n"/>
    </row>
    <row r="1650">
      <c r="A1650" s="33" t="n"/>
      <c r="B1650" s="91" t="n"/>
      <c r="C1650" s="34" t="n"/>
    </row>
    <row r="1651">
      <c r="A1651" s="36" t="n"/>
      <c r="B1651" s="92" t="n"/>
      <c r="C1651" s="37" t="n"/>
    </row>
    <row r="1652">
      <c r="A1652" s="33" t="n"/>
      <c r="B1652" s="91" t="n"/>
      <c r="C1652" s="34" t="n"/>
    </row>
    <row r="1653">
      <c r="A1653" s="36" t="n"/>
      <c r="B1653" s="92" t="n"/>
      <c r="C1653" s="37" t="n"/>
    </row>
    <row r="1654">
      <c r="A1654" s="33" t="n"/>
      <c r="B1654" s="91" t="n"/>
      <c r="C1654" s="34" t="n"/>
    </row>
    <row r="1655">
      <c r="A1655" s="36" t="n"/>
      <c r="B1655" s="92" t="n"/>
      <c r="C1655" s="37" t="n"/>
    </row>
    <row r="1656">
      <c r="A1656" s="33" t="n"/>
      <c r="B1656" s="91" t="n"/>
      <c r="C1656" s="34" t="n"/>
    </row>
    <row r="1657">
      <c r="A1657" s="36" t="n"/>
      <c r="B1657" s="92" t="n"/>
      <c r="C1657" s="37" t="n"/>
    </row>
    <row r="1658">
      <c r="A1658" s="33" t="n"/>
      <c r="B1658" s="91" t="n"/>
      <c r="C1658" s="34" t="n"/>
    </row>
    <row r="1659">
      <c r="A1659" s="36" t="n"/>
      <c r="B1659" s="92" t="n"/>
      <c r="C1659" s="37" t="n"/>
    </row>
    <row r="1660">
      <c r="A1660" s="33" t="n"/>
      <c r="B1660" s="91" t="n"/>
      <c r="C1660" s="34" t="n"/>
    </row>
    <row r="1661">
      <c r="A1661" s="36" t="n"/>
      <c r="B1661" s="92" t="n"/>
      <c r="C1661" s="37" t="n"/>
    </row>
    <row r="1662">
      <c r="A1662" s="33" t="n"/>
      <c r="B1662" s="91" t="n"/>
      <c r="C1662" s="34" t="n"/>
    </row>
    <row r="1663">
      <c r="A1663" s="36" t="n"/>
      <c r="B1663" s="92" t="n"/>
      <c r="C1663" s="37" t="n"/>
    </row>
    <row r="1664">
      <c r="A1664" s="33" t="n"/>
      <c r="B1664" s="91" t="n"/>
      <c r="C1664" s="34" t="n"/>
    </row>
    <row r="1665">
      <c r="A1665" s="36" t="n"/>
      <c r="B1665" s="92" t="n"/>
      <c r="C1665" s="37" t="n"/>
    </row>
    <row r="1666">
      <c r="A1666" s="33" t="n"/>
      <c r="B1666" s="91" t="n"/>
      <c r="C1666" s="34" t="n"/>
    </row>
    <row r="1667">
      <c r="A1667" s="36" t="n"/>
      <c r="B1667" s="92" t="n"/>
      <c r="C1667" s="37" t="n"/>
    </row>
    <row r="1668">
      <c r="A1668" s="33" t="n"/>
      <c r="B1668" s="91" t="n"/>
      <c r="C1668" s="34" t="n"/>
    </row>
    <row r="1669">
      <c r="A1669" s="36" t="n"/>
      <c r="B1669" s="92" t="n"/>
      <c r="C1669" s="37" t="n"/>
    </row>
    <row r="1670">
      <c r="A1670" s="33" t="n"/>
      <c r="B1670" s="91" t="n"/>
      <c r="C1670" s="34" t="n"/>
    </row>
    <row r="1671">
      <c r="A1671" s="36" t="n"/>
      <c r="B1671" s="92" t="n"/>
      <c r="C1671" s="37" t="n"/>
    </row>
    <row r="1672">
      <c r="A1672" s="33" t="n"/>
      <c r="B1672" s="91" t="n"/>
      <c r="C1672" s="34" t="n"/>
    </row>
    <row r="1673">
      <c r="A1673" s="36" t="n"/>
      <c r="B1673" s="92" t="n"/>
      <c r="C1673" s="37" t="n"/>
    </row>
    <row r="1674">
      <c r="A1674" s="33" t="n"/>
      <c r="B1674" s="91" t="n"/>
      <c r="C1674" s="34" t="n"/>
    </row>
    <row r="1675">
      <c r="A1675" s="36" t="n"/>
      <c r="B1675" s="92" t="n"/>
      <c r="C1675" s="37" t="n"/>
    </row>
    <row r="1676">
      <c r="A1676" s="33" t="n"/>
      <c r="B1676" s="91" t="n"/>
      <c r="C1676" s="34" t="n"/>
    </row>
    <row r="1677">
      <c r="A1677" s="36" t="n"/>
      <c r="B1677" s="92" t="n"/>
      <c r="C1677" s="37" t="n"/>
    </row>
    <row r="1678">
      <c r="A1678" s="33" t="n"/>
      <c r="B1678" s="91" t="n"/>
      <c r="C1678" s="34" t="n"/>
    </row>
    <row r="1679">
      <c r="A1679" s="36" t="n"/>
      <c r="B1679" s="92" t="n"/>
      <c r="C1679" s="37" t="n"/>
    </row>
    <row r="1680">
      <c r="A1680" s="33" t="n"/>
      <c r="B1680" s="91" t="n"/>
      <c r="C1680" s="34" t="n"/>
    </row>
    <row r="1681">
      <c r="A1681" s="36" t="n"/>
      <c r="B1681" s="92" t="n"/>
      <c r="C1681" s="37" t="n"/>
    </row>
    <row r="1682">
      <c r="A1682" s="33" t="n"/>
      <c r="B1682" s="91" t="n"/>
      <c r="C1682" s="34" t="n"/>
    </row>
    <row r="1683">
      <c r="A1683" s="36" t="n"/>
      <c r="B1683" s="92" t="n"/>
      <c r="C1683" s="37" t="n"/>
    </row>
    <row r="1684">
      <c r="A1684" s="33" t="n"/>
      <c r="B1684" s="91" t="n"/>
      <c r="C1684" s="34" t="n"/>
    </row>
    <row r="1685">
      <c r="A1685" s="36" t="n"/>
      <c r="B1685" s="92" t="n"/>
      <c r="C1685" s="37" t="n"/>
    </row>
    <row r="1686">
      <c r="A1686" s="33" t="n"/>
      <c r="B1686" s="91" t="n"/>
      <c r="C1686" s="34" t="n"/>
    </row>
    <row r="1687">
      <c r="A1687" s="36" t="n"/>
      <c r="B1687" s="92" t="n"/>
      <c r="C1687" s="37" t="n"/>
    </row>
    <row r="1688">
      <c r="A1688" s="33" t="n"/>
      <c r="B1688" s="91" t="n"/>
      <c r="C1688" s="34" t="n"/>
    </row>
    <row r="1689">
      <c r="A1689" s="36" t="n"/>
      <c r="B1689" s="92" t="n"/>
      <c r="C1689" s="37" t="n"/>
    </row>
    <row r="1690">
      <c r="A1690" s="33" t="n"/>
      <c r="B1690" s="91" t="n"/>
      <c r="C1690" s="34" t="n"/>
    </row>
    <row r="1691">
      <c r="A1691" s="36" t="n"/>
      <c r="B1691" s="92" t="n"/>
      <c r="C1691" s="37" t="n"/>
    </row>
    <row r="1692">
      <c r="A1692" s="33" t="n"/>
      <c r="B1692" s="91" t="n"/>
      <c r="C1692" s="34" t="n"/>
    </row>
    <row r="1693">
      <c r="A1693" s="36" t="n"/>
      <c r="B1693" s="92" t="n"/>
      <c r="C1693" s="37" t="n"/>
    </row>
    <row r="1694">
      <c r="A1694" s="33" t="n"/>
      <c r="B1694" s="91" t="n"/>
      <c r="C1694" s="34" t="n"/>
    </row>
    <row r="1695">
      <c r="A1695" s="36" t="n"/>
      <c r="B1695" s="92" t="n"/>
      <c r="C1695" s="37" t="n"/>
    </row>
    <row r="1696">
      <c r="A1696" s="33" t="n"/>
      <c r="B1696" s="91" t="n"/>
      <c r="C1696" s="34" t="n"/>
    </row>
    <row r="1697">
      <c r="A1697" s="36" t="n"/>
      <c r="B1697" s="92" t="n"/>
      <c r="C1697" s="37" t="n"/>
    </row>
    <row r="1698">
      <c r="A1698" s="33" t="n"/>
      <c r="B1698" s="91" t="n"/>
      <c r="C1698" s="34" t="n"/>
    </row>
    <row r="1699">
      <c r="A1699" s="36" t="n"/>
      <c r="B1699" s="92" t="n"/>
      <c r="C1699" s="37" t="n"/>
    </row>
    <row r="1700">
      <c r="A1700" s="33" t="n"/>
      <c r="B1700" s="91" t="n"/>
      <c r="C1700" s="34" t="n"/>
    </row>
    <row r="1701">
      <c r="A1701" s="36" t="n"/>
      <c r="B1701" s="92" t="n"/>
      <c r="C1701" s="37" t="n"/>
    </row>
    <row r="1702">
      <c r="A1702" s="33" t="n"/>
      <c r="B1702" s="91" t="n"/>
      <c r="C1702" s="34" t="n"/>
    </row>
    <row r="1703">
      <c r="A1703" s="36" t="n"/>
      <c r="B1703" s="92" t="n"/>
      <c r="C1703" s="37" t="n"/>
    </row>
    <row r="1704">
      <c r="A1704" s="33" t="n"/>
      <c r="B1704" s="91" t="n"/>
      <c r="C1704" s="34" t="n"/>
    </row>
    <row r="1705">
      <c r="A1705" s="36" t="n"/>
      <c r="B1705" s="92" t="n"/>
      <c r="C1705" s="37" t="n"/>
    </row>
    <row r="1706">
      <c r="A1706" s="33" t="n"/>
      <c r="B1706" s="91" t="n"/>
      <c r="C1706" s="34" t="n"/>
    </row>
    <row r="1707">
      <c r="A1707" s="36" t="n"/>
      <c r="B1707" s="92" t="n"/>
      <c r="C1707" s="37" t="n"/>
    </row>
    <row r="1708">
      <c r="A1708" s="33" t="n"/>
      <c r="B1708" s="91" t="n"/>
      <c r="C1708" s="34" t="n"/>
    </row>
    <row r="1709">
      <c r="A1709" s="36" t="n"/>
      <c r="B1709" s="92" t="n"/>
      <c r="C1709" s="37" t="n"/>
    </row>
    <row r="1710">
      <c r="A1710" s="33" t="n"/>
      <c r="B1710" s="91" t="n"/>
      <c r="C1710" s="34" t="n"/>
    </row>
    <row r="1711">
      <c r="A1711" s="36" t="n"/>
      <c r="B1711" s="92" t="n"/>
      <c r="C1711" s="37" t="n"/>
    </row>
    <row r="1712">
      <c r="A1712" s="33" t="n"/>
      <c r="B1712" s="91" t="n"/>
      <c r="C1712" s="34" t="n"/>
    </row>
    <row r="1713">
      <c r="A1713" s="36" t="n"/>
      <c r="B1713" s="92" t="n"/>
      <c r="C1713" s="37" t="n"/>
    </row>
    <row r="1714">
      <c r="A1714" s="33" t="n"/>
      <c r="B1714" s="91" t="n"/>
      <c r="C1714" s="34" t="n"/>
    </row>
    <row r="1715">
      <c r="A1715" s="36" t="n"/>
      <c r="B1715" s="92" t="n"/>
      <c r="C1715" s="37" t="n"/>
    </row>
    <row r="1716">
      <c r="A1716" s="33" t="n"/>
      <c r="B1716" s="91" t="n"/>
      <c r="C1716" s="34" t="n"/>
    </row>
    <row r="1717">
      <c r="A1717" s="36" t="n"/>
      <c r="B1717" s="92" t="n"/>
      <c r="C1717" s="37" t="n"/>
    </row>
    <row r="1718">
      <c r="A1718" s="33" t="n"/>
      <c r="B1718" s="91" t="n"/>
      <c r="C1718" s="34" t="n"/>
    </row>
    <row r="1719">
      <c r="A1719" s="36" t="n"/>
      <c r="B1719" s="92" t="n"/>
      <c r="C1719" s="37" t="n"/>
    </row>
    <row r="1720">
      <c r="A1720" s="33" t="n"/>
      <c r="B1720" s="91" t="n"/>
      <c r="C1720" s="34" t="n"/>
    </row>
    <row r="1721">
      <c r="A1721" s="36" t="n"/>
      <c r="B1721" s="92" t="n"/>
      <c r="C1721" s="37" t="n"/>
    </row>
    <row r="1722">
      <c r="A1722" s="33" t="n"/>
      <c r="B1722" s="91" t="n"/>
      <c r="C1722" s="34" t="n"/>
    </row>
    <row r="1723">
      <c r="A1723" s="36" t="n"/>
      <c r="B1723" s="92" t="n"/>
      <c r="C1723" s="37" t="n"/>
    </row>
    <row r="1724">
      <c r="A1724" s="33" t="n"/>
      <c r="B1724" s="91" t="n"/>
      <c r="C1724" s="34" t="n"/>
    </row>
    <row r="1725">
      <c r="A1725" s="36" t="n"/>
      <c r="B1725" s="92" t="n"/>
      <c r="C1725" s="37" t="n"/>
    </row>
    <row r="1726">
      <c r="A1726" s="33" t="n"/>
      <c r="B1726" s="91" t="n"/>
      <c r="C1726" s="34" t="n"/>
    </row>
    <row r="1727">
      <c r="A1727" s="36" t="n"/>
      <c r="B1727" s="92" t="n"/>
      <c r="C1727" s="37" t="n"/>
    </row>
    <row r="1728">
      <c r="A1728" s="33" t="n"/>
      <c r="B1728" s="91" t="n"/>
      <c r="C1728" s="34" t="n"/>
    </row>
    <row r="1729">
      <c r="A1729" s="36" t="n"/>
      <c r="B1729" s="92" t="n"/>
      <c r="C1729" s="37" t="n"/>
    </row>
    <row r="1730">
      <c r="A1730" s="33" t="n"/>
      <c r="B1730" s="91" t="n"/>
      <c r="C1730" s="34" t="n"/>
    </row>
    <row r="1731">
      <c r="A1731" s="36" t="n"/>
      <c r="B1731" s="92" t="n"/>
      <c r="C1731" s="37" t="n"/>
    </row>
    <row r="1732">
      <c r="A1732" s="33" t="n"/>
      <c r="B1732" s="91" t="n"/>
      <c r="C1732" s="34" t="n"/>
    </row>
    <row r="1733">
      <c r="A1733" s="36" t="n"/>
      <c r="B1733" s="92" t="n"/>
      <c r="C1733" s="37" t="n"/>
    </row>
    <row r="1734">
      <c r="A1734" s="33" t="n"/>
      <c r="B1734" s="91" t="n"/>
      <c r="C1734" s="34" t="n"/>
    </row>
    <row r="1735">
      <c r="A1735" s="36" t="n"/>
      <c r="B1735" s="92" t="n"/>
      <c r="C1735" s="37" t="n"/>
    </row>
    <row r="1736">
      <c r="A1736" s="33" t="n"/>
      <c r="B1736" s="91" t="n"/>
      <c r="C1736" s="34" t="n"/>
    </row>
    <row r="1737">
      <c r="A1737" s="36" t="n"/>
      <c r="B1737" s="92" t="n"/>
      <c r="C1737" s="37" t="n"/>
    </row>
    <row r="1738">
      <c r="A1738" s="33" t="n"/>
      <c r="B1738" s="91" t="n"/>
      <c r="C1738" s="34" t="n"/>
    </row>
    <row r="1739">
      <c r="A1739" s="36" t="n"/>
      <c r="B1739" s="92" t="n"/>
      <c r="C1739" s="37" t="n"/>
    </row>
    <row r="1740">
      <c r="A1740" s="33" t="n"/>
      <c r="B1740" s="91" t="n"/>
      <c r="C1740" s="34" t="n"/>
    </row>
    <row r="1741">
      <c r="A1741" s="36" t="n"/>
      <c r="B1741" s="92" t="n"/>
      <c r="C1741" s="37" t="n"/>
    </row>
    <row r="1742">
      <c r="A1742" s="33" t="n"/>
      <c r="B1742" s="91" t="n"/>
      <c r="C1742" s="34" t="n"/>
    </row>
    <row r="1743">
      <c r="A1743" s="36" t="n"/>
      <c r="B1743" s="92" t="n"/>
      <c r="C1743" s="37" t="n"/>
    </row>
    <row r="1744">
      <c r="A1744" s="33" t="n"/>
      <c r="B1744" s="91" t="n"/>
      <c r="C1744" s="34" t="n"/>
    </row>
    <row r="1745">
      <c r="A1745" s="36" t="n"/>
      <c r="B1745" s="92" t="n"/>
      <c r="C1745" s="37" t="n"/>
    </row>
    <row r="1746">
      <c r="A1746" s="33" t="n"/>
      <c r="B1746" s="91" t="n"/>
      <c r="C1746" s="34" t="n"/>
    </row>
    <row r="1747">
      <c r="A1747" s="36" t="n"/>
      <c r="B1747" s="92" t="n"/>
      <c r="C1747" s="37" t="n"/>
    </row>
    <row r="1748">
      <c r="A1748" s="33" t="n"/>
      <c r="B1748" s="91" t="n"/>
      <c r="C1748" s="34" t="n"/>
    </row>
    <row r="1749">
      <c r="A1749" s="36" t="n"/>
      <c r="B1749" s="92" t="n"/>
      <c r="C1749" s="37" t="n"/>
    </row>
    <row r="1750">
      <c r="A1750" s="33" t="n"/>
      <c r="B1750" s="91" t="n"/>
      <c r="C1750" s="34" t="n"/>
    </row>
    <row r="1751">
      <c r="A1751" s="36" t="n"/>
      <c r="B1751" s="92" t="n"/>
      <c r="C1751" s="37" t="n"/>
    </row>
    <row r="1752">
      <c r="A1752" s="33" t="n"/>
      <c r="B1752" s="91" t="n"/>
      <c r="C1752" s="34" t="n"/>
    </row>
    <row r="1753">
      <c r="A1753" s="36" t="n"/>
      <c r="B1753" s="92" t="n"/>
      <c r="C1753" s="37" t="n"/>
    </row>
    <row r="1754">
      <c r="A1754" s="33" t="n"/>
      <c r="B1754" s="91" t="n"/>
      <c r="C1754" s="34" t="n"/>
    </row>
    <row r="1755">
      <c r="A1755" s="36" t="n"/>
      <c r="B1755" s="92" t="n"/>
      <c r="C1755" s="37" t="n"/>
    </row>
    <row r="1756">
      <c r="A1756" s="33" t="n"/>
      <c r="B1756" s="91" t="n"/>
      <c r="C1756" s="34" t="n"/>
    </row>
    <row r="1757">
      <c r="A1757" s="36" t="n"/>
      <c r="B1757" s="92" t="n"/>
      <c r="C1757" s="37" t="n"/>
    </row>
    <row r="1758">
      <c r="A1758" s="33" t="n"/>
      <c r="B1758" s="91" t="n"/>
      <c r="C1758" s="34" t="n"/>
    </row>
    <row r="1759">
      <c r="A1759" s="36" t="n"/>
      <c r="B1759" s="92" t="n"/>
      <c r="C1759" s="37" t="n"/>
    </row>
    <row r="1760">
      <c r="A1760" s="33" t="n"/>
      <c r="B1760" s="91" t="n"/>
      <c r="C1760" s="34" t="n"/>
    </row>
    <row r="1761">
      <c r="A1761" s="36" t="n"/>
      <c r="B1761" s="92" t="n"/>
      <c r="C1761" s="37" t="n"/>
    </row>
    <row r="1762">
      <c r="A1762" s="33" t="n"/>
      <c r="B1762" s="91" t="n"/>
      <c r="C1762" s="34" t="n"/>
    </row>
    <row r="1763">
      <c r="A1763" s="36" t="n"/>
      <c r="B1763" s="92" t="n"/>
      <c r="C1763" s="37" t="n"/>
    </row>
    <row r="1764">
      <c r="A1764" s="33" t="n"/>
      <c r="B1764" s="91" t="n"/>
      <c r="C1764" s="34" t="n"/>
    </row>
    <row r="1765">
      <c r="A1765" s="36" t="n"/>
      <c r="B1765" s="92" t="n"/>
      <c r="C1765" s="37" t="n"/>
    </row>
    <row r="1766">
      <c r="A1766" s="33" t="n"/>
      <c r="B1766" s="91" t="n"/>
      <c r="C1766" s="34" t="n"/>
    </row>
    <row r="1767">
      <c r="A1767" s="36" t="n"/>
      <c r="B1767" s="92" t="n"/>
      <c r="C1767" s="37" t="n"/>
    </row>
    <row r="1768">
      <c r="A1768" s="33" t="n"/>
      <c r="B1768" s="91" t="n"/>
      <c r="C1768" s="34" t="n"/>
    </row>
    <row r="1769">
      <c r="A1769" s="36" t="n"/>
      <c r="B1769" s="92" t="n"/>
      <c r="C1769" s="37" t="n"/>
    </row>
    <row r="1770">
      <c r="A1770" s="33" t="n"/>
      <c r="B1770" s="91" t="n"/>
      <c r="C1770" s="34" t="n"/>
    </row>
    <row r="1771">
      <c r="A1771" s="36" t="n"/>
      <c r="B1771" s="92" t="n"/>
      <c r="C1771" s="37" t="n"/>
    </row>
    <row r="1772">
      <c r="A1772" s="33" t="n"/>
      <c r="B1772" s="91" t="n"/>
      <c r="C1772" s="34" t="n"/>
    </row>
    <row r="1773">
      <c r="A1773" s="36" t="n"/>
      <c r="B1773" s="92" t="n"/>
      <c r="C1773" s="37" t="n"/>
    </row>
    <row r="1774">
      <c r="A1774" s="33" t="n"/>
      <c r="B1774" s="91" t="n"/>
      <c r="C1774" s="34" t="n"/>
    </row>
    <row r="1775">
      <c r="A1775" s="36" t="n"/>
      <c r="B1775" s="92" t="n"/>
      <c r="C1775" s="37" t="n"/>
    </row>
    <row r="1776">
      <c r="A1776" s="33" t="n"/>
      <c r="B1776" s="91" t="n"/>
      <c r="C1776" s="34" t="n"/>
    </row>
    <row r="1777">
      <c r="A1777" s="36" t="n"/>
      <c r="B1777" s="92" t="n"/>
      <c r="C1777" s="37" t="n"/>
    </row>
    <row r="1778">
      <c r="A1778" s="33" t="n"/>
      <c r="B1778" s="91" t="n"/>
      <c r="C1778" s="34" t="n"/>
    </row>
    <row r="1779">
      <c r="A1779" s="36" t="n"/>
      <c r="B1779" s="92" t="n"/>
      <c r="C1779" s="37" t="n"/>
    </row>
    <row r="1780">
      <c r="A1780" s="33" t="n"/>
      <c r="B1780" s="91" t="n"/>
      <c r="C1780" s="34" t="n"/>
    </row>
    <row r="1781">
      <c r="A1781" s="36" t="n"/>
      <c r="B1781" s="92" t="n"/>
      <c r="C1781" s="37" t="n"/>
    </row>
    <row r="1782">
      <c r="A1782" s="33" t="n"/>
      <c r="B1782" s="91" t="n"/>
      <c r="C1782" s="34" t="n"/>
    </row>
    <row r="1783">
      <c r="A1783" s="36" t="n"/>
      <c r="B1783" s="92" t="n"/>
      <c r="C1783" s="37" t="n"/>
    </row>
    <row r="1784">
      <c r="A1784" s="33" t="n"/>
      <c r="B1784" s="91" t="n"/>
      <c r="C1784" s="34" t="n"/>
    </row>
    <row r="1785">
      <c r="A1785" s="36" t="n"/>
      <c r="B1785" s="92" t="n"/>
      <c r="C1785" s="37" t="n"/>
    </row>
    <row r="1786">
      <c r="A1786" s="33" t="n"/>
      <c r="B1786" s="91" t="n"/>
      <c r="C1786" s="34" t="n"/>
    </row>
    <row r="1787">
      <c r="A1787" s="36" t="n"/>
      <c r="B1787" s="92" t="n"/>
      <c r="C1787" s="37" t="n"/>
    </row>
    <row r="1788">
      <c r="A1788" s="33" t="n"/>
      <c r="B1788" s="91" t="n"/>
      <c r="C1788" s="34" t="n"/>
    </row>
    <row r="1789">
      <c r="A1789" s="36" t="n"/>
      <c r="B1789" s="92" t="n"/>
      <c r="C1789" s="37" t="n"/>
    </row>
    <row r="1790">
      <c r="A1790" s="33" t="n"/>
      <c r="B1790" s="91" t="n"/>
      <c r="C1790" s="34" t="n"/>
    </row>
    <row r="1791">
      <c r="A1791" s="36" t="n"/>
      <c r="B1791" s="92" t="n"/>
      <c r="C1791" s="37" t="n"/>
    </row>
    <row r="1792">
      <c r="A1792" s="33" t="n"/>
      <c r="B1792" s="91" t="n"/>
      <c r="C1792" s="34" t="n"/>
    </row>
    <row r="1793">
      <c r="A1793" s="36" t="n"/>
      <c r="B1793" s="92" t="n"/>
      <c r="C1793" s="37" t="n"/>
    </row>
    <row r="1794">
      <c r="A1794" s="33" t="n"/>
      <c r="B1794" s="91" t="n"/>
      <c r="C1794" s="34" t="n"/>
    </row>
    <row r="1795">
      <c r="A1795" s="36" t="n"/>
      <c r="B1795" s="92" t="n"/>
      <c r="C1795" s="37" t="n"/>
    </row>
    <row r="1796">
      <c r="A1796" s="33" t="n"/>
      <c r="B1796" s="91" t="n"/>
      <c r="C1796" s="34" t="n"/>
    </row>
    <row r="1797">
      <c r="A1797" s="36" t="n"/>
      <c r="B1797" s="92" t="n"/>
      <c r="C1797" s="37" t="n"/>
    </row>
    <row r="1798">
      <c r="A1798" s="33" t="n"/>
      <c r="B1798" s="91" t="n"/>
      <c r="C1798" s="34" t="n"/>
    </row>
    <row r="1799">
      <c r="A1799" s="36" t="n"/>
      <c r="B1799" s="92" t="n"/>
      <c r="C1799" s="37" t="n"/>
    </row>
    <row r="1800">
      <c r="A1800" s="33" t="n"/>
      <c r="B1800" s="91" t="n"/>
      <c r="C1800" s="34" t="n"/>
    </row>
    <row r="1801">
      <c r="A1801" s="36" t="n"/>
      <c r="B1801" s="92" t="n"/>
      <c r="C1801" s="37" t="n"/>
    </row>
    <row r="1802">
      <c r="A1802" s="33" t="n"/>
      <c r="B1802" s="91" t="n"/>
      <c r="C1802" s="34" t="n"/>
    </row>
    <row r="1803">
      <c r="A1803" s="36" t="n"/>
      <c r="B1803" s="92" t="n"/>
      <c r="C1803" s="37" t="n"/>
    </row>
    <row r="1804">
      <c r="A1804" s="33" t="n"/>
      <c r="B1804" s="91" t="n"/>
      <c r="C1804" s="34" t="n"/>
    </row>
    <row r="1805">
      <c r="A1805" s="36" t="n"/>
      <c r="B1805" s="92" t="n"/>
      <c r="C1805" s="37" t="n"/>
    </row>
    <row r="1806">
      <c r="A1806" s="33" t="n"/>
      <c r="B1806" s="91" t="n"/>
      <c r="C1806" s="34" t="n"/>
    </row>
    <row r="1807">
      <c r="A1807" s="36" t="n"/>
      <c r="B1807" s="92" t="n"/>
      <c r="C1807" s="37" t="n"/>
    </row>
    <row r="1808">
      <c r="A1808" s="33" t="n"/>
      <c r="B1808" s="91" t="n"/>
      <c r="C1808" s="34" t="n"/>
    </row>
    <row r="1809">
      <c r="A1809" s="36" t="n"/>
      <c r="B1809" s="92" t="n"/>
      <c r="C1809" s="37" t="n"/>
    </row>
    <row r="1810">
      <c r="A1810" s="33" t="n"/>
      <c r="B1810" s="91" t="n"/>
      <c r="C1810" s="34" t="n"/>
    </row>
    <row r="1811">
      <c r="A1811" s="36" t="n"/>
      <c r="B1811" s="92" t="n"/>
      <c r="C1811" s="37" t="n"/>
    </row>
    <row r="1812">
      <c r="A1812" s="33" t="n"/>
      <c r="B1812" s="91" t="n"/>
      <c r="C1812" s="34" t="n"/>
    </row>
    <row r="1813">
      <c r="A1813" s="36" t="n"/>
      <c r="B1813" s="92" t="n"/>
      <c r="C1813" s="37" t="n"/>
    </row>
    <row r="1814">
      <c r="A1814" s="33" t="n"/>
      <c r="B1814" s="91" t="n"/>
      <c r="C1814" s="34" t="n"/>
    </row>
    <row r="1815">
      <c r="A1815" s="36" t="n"/>
      <c r="B1815" s="92" t="n"/>
      <c r="C1815" s="37" t="n"/>
    </row>
    <row r="1816">
      <c r="A1816" s="33" t="n"/>
      <c r="B1816" s="91" t="n"/>
      <c r="C1816" s="34" t="n"/>
    </row>
    <row r="1817">
      <c r="A1817" s="36" t="n"/>
      <c r="B1817" s="92" t="n"/>
      <c r="C1817" s="37" t="n"/>
    </row>
    <row r="1818">
      <c r="A1818" s="33" t="n"/>
      <c r="B1818" s="91" t="n"/>
      <c r="C1818" s="34" t="n"/>
    </row>
    <row r="1819">
      <c r="A1819" s="36" t="n"/>
      <c r="B1819" s="92" t="n"/>
      <c r="C1819" s="37" t="n"/>
    </row>
    <row r="1820">
      <c r="A1820" s="33" t="n"/>
      <c r="B1820" s="91" t="n"/>
      <c r="C1820" s="34" t="n"/>
    </row>
    <row r="1821">
      <c r="A1821" s="36" t="n"/>
      <c r="B1821" s="92" t="n"/>
      <c r="C1821" s="37" t="n"/>
    </row>
    <row r="1822">
      <c r="A1822" s="33" t="n"/>
      <c r="B1822" s="91" t="n"/>
      <c r="C1822" s="34" t="n"/>
    </row>
    <row r="1823">
      <c r="A1823" s="36" t="n"/>
      <c r="B1823" s="92" t="n"/>
      <c r="C1823" s="37" t="n"/>
    </row>
    <row r="1824">
      <c r="A1824" s="33" t="n"/>
      <c r="B1824" s="91" t="n"/>
      <c r="C1824" s="34" t="n"/>
    </row>
    <row r="1825">
      <c r="A1825" s="36" t="n"/>
      <c r="B1825" s="92" t="n"/>
      <c r="C1825" s="37" t="n"/>
    </row>
    <row r="1826">
      <c r="A1826" s="33" t="n"/>
      <c r="B1826" s="91" t="n"/>
      <c r="C1826" s="34" t="n"/>
    </row>
    <row r="1827">
      <c r="A1827" s="36" t="n"/>
      <c r="B1827" s="92" t="n"/>
      <c r="C1827" s="37" t="n"/>
    </row>
    <row r="1828">
      <c r="A1828" s="33" t="n"/>
      <c r="B1828" s="91" t="n"/>
      <c r="C1828" s="34" t="n"/>
    </row>
    <row r="1829">
      <c r="A1829" s="36" t="n"/>
      <c r="B1829" s="92" t="n"/>
      <c r="C1829" s="37" t="n"/>
    </row>
    <row r="1830">
      <c r="A1830" s="33" t="n"/>
      <c r="B1830" s="91" t="n"/>
      <c r="C1830" s="34" t="n"/>
    </row>
    <row r="1831">
      <c r="A1831" s="36" t="n"/>
      <c r="B1831" s="92" t="n"/>
      <c r="C1831" s="37" t="n"/>
    </row>
    <row r="1832">
      <c r="A1832" s="33" t="n"/>
      <c r="B1832" s="91" t="n"/>
      <c r="C1832" s="34" t="n"/>
    </row>
    <row r="1833">
      <c r="A1833" s="36" t="n"/>
      <c r="B1833" s="92" t="n"/>
      <c r="C1833" s="37" t="n"/>
    </row>
    <row r="1834">
      <c r="A1834" s="33" t="n"/>
      <c r="B1834" s="91" t="n"/>
      <c r="C1834" s="34" t="n"/>
    </row>
    <row r="1835">
      <c r="A1835" s="36" t="n"/>
      <c r="B1835" s="92" t="n"/>
      <c r="C1835" s="37" t="n"/>
    </row>
    <row r="1836">
      <c r="A1836" s="33" t="n"/>
      <c r="B1836" s="91" t="n"/>
      <c r="C1836" s="34" t="n"/>
    </row>
    <row r="1837">
      <c r="A1837" s="36" t="n"/>
      <c r="B1837" s="92" t="n"/>
      <c r="C1837" s="37" t="n"/>
    </row>
    <row r="1838">
      <c r="A1838" s="33" t="n"/>
      <c r="B1838" s="91" t="n"/>
      <c r="C1838" s="34" t="n"/>
    </row>
    <row r="1839">
      <c r="A1839" s="36" t="n"/>
      <c r="B1839" s="92" t="n"/>
      <c r="C1839" s="37" t="n"/>
    </row>
    <row r="1840">
      <c r="A1840" s="33" t="n"/>
      <c r="B1840" s="91" t="n"/>
      <c r="C1840" s="34" t="n"/>
    </row>
    <row r="1841">
      <c r="A1841" s="36" t="n"/>
      <c r="B1841" s="92" t="n"/>
      <c r="C1841" s="37" t="n"/>
    </row>
    <row r="1842">
      <c r="A1842" s="33" t="n"/>
      <c r="B1842" s="91" t="n"/>
      <c r="C1842" s="34" t="n"/>
    </row>
    <row r="1843">
      <c r="A1843" s="36" t="n"/>
      <c r="B1843" s="92" t="n"/>
      <c r="C1843" s="37" t="n"/>
    </row>
    <row r="1844">
      <c r="A1844" s="33" t="n"/>
      <c r="B1844" s="91" t="n"/>
      <c r="C1844" s="34" t="n"/>
    </row>
    <row r="1845">
      <c r="A1845" s="36" t="n"/>
      <c r="B1845" s="92" t="n"/>
      <c r="C1845" s="37" t="n"/>
    </row>
    <row r="1846">
      <c r="A1846" s="33" t="n"/>
      <c r="B1846" s="91" t="n"/>
      <c r="C1846" s="34" t="n"/>
    </row>
    <row r="1847">
      <c r="A1847" s="36" t="n"/>
      <c r="B1847" s="92" t="n"/>
      <c r="C1847" s="37" t="n"/>
    </row>
    <row r="1848">
      <c r="A1848" s="33" t="n"/>
      <c r="B1848" s="91" t="n"/>
      <c r="C1848" s="34" t="n"/>
    </row>
    <row r="1849">
      <c r="A1849" s="36" t="n"/>
      <c r="B1849" s="92" t="n"/>
      <c r="C1849" s="37" t="n"/>
    </row>
    <row r="1850">
      <c r="A1850" s="33" t="n"/>
      <c r="B1850" s="91" t="n"/>
      <c r="C1850" s="34" t="n"/>
    </row>
    <row r="1851">
      <c r="A1851" s="36" t="n"/>
      <c r="B1851" s="92" t="n"/>
      <c r="C1851" s="37" t="n"/>
    </row>
    <row r="1852">
      <c r="A1852" s="33" t="n"/>
      <c r="B1852" s="91" t="n"/>
      <c r="C1852" s="34" t="n"/>
    </row>
    <row r="1853">
      <c r="A1853" s="36" t="n"/>
      <c r="B1853" s="92" t="n"/>
      <c r="C1853" s="37" t="n"/>
    </row>
    <row r="1854">
      <c r="A1854" s="33" t="n"/>
      <c r="B1854" s="91" t="n"/>
      <c r="C1854" s="34" t="n"/>
    </row>
    <row r="1855">
      <c r="A1855" s="36" t="n"/>
      <c r="B1855" s="92" t="n"/>
      <c r="C1855" s="37" t="n"/>
    </row>
    <row r="1856">
      <c r="A1856" s="33" t="n"/>
      <c r="B1856" s="91" t="n"/>
      <c r="C1856" s="34" t="n"/>
    </row>
    <row r="1857">
      <c r="A1857" s="36" t="n"/>
      <c r="B1857" s="92" t="n"/>
      <c r="C1857" s="37" t="n"/>
    </row>
    <row r="1858">
      <c r="A1858" s="33" t="n"/>
      <c r="B1858" s="91" t="n"/>
      <c r="C1858" s="34" t="n"/>
    </row>
    <row r="1859">
      <c r="A1859" s="36" t="n"/>
      <c r="B1859" s="92" t="n"/>
      <c r="C1859" s="37" t="n"/>
    </row>
    <row r="1860">
      <c r="A1860" s="33" t="n"/>
      <c r="B1860" s="91" t="n"/>
      <c r="C1860" s="34" t="n"/>
    </row>
    <row r="1861">
      <c r="A1861" s="36" t="n"/>
      <c r="B1861" s="92" t="n"/>
      <c r="C1861" s="37" t="n"/>
    </row>
    <row r="1862">
      <c r="A1862" s="33" t="n"/>
      <c r="B1862" s="91" t="n"/>
      <c r="C1862" s="34" t="n"/>
    </row>
    <row r="1863">
      <c r="A1863" s="36" t="n"/>
      <c r="B1863" s="92" t="n"/>
      <c r="C1863" s="37" t="n"/>
    </row>
    <row r="1864">
      <c r="A1864" s="33" t="n"/>
      <c r="B1864" s="91" t="n"/>
      <c r="C1864" s="34" t="n"/>
    </row>
    <row r="1865">
      <c r="A1865" s="36" t="n"/>
      <c r="B1865" s="92" t="n"/>
      <c r="C1865" s="37" t="n"/>
    </row>
    <row r="1866">
      <c r="A1866" s="33" t="n"/>
      <c r="B1866" s="91" t="n"/>
      <c r="C1866" s="34" t="n"/>
    </row>
    <row r="1867">
      <c r="A1867" s="36" t="n"/>
      <c r="B1867" s="92" t="n"/>
      <c r="C1867" s="37" t="n"/>
    </row>
    <row r="1868">
      <c r="A1868" s="33" t="n"/>
      <c r="B1868" s="91" t="n"/>
      <c r="C1868" s="34" t="n"/>
    </row>
    <row r="1869">
      <c r="A1869" s="36" t="n"/>
      <c r="B1869" s="92" t="n"/>
      <c r="C1869" s="37" t="n"/>
    </row>
    <row r="1870">
      <c r="A1870" s="33" t="n"/>
      <c r="B1870" s="91" t="n"/>
      <c r="C1870" s="34" t="n"/>
    </row>
    <row r="1871">
      <c r="A1871" s="36" t="n"/>
      <c r="B1871" s="92" t="n"/>
      <c r="C1871" s="37" t="n"/>
    </row>
    <row r="1872">
      <c r="A1872" s="33" t="n"/>
      <c r="B1872" s="91" t="n"/>
      <c r="C1872" s="34" t="n"/>
    </row>
    <row r="1873">
      <c r="A1873" s="36" t="n"/>
      <c r="B1873" s="92" t="n"/>
      <c r="C1873" s="37" t="n"/>
    </row>
    <row r="1874">
      <c r="A1874" s="33" t="n"/>
      <c r="B1874" s="91" t="n"/>
      <c r="C1874" s="34" t="n"/>
    </row>
    <row r="1875">
      <c r="A1875" s="36" t="n"/>
      <c r="B1875" s="92" t="n"/>
      <c r="C1875" s="37" t="n"/>
    </row>
    <row r="1876">
      <c r="A1876" s="33" t="n"/>
      <c r="B1876" s="91" t="n"/>
      <c r="C1876" s="34" t="n"/>
    </row>
    <row r="1877">
      <c r="A1877" s="36" t="n"/>
      <c r="B1877" s="92" t="n"/>
      <c r="C1877" s="37" t="n"/>
    </row>
    <row r="1878">
      <c r="A1878" s="33" t="n"/>
      <c r="B1878" s="91" t="n"/>
      <c r="C1878" s="34" t="n"/>
    </row>
    <row r="1879">
      <c r="A1879" s="36" t="n"/>
      <c r="B1879" s="92" t="n"/>
      <c r="C1879" s="37" t="n"/>
    </row>
    <row r="1880">
      <c r="A1880" s="33" t="n"/>
      <c r="B1880" s="91" t="n"/>
      <c r="C1880" s="34" t="n"/>
    </row>
    <row r="1881">
      <c r="A1881" s="36" t="n"/>
      <c r="B1881" s="92" t="n"/>
      <c r="C1881" s="37" t="n"/>
    </row>
    <row r="1882">
      <c r="A1882" s="33" t="n"/>
      <c r="B1882" s="91" t="n"/>
      <c r="C1882" s="34" t="n"/>
    </row>
    <row r="1883">
      <c r="A1883" s="36" t="n"/>
      <c r="B1883" s="92" t="n"/>
      <c r="C1883" s="37" t="n"/>
    </row>
    <row r="1884">
      <c r="A1884" s="33" t="n"/>
      <c r="B1884" s="91" t="n"/>
      <c r="C1884" s="34" t="n"/>
    </row>
    <row r="1885">
      <c r="A1885" s="36" t="n"/>
      <c r="B1885" s="92" t="n"/>
      <c r="C1885" s="37" t="n"/>
    </row>
    <row r="1886">
      <c r="A1886" s="33" t="n"/>
      <c r="B1886" s="91" t="n"/>
      <c r="C1886" s="34" t="n"/>
    </row>
    <row r="1887">
      <c r="A1887" s="36" t="n"/>
      <c r="B1887" s="92" t="n"/>
      <c r="C1887" s="37" t="n"/>
    </row>
    <row r="1888">
      <c r="A1888" s="33" t="n"/>
      <c r="B1888" s="91" t="n"/>
      <c r="C1888" s="34" t="n"/>
    </row>
    <row r="1889">
      <c r="A1889" s="36" t="n"/>
      <c r="B1889" s="92" t="n"/>
      <c r="C1889" s="37" t="n"/>
    </row>
    <row r="1890">
      <c r="A1890" s="33" t="n"/>
      <c r="B1890" s="91" t="n"/>
      <c r="C1890" s="34" t="n"/>
    </row>
    <row r="1891">
      <c r="A1891" s="36" t="n"/>
      <c r="B1891" s="92" t="n"/>
      <c r="C1891" s="37" t="n"/>
    </row>
    <row r="1892">
      <c r="A1892" s="33" t="n"/>
      <c r="B1892" s="91" t="n"/>
      <c r="C1892" s="34" t="n"/>
    </row>
    <row r="1893">
      <c r="A1893" s="36" t="n"/>
      <c r="B1893" s="92" t="n"/>
      <c r="C1893" s="37" t="n"/>
    </row>
    <row r="1894">
      <c r="A1894" s="33" t="n"/>
      <c r="B1894" s="91" t="n"/>
      <c r="C1894" s="34" t="n"/>
    </row>
    <row r="1895">
      <c r="A1895" s="36" t="n"/>
      <c r="B1895" s="92" t="n"/>
      <c r="C1895" s="37" t="n"/>
    </row>
    <row r="1896">
      <c r="A1896" s="33" t="n"/>
      <c r="B1896" s="91" t="n"/>
      <c r="C1896" s="34" t="n"/>
    </row>
    <row r="1897">
      <c r="A1897" s="36" t="n"/>
      <c r="B1897" s="92" t="n"/>
      <c r="C1897" s="37" t="n"/>
    </row>
    <row r="1898">
      <c r="A1898" s="33" t="n"/>
      <c r="B1898" s="91" t="n"/>
      <c r="C1898" s="34" t="n"/>
    </row>
    <row r="1899">
      <c r="A1899" s="36" t="n"/>
      <c r="B1899" s="92" t="n"/>
      <c r="C1899" s="37" t="n"/>
    </row>
    <row r="1900">
      <c r="A1900" s="33" t="n"/>
      <c r="B1900" s="91" t="n"/>
      <c r="C1900" s="34" t="n"/>
    </row>
    <row r="1901">
      <c r="A1901" s="36" t="n"/>
      <c r="B1901" s="92" t="n"/>
      <c r="C1901" s="37" t="n"/>
    </row>
    <row r="1902">
      <c r="A1902" s="33" t="n"/>
      <c r="B1902" s="91" t="n"/>
      <c r="C1902" s="34" t="n"/>
    </row>
    <row r="1903">
      <c r="A1903" s="36" t="n"/>
      <c r="B1903" s="92" t="n"/>
      <c r="C1903" s="37" t="n"/>
    </row>
    <row r="1904">
      <c r="A1904" s="33" t="n"/>
      <c r="B1904" s="91" t="n"/>
      <c r="C1904" s="34" t="n"/>
    </row>
    <row r="1905">
      <c r="A1905" s="36" t="n"/>
      <c r="B1905" s="92" t="n"/>
      <c r="C1905" s="37" t="n"/>
    </row>
    <row r="1906">
      <c r="A1906" s="33" t="n"/>
      <c r="B1906" s="91" t="n"/>
      <c r="C1906" s="34" t="n"/>
    </row>
    <row r="1907">
      <c r="A1907" s="36" t="n"/>
      <c r="B1907" s="92" t="n"/>
      <c r="C1907" s="37" t="n"/>
    </row>
    <row r="1908">
      <c r="A1908" s="33" t="n"/>
      <c r="B1908" s="91" t="n"/>
      <c r="C1908" s="34" t="n"/>
    </row>
    <row r="1909">
      <c r="A1909" s="36" t="n"/>
      <c r="B1909" s="92" t="n"/>
      <c r="C1909" s="37" t="n"/>
    </row>
    <row r="1910">
      <c r="A1910" s="33" t="n"/>
      <c r="B1910" s="91" t="n"/>
      <c r="C1910" s="34" t="n"/>
    </row>
    <row r="1911">
      <c r="A1911" s="36" t="n"/>
      <c r="B1911" s="92" t="n"/>
      <c r="C1911" s="37" t="n"/>
    </row>
    <row r="1912">
      <c r="A1912" s="33" t="n"/>
      <c r="B1912" s="91" t="n"/>
      <c r="C1912" s="34" t="n"/>
    </row>
    <row r="1913">
      <c r="A1913" s="36" t="n"/>
      <c r="B1913" s="92" t="n"/>
      <c r="C1913" s="37" t="n"/>
    </row>
    <row r="1914">
      <c r="A1914" s="33" t="n"/>
      <c r="B1914" s="91" t="n"/>
      <c r="C1914" s="34" t="n"/>
    </row>
    <row r="1915">
      <c r="A1915" s="36" t="n"/>
      <c r="B1915" s="92" t="n"/>
      <c r="C1915" s="37" t="n"/>
    </row>
    <row r="1916">
      <c r="A1916" s="33" t="n"/>
      <c r="B1916" s="91" t="n"/>
      <c r="C1916" s="34" t="n"/>
    </row>
    <row r="1917">
      <c r="A1917" s="36" t="n"/>
      <c r="B1917" s="92" t="n"/>
      <c r="C1917" s="37" t="n"/>
    </row>
    <row r="1918">
      <c r="A1918" s="33" t="n"/>
      <c r="B1918" s="91" t="n"/>
      <c r="C1918" s="34" t="n"/>
    </row>
    <row r="1919">
      <c r="A1919" s="36" t="n"/>
      <c r="B1919" s="92" t="n"/>
      <c r="C1919" s="37" t="n"/>
    </row>
    <row r="1920">
      <c r="A1920" s="33" t="n"/>
      <c r="B1920" s="91" t="n"/>
      <c r="C1920" s="34" t="n"/>
    </row>
    <row r="1921">
      <c r="A1921" s="36" t="n"/>
      <c r="B1921" s="92" t="n"/>
      <c r="C1921" s="37" t="n"/>
    </row>
    <row r="1922">
      <c r="A1922" s="33" t="n"/>
      <c r="B1922" s="91" t="n"/>
      <c r="C1922" s="34" t="n"/>
    </row>
    <row r="1923">
      <c r="A1923" s="36" t="n"/>
      <c r="B1923" s="92" t="n"/>
      <c r="C1923" s="37" t="n"/>
    </row>
    <row r="1924">
      <c r="A1924" s="33" t="n"/>
      <c r="B1924" s="91" t="n"/>
      <c r="C1924" s="34" t="n"/>
    </row>
    <row r="1925">
      <c r="A1925" s="36" t="n"/>
      <c r="B1925" s="92" t="n"/>
      <c r="C1925" s="37" t="n"/>
    </row>
    <row r="1926">
      <c r="A1926" s="33" t="n"/>
      <c r="B1926" s="91" t="n"/>
      <c r="C1926" s="34" t="n"/>
    </row>
    <row r="1927">
      <c r="A1927" s="36" t="n"/>
      <c r="B1927" s="92" t="n"/>
      <c r="C1927" s="37" t="n"/>
    </row>
    <row r="1928">
      <c r="A1928" s="33" t="n"/>
      <c r="B1928" s="91" t="n"/>
      <c r="C1928" s="34" t="n"/>
    </row>
    <row r="1929">
      <c r="A1929" s="36" t="n"/>
      <c r="B1929" s="92" t="n"/>
      <c r="C1929" s="37" t="n"/>
    </row>
    <row r="1930">
      <c r="A1930" s="33" t="n"/>
      <c r="B1930" s="91" t="n"/>
      <c r="C1930" s="34" t="n"/>
    </row>
    <row r="1931">
      <c r="A1931" s="36" t="n"/>
      <c r="B1931" s="92" t="n"/>
      <c r="C1931" s="37" t="n"/>
    </row>
    <row r="1932">
      <c r="A1932" s="33" t="n"/>
      <c r="B1932" s="91" t="n"/>
      <c r="C1932" s="34" t="n"/>
    </row>
    <row r="1933">
      <c r="A1933" s="36" t="n"/>
      <c r="B1933" s="92" t="n"/>
      <c r="C1933" s="37" t="n"/>
    </row>
    <row r="1934">
      <c r="A1934" s="33" t="n"/>
      <c r="B1934" s="91" t="n"/>
      <c r="C1934" s="34" t="n"/>
    </row>
    <row r="1935">
      <c r="A1935" s="36" t="n"/>
      <c r="B1935" s="92" t="n"/>
      <c r="C1935" s="37" t="n"/>
    </row>
    <row r="1936">
      <c r="A1936" s="33" t="n"/>
      <c r="B1936" s="91" t="n"/>
      <c r="C1936" s="34" t="n"/>
    </row>
    <row r="1937">
      <c r="A1937" s="36" t="n"/>
      <c r="B1937" s="92" t="n"/>
      <c r="C1937" s="37" t="n"/>
    </row>
    <row r="1938">
      <c r="A1938" s="33" t="n"/>
      <c r="B1938" s="91" t="n"/>
      <c r="C1938" s="34" t="n"/>
    </row>
    <row r="1939">
      <c r="A1939" s="36" t="n"/>
      <c r="B1939" s="92" t="n"/>
      <c r="C1939" s="37" t="n"/>
    </row>
    <row r="1940">
      <c r="A1940" s="33" t="n"/>
      <c r="B1940" s="91" t="n"/>
      <c r="C1940" s="34" t="n"/>
    </row>
    <row r="1941">
      <c r="A1941" s="36" t="n"/>
      <c r="B1941" s="92" t="n"/>
      <c r="C1941" s="37" t="n"/>
    </row>
    <row r="1942">
      <c r="A1942" s="33" t="n"/>
      <c r="B1942" s="91" t="n"/>
      <c r="C1942" s="34" t="n"/>
    </row>
    <row r="1943">
      <c r="A1943" s="36" t="n"/>
      <c r="B1943" s="92" t="n"/>
      <c r="C1943" s="37" t="n"/>
    </row>
    <row r="1944">
      <c r="A1944" s="33" t="n"/>
      <c r="B1944" s="91" t="n"/>
      <c r="C1944" s="34" t="n"/>
    </row>
    <row r="1945">
      <c r="A1945" s="36" t="n"/>
      <c r="B1945" s="92" t="n"/>
      <c r="C1945" s="37" t="n"/>
    </row>
    <row r="1946">
      <c r="A1946" s="33" t="n"/>
      <c r="B1946" s="91" t="n"/>
      <c r="C1946" s="34" t="n"/>
    </row>
    <row r="1947">
      <c r="A1947" s="36" t="n"/>
      <c r="B1947" s="92" t="n"/>
      <c r="C1947" s="37" t="n"/>
    </row>
    <row r="1948">
      <c r="A1948" s="33" t="n"/>
      <c r="B1948" s="91" t="n"/>
      <c r="C1948" s="34" t="n"/>
    </row>
    <row r="1949">
      <c r="A1949" s="36" t="n"/>
      <c r="B1949" s="92" t="n"/>
      <c r="C1949" s="37" t="n"/>
    </row>
    <row r="1950">
      <c r="A1950" s="33" t="n"/>
      <c r="B1950" s="91" t="n"/>
      <c r="C1950" s="34" t="n"/>
    </row>
    <row r="1951">
      <c r="A1951" s="36" t="n"/>
      <c r="B1951" s="92" t="n"/>
      <c r="C1951" s="37" t="n"/>
    </row>
    <row r="1952">
      <c r="A1952" s="33" t="n"/>
      <c r="B1952" s="91" t="n"/>
      <c r="C1952" s="34" t="n"/>
    </row>
    <row r="1953">
      <c r="A1953" s="36" t="n"/>
      <c r="B1953" s="92" t="n"/>
      <c r="C1953" s="37" t="n"/>
    </row>
    <row r="1954">
      <c r="A1954" s="33" t="n"/>
      <c r="B1954" s="91" t="n"/>
      <c r="C1954" s="34" t="n"/>
    </row>
    <row r="1955">
      <c r="A1955" s="36" t="n"/>
      <c r="B1955" s="92" t="n"/>
      <c r="C1955" s="37" t="n"/>
    </row>
    <row r="1956">
      <c r="A1956" s="33" t="n"/>
      <c r="B1956" s="91" t="n"/>
      <c r="C1956" s="34" t="n"/>
    </row>
    <row r="1957">
      <c r="A1957" s="36" t="n"/>
      <c r="B1957" s="92" t="n"/>
      <c r="C1957" s="37" t="n"/>
    </row>
    <row r="1958">
      <c r="A1958" s="33" t="n"/>
      <c r="B1958" s="91" t="n"/>
      <c r="C1958" s="34" t="n"/>
    </row>
    <row r="1959">
      <c r="A1959" s="36" t="n"/>
      <c r="B1959" s="92" t="n"/>
      <c r="C1959" s="37" t="n"/>
    </row>
    <row r="1960">
      <c r="A1960" s="33" t="n"/>
      <c r="B1960" s="91" t="n"/>
      <c r="C1960" s="34" t="n"/>
    </row>
    <row r="1961">
      <c r="A1961" s="36" t="n"/>
      <c r="B1961" s="92" t="n"/>
      <c r="C1961" s="37" t="n"/>
    </row>
    <row r="1962">
      <c r="A1962" s="33" t="n"/>
      <c r="B1962" s="91" t="n"/>
      <c r="C1962" s="34" t="n"/>
    </row>
    <row r="1963">
      <c r="A1963" s="36" t="n"/>
      <c r="B1963" s="92" t="n"/>
      <c r="C1963" s="37" t="n"/>
    </row>
    <row r="1964">
      <c r="A1964" s="33" t="n"/>
      <c r="B1964" s="91" t="n"/>
      <c r="C1964" s="34" t="n"/>
    </row>
    <row r="1965">
      <c r="A1965" s="36" t="n"/>
      <c r="B1965" s="92" t="n"/>
      <c r="C1965" s="37" t="n"/>
    </row>
    <row r="1966">
      <c r="A1966" s="33" t="n"/>
      <c r="B1966" s="91" t="n"/>
      <c r="C1966" s="34" t="n"/>
    </row>
    <row r="1967">
      <c r="A1967" s="36" t="n"/>
      <c r="B1967" s="92" t="n"/>
      <c r="C1967" s="37" t="n"/>
    </row>
    <row r="1968">
      <c r="A1968" s="33" t="n"/>
      <c r="B1968" s="91" t="n"/>
      <c r="C1968" s="34" t="n"/>
    </row>
    <row r="1969">
      <c r="A1969" s="36" t="n"/>
      <c r="B1969" s="92" t="n"/>
      <c r="C1969" s="37" t="n"/>
    </row>
    <row r="1970">
      <c r="A1970" s="33" t="n"/>
      <c r="B1970" s="91" t="n"/>
      <c r="C1970" s="34" t="n"/>
    </row>
    <row r="1971">
      <c r="A1971" s="36" t="n"/>
      <c r="B1971" s="92" t="n"/>
      <c r="C1971" s="37" t="n"/>
    </row>
    <row r="1972">
      <c r="A1972" s="33" t="n"/>
      <c r="B1972" s="91" t="n"/>
      <c r="C1972" s="34" t="n"/>
    </row>
    <row r="1973">
      <c r="A1973" s="36" t="n"/>
      <c r="B1973" s="92" t="n"/>
      <c r="C1973" s="37" t="n"/>
    </row>
    <row r="1974">
      <c r="A1974" s="33" t="n"/>
      <c r="B1974" s="91" t="n"/>
      <c r="C1974" s="34" t="n"/>
    </row>
    <row r="1975">
      <c r="A1975" s="36" t="n"/>
      <c r="B1975" s="92" t="n"/>
      <c r="C1975" s="37" t="n"/>
    </row>
    <row r="1976">
      <c r="A1976" s="33" t="n"/>
      <c r="B1976" s="91" t="n"/>
      <c r="C1976" s="34" t="n"/>
    </row>
    <row r="1977">
      <c r="A1977" s="36" t="n"/>
      <c r="B1977" s="92" t="n"/>
      <c r="C1977" s="37" t="n"/>
    </row>
    <row r="1978">
      <c r="A1978" s="33" t="n"/>
      <c r="B1978" s="91" t="n"/>
      <c r="C1978" s="34" t="n"/>
    </row>
    <row r="1979">
      <c r="A1979" s="36" t="n"/>
      <c r="B1979" s="92" t="n"/>
      <c r="C1979" s="37" t="n"/>
    </row>
    <row r="1980">
      <c r="A1980" s="33" t="n"/>
      <c r="B1980" s="91" t="n"/>
      <c r="C1980" s="34" t="n"/>
    </row>
    <row r="1981">
      <c r="A1981" s="36" t="n"/>
      <c r="B1981" s="92" t="n"/>
      <c r="C1981" s="37" t="n"/>
    </row>
    <row r="1982">
      <c r="A1982" s="33" t="n"/>
      <c r="B1982" s="91" t="n"/>
      <c r="C1982" s="34" t="n"/>
    </row>
    <row r="1983">
      <c r="A1983" s="36" t="n"/>
      <c r="B1983" s="92" t="n"/>
      <c r="C1983" s="37" t="n"/>
    </row>
    <row r="1984">
      <c r="A1984" s="33" t="n"/>
      <c r="B1984" s="91" t="n"/>
      <c r="C1984" s="34" t="n"/>
    </row>
    <row r="1985">
      <c r="A1985" s="36" t="n"/>
      <c r="B1985" s="92" t="n"/>
      <c r="C1985" s="37" t="n"/>
    </row>
    <row r="1986">
      <c r="A1986" s="33" t="n"/>
      <c r="B1986" s="91" t="n"/>
      <c r="C1986" s="34" t="n"/>
    </row>
    <row r="1987">
      <c r="A1987" s="36" t="n"/>
      <c r="B1987" s="92" t="n"/>
      <c r="C1987" s="37" t="n"/>
    </row>
    <row r="1988">
      <c r="A1988" s="33" t="n"/>
      <c r="B1988" s="91" t="n"/>
      <c r="C1988" s="34" t="n"/>
    </row>
    <row r="1989">
      <c r="A1989" s="36" t="n"/>
      <c r="B1989" s="92" t="n"/>
      <c r="C1989" s="37" t="n"/>
    </row>
    <row r="1990">
      <c r="A1990" s="33" t="n"/>
      <c r="B1990" s="91" t="n"/>
      <c r="C1990" s="34" t="n"/>
    </row>
    <row r="1991">
      <c r="A1991" s="36" t="n"/>
      <c r="B1991" s="92" t="n"/>
      <c r="C1991" s="37" t="n"/>
    </row>
    <row r="1992">
      <c r="A1992" s="33" t="n"/>
      <c r="B1992" s="91" t="n"/>
      <c r="C1992" s="34" t="n"/>
    </row>
    <row r="1993">
      <c r="A1993" s="36" t="n"/>
      <c r="B1993" s="92" t="n"/>
      <c r="C1993" s="37" t="n"/>
    </row>
    <row r="1994">
      <c r="A1994" s="33" t="n"/>
      <c r="B1994" s="91" t="n"/>
      <c r="C1994" s="34" t="n"/>
    </row>
    <row r="1995">
      <c r="A1995" s="36" t="n"/>
      <c r="B1995" s="92" t="n"/>
      <c r="C1995" s="37" t="n"/>
    </row>
    <row r="1996">
      <c r="A1996" s="33" t="n"/>
      <c r="B1996" s="91" t="n"/>
      <c r="C1996" s="34" t="n"/>
    </row>
    <row r="1997">
      <c r="A1997" s="36" t="n"/>
      <c r="B1997" s="92" t="n"/>
      <c r="C1997" s="37" t="n"/>
    </row>
    <row r="1998">
      <c r="A1998" s="33" t="n"/>
      <c r="B1998" s="91" t="n"/>
      <c r="C1998" s="34" t="n"/>
    </row>
    <row r="1999">
      <c r="A1999" s="36" t="n"/>
      <c r="B1999" s="92" t="n"/>
      <c r="C1999" s="37" t="n"/>
    </row>
    <row r="2000">
      <c r="A2000" s="33" t="n"/>
      <c r="B2000" s="91" t="n"/>
      <c r="C2000" s="34" t="n"/>
    </row>
    <row r="2001">
      <c r="A2001" s="36" t="n"/>
      <c r="B2001" s="92" t="n"/>
      <c r="C2001" s="37" t="n"/>
    </row>
    <row r="2002">
      <c r="A2002" s="33" t="n"/>
      <c r="B2002" s="91" t="n"/>
      <c r="C2002" s="34" t="n"/>
    </row>
    <row r="2003">
      <c r="A2003" s="36" t="n"/>
      <c r="B2003" s="92" t="n"/>
      <c r="C2003" s="37" t="n"/>
    </row>
    <row r="2004">
      <c r="A2004" s="33" t="n"/>
      <c r="B2004" s="91" t="n"/>
      <c r="C2004" s="34" t="n"/>
    </row>
    <row r="2005">
      <c r="A2005" s="36" t="n"/>
      <c r="B2005" s="92" t="n"/>
      <c r="C2005" s="37" t="n"/>
    </row>
    <row r="2006">
      <c r="A2006" s="33" t="n"/>
      <c r="B2006" s="91" t="n"/>
      <c r="C2006" s="34" t="n"/>
    </row>
    <row r="2007">
      <c r="A2007" s="36" t="n"/>
      <c r="B2007" s="92" t="n"/>
      <c r="C2007" s="37" t="n"/>
    </row>
    <row r="2008">
      <c r="A2008" s="33" t="n"/>
      <c r="B2008" s="91" t="n"/>
      <c r="C2008" s="34" t="n"/>
    </row>
    <row r="2009">
      <c r="A2009" s="36" t="n"/>
      <c r="B2009" s="92" t="n"/>
      <c r="C2009" s="37" t="n"/>
    </row>
    <row r="2010">
      <c r="A2010" s="33" t="n"/>
      <c r="B2010" s="91" t="n"/>
      <c r="C2010" s="34" t="n"/>
    </row>
    <row r="2011">
      <c r="A2011" s="36" t="n"/>
      <c r="B2011" s="92" t="n"/>
      <c r="C2011" s="37" t="n"/>
    </row>
    <row r="2012">
      <c r="A2012" s="33" t="n"/>
      <c r="B2012" s="91" t="n"/>
      <c r="C2012" s="34" t="n"/>
    </row>
    <row r="2013">
      <c r="A2013" s="36" t="n"/>
      <c r="B2013" s="92" t="n"/>
      <c r="C2013" s="37" t="n"/>
    </row>
    <row r="2014">
      <c r="A2014" s="33" t="n"/>
      <c r="B2014" s="91" t="n"/>
      <c r="C2014" s="34" t="n"/>
    </row>
    <row r="2015">
      <c r="A2015" s="36" t="n"/>
      <c r="B2015" s="92" t="n"/>
      <c r="C2015" s="37" t="n"/>
    </row>
    <row r="2016">
      <c r="A2016" s="33" t="n"/>
      <c r="B2016" s="91" t="n"/>
      <c r="C2016" s="34" t="n"/>
    </row>
    <row r="2017">
      <c r="A2017" s="36" t="n"/>
      <c r="B2017" s="92" t="n"/>
      <c r="C2017" s="37" t="n"/>
    </row>
    <row r="2018">
      <c r="A2018" s="33" t="n"/>
      <c r="B2018" s="91" t="n"/>
      <c r="C2018" s="34" t="n"/>
    </row>
    <row r="2019">
      <c r="A2019" s="36" t="n"/>
      <c r="B2019" s="92" t="n"/>
      <c r="C2019" s="37" t="n"/>
    </row>
    <row r="2020">
      <c r="A2020" s="33" t="n"/>
      <c r="B2020" s="91" t="n"/>
      <c r="C2020" s="34" t="n"/>
    </row>
    <row r="2021">
      <c r="A2021" s="36" t="n"/>
      <c r="B2021" s="92" t="n"/>
      <c r="C2021" s="37" t="n"/>
    </row>
    <row r="2022">
      <c r="A2022" s="33" t="n"/>
      <c r="B2022" s="91" t="n"/>
      <c r="C2022" s="34" t="n"/>
    </row>
    <row r="2023">
      <c r="A2023" s="36" t="n"/>
      <c r="B2023" s="92" t="n"/>
      <c r="C2023" s="37" t="n"/>
    </row>
    <row r="2024">
      <c r="A2024" s="33" t="n"/>
      <c r="B2024" s="91" t="n"/>
      <c r="C2024" s="34" t="n"/>
    </row>
    <row r="2025">
      <c r="A2025" s="36" t="n"/>
      <c r="B2025" s="92" t="n"/>
      <c r="C2025" s="37" t="n"/>
    </row>
    <row r="2026">
      <c r="A2026" s="33" t="n"/>
      <c r="B2026" s="91" t="n"/>
      <c r="C2026" s="34" t="n"/>
    </row>
    <row r="2027">
      <c r="A2027" s="36" t="n"/>
      <c r="B2027" s="92" t="n"/>
      <c r="C2027" s="37" t="n"/>
    </row>
    <row r="2028">
      <c r="A2028" s="33" t="n"/>
      <c r="B2028" s="91" t="n"/>
      <c r="C2028" s="34" t="n"/>
    </row>
    <row r="2029">
      <c r="A2029" s="36" t="n"/>
      <c r="B2029" s="92" t="n"/>
      <c r="C2029" s="37" t="n"/>
    </row>
    <row r="2030">
      <c r="A2030" s="33" t="n"/>
      <c r="B2030" s="91" t="n"/>
      <c r="C2030" s="34" t="n"/>
    </row>
    <row r="2031">
      <c r="A2031" s="36" t="n"/>
      <c r="B2031" s="92" t="n"/>
      <c r="C2031" s="37" t="n"/>
    </row>
    <row r="2032">
      <c r="A2032" s="33" t="n"/>
      <c r="B2032" s="91" t="n"/>
      <c r="C2032" s="34" t="n"/>
    </row>
    <row r="2033">
      <c r="A2033" s="36" t="n"/>
      <c r="B2033" s="92" t="n"/>
      <c r="C2033" s="37" t="n"/>
    </row>
    <row r="2034">
      <c r="A2034" s="33" t="n"/>
      <c r="B2034" s="91" t="n"/>
      <c r="C2034" s="34" t="n"/>
    </row>
    <row r="2035">
      <c r="A2035" s="36" t="n"/>
      <c r="B2035" s="92" t="n"/>
      <c r="C2035" s="37" t="n"/>
    </row>
    <row r="2036">
      <c r="A2036" s="33" t="n"/>
      <c r="B2036" s="91" t="n"/>
      <c r="C2036" s="34" t="n"/>
    </row>
    <row r="2037">
      <c r="A2037" s="36" t="n"/>
      <c r="B2037" s="92" t="n"/>
      <c r="C2037" s="37" t="n"/>
    </row>
    <row r="2038">
      <c r="A2038" s="33" t="n"/>
      <c r="B2038" s="91" t="n"/>
      <c r="C2038" s="34" t="n"/>
    </row>
    <row r="2039">
      <c r="A2039" s="36" t="n"/>
      <c r="B2039" s="92" t="n"/>
      <c r="C2039" s="37" t="n"/>
    </row>
    <row r="2040">
      <c r="A2040" s="33" t="n"/>
      <c r="B2040" s="91" t="n"/>
      <c r="C2040" s="34" t="n"/>
    </row>
    <row r="2041">
      <c r="A2041" s="36" t="n"/>
      <c r="B2041" s="92" t="n"/>
      <c r="C2041" s="37" t="n"/>
    </row>
    <row r="2042">
      <c r="A2042" s="33" t="n"/>
      <c r="B2042" s="91" t="n"/>
      <c r="C2042" s="34" t="n"/>
    </row>
    <row r="2043">
      <c r="A2043" s="36" t="n"/>
      <c r="B2043" s="92" t="n"/>
      <c r="C2043" s="37" t="n"/>
    </row>
    <row r="2044">
      <c r="A2044" s="33" t="n"/>
      <c r="B2044" s="91" t="n"/>
      <c r="C2044" s="34" t="n"/>
    </row>
    <row r="2045">
      <c r="A2045" s="36" t="n"/>
      <c r="B2045" s="92" t="n"/>
      <c r="C2045" s="37" t="n"/>
    </row>
    <row r="2046">
      <c r="A2046" s="33" t="n"/>
      <c r="B2046" s="91" t="n"/>
      <c r="C2046" s="34" t="n"/>
    </row>
    <row r="2047">
      <c r="A2047" s="36" t="n"/>
      <c r="B2047" s="92" t="n"/>
      <c r="C2047" s="37" t="n"/>
    </row>
    <row r="2048">
      <c r="A2048" s="33" t="n"/>
      <c r="B2048" s="91" t="n"/>
      <c r="C2048" s="34" t="n"/>
    </row>
    <row r="2049">
      <c r="A2049" s="36" t="n"/>
      <c r="B2049" s="92" t="n"/>
      <c r="C2049" s="37" t="n"/>
    </row>
    <row r="2050">
      <c r="A2050" s="33" t="n"/>
      <c r="B2050" s="91" t="n"/>
      <c r="C2050" s="34" t="n"/>
    </row>
    <row r="2051">
      <c r="A2051" s="36" t="n"/>
      <c r="B2051" s="92" t="n"/>
      <c r="C2051" s="37" t="n"/>
    </row>
    <row r="2052">
      <c r="A2052" s="33" t="n"/>
      <c r="B2052" s="91" t="n"/>
      <c r="C2052" s="34" t="n"/>
    </row>
    <row r="2053">
      <c r="A2053" s="36" t="n"/>
      <c r="B2053" s="92" t="n"/>
      <c r="C2053" s="37" t="n"/>
    </row>
    <row r="2054">
      <c r="A2054" s="33" t="n"/>
      <c r="B2054" s="91" t="n"/>
      <c r="C2054" s="34" t="n"/>
    </row>
    <row r="2055">
      <c r="A2055" s="36" t="n"/>
      <c r="B2055" s="92" t="n"/>
      <c r="C2055" s="37" t="n"/>
    </row>
    <row r="2056">
      <c r="A2056" s="33" t="n"/>
      <c r="B2056" s="91" t="n"/>
      <c r="C2056" s="34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nrBpREHoWGUjdSUZT7i5Ng==" formatRows="1" sort="1" spinCount="100000" hashValue="xGL2LN2C0qHaXStWeksPX8I4bQz6/j3hq+BkoFE0UGPi0OXZtVqM5LxIguOu5IP/c34nb84Z9bVXjJZEqe4YzA=="/>
  <autoFilter ref="A1:C1"/>
  <conditionalFormatting sqref="A1:C1">
    <cfRule type="duplicateValues" priority="7" dxfId="10"/>
  </conditionalFormatting>
  <conditionalFormatting sqref="A2:A2056">
    <cfRule type="duplicateValues" priority="2" dxfId="10"/>
  </conditionalFormatting>
  <conditionalFormatting sqref="F1">
    <cfRule type="duplicateValues" priority="1" dxfId="10"/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3"/>
  <sheetViews>
    <sheetView showGridLines="0" tabSelected="1" zoomScale="93" zoomScaleNormal="93" workbookViewId="0">
      <pane ySplit="1" topLeftCell="A198" activePane="bottomLeft" state="frozen"/>
      <selection pane="bottomLeft" activeCell="D201" sqref="D201"/>
    </sheetView>
  </sheetViews>
  <sheetFormatPr baseColWidth="8" defaultRowHeight="12.75"/>
  <cols>
    <col width="9.5703125" bestFit="1" customWidth="1" style="101" min="1" max="1"/>
    <col width="20.85546875" bestFit="1" customWidth="1" style="102" min="2" max="2"/>
    <col width="10" bestFit="1" customWidth="1" style="103" min="3" max="3"/>
    <col width="16.5703125" bestFit="1" customWidth="1" style="104" min="4" max="4"/>
    <col width="9.7109375" bestFit="1" customWidth="1" style="165" min="5" max="5"/>
    <col width="19.85546875" bestFit="1" customWidth="1" style="99" min="6" max="6"/>
    <col width="9.42578125" bestFit="1" customWidth="1" style="106" min="7" max="7"/>
    <col width="1.85546875" customWidth="1" style="107" min="8" max="8"/>
    <col width="19" bestFit="1" customWidth="1" style="107" min="9" max="9"/>
    <col width="13.5703125" customWidth="1" style="107" min="10" max="10"/>
  </cols>
  <sheetData>
    <row r="1" ht="15.75" customHeight="1" s="107" thickBot="1">
      <c r="A1" s="93" t="inlineStr">
        <is>
          <t>Ano</t>
        </is>
      </c>
      <c r="B1" s="94" t="inlineStr">
        <is>
          <t>Data Pagamento</t>
        </is>
      </c>
      <c r="C1" s="95" t="inlineStr">
        <is>
          <t>MÊS</t>
        </is>
      </c>
      <c r="D1" s="95" t="inlineStr">
        <is>
          <t>Liquidação</t>
        </is>
      </c>
      <c r="E1" s="166" t="inlineStr">
        <is>
          <t>Valor</t>
        </is>
      </c>
      <c r="F1" s="96" t="inlineStr">
        <is>
          <t>PROVENTOS</t>
        </is>
      </c>
      <c r="G1" s="97" t="inlineStr">
        <is>
          <t>ATIVO</t>
        </is>
      </c>
      <c r="H1" s="2" t="n"/>
      <c r="I1" s="39" t="inlineStr">
        <is>
          <t>TOTAL RECEBIDO:</t>
        </is>
      </c>
      <c r="J1" s="167">
        <f>SUBTOTAL(9,E$1:E$1443)</f>
        <v/>
      </c>
    </row>
    <row r="2">
      <c r="A2" s="101">
        <f>YEAR(DIVIDENDOS[[#This Row],[Data Pagamento]])</f>
        <v/>
      </c>
      <c r="B2" s="102" t="n">
        <v>45261</v>
      </c>
      <c r="C2" s="103">
        <f>IFERROR(IF(DIVIDENDOS[[#This Row],[Data Pagamento]]="","",EOMONTH(B2,0)),"")</f>
        <v/>
      </c>
      <c r="D2" s="104">
        <f>IFERROR(IF(DIVIDENDOS[[#This Row],[Data Pagamento]]="","",DIVIDENDOS[[#This Row],[Data Pagamento]]),"")</f>
        <v/>
      </c>
      <c r="E2" s="168" t="n">
        <v>0.87</v>
      </c>
      <c r="F2" s="99" t="inlineStr">
        <is>
          <t>RENDIMENTO</t>
        </is>
      </c>
      <c r="G2" s="106" t="inlineStr">
        <is>
          <t>AAZQ11</t>
        </is>
      </c>
    </row>
    <row r="3">
      <c r="A3" s="101">
        <f>YEAR(DIVIDENDOS[[#This Row],[Data Pagamento]])</f>
        <v/>
      </c>
      <c r="B3" s="102" t="n">
        <v>45261</v>
      </c>
      <c r="C3" s="103">
        <f>IFERROR(IF(DIVIDENDOS[[#This Row],[Data Pagamento]]="","",EOMONTH(B3,0)),"")</f>
        <v/>
      </c>
      <c r="D3" s="104">
        <f>IFERROR(IF(DIVIDENDOS[[#This Row],[Data Pagamento]]="","",DIVIDENDOS[[#This Row],[Data Pagamento]]),"")</f>
        <v/>
      </c>
      <c r="E3" s="168" t="n">
        <v>0.45</v>
      </c>
      <c r="F3" s="106" t="inlineStr">
        <is>
          <t>RENDIMENTO</t>
        </is>
      </c>
      <c r="G3" s="106" t="inlineStr">
        <is>
          <t>AGRX11</t>
        </is>
      </c>
    </row>
    <row r="4">
      <c r="A4" s="101">
        <f>YEAR(DIVIDENDOS[[#This Row],[Data Pagamento]])</f>
        <v/>
      </c>
      <c r="B4" s="102" t="n">
        <v>45261</v>
      </c>
      <c r="C4" s="103">
        <f>IFERROR(IF(DIVIDENDOS[[#This Row],[Data Pagamento]]="","",EOMONTH(B4,0)),"")</f>
        <v/>
      </c>
      <c r="D4" s="104">
        <f>IFERROR(IF(DIVIDENDOS[[#This Row],[Data Pagamento]]="","",DIVIDENDOS[[#This Row],[Data Pagamento]]),"")</f>
        <v/>
      </c>
      <c r="E4" s="168" t="n">
        <v>1.73</v>
      </c>
      <c r="F4" s="106" t="inlineStr">
        <is>
          <t>RENDIMENTO</t>
        </is>
      </c>
      <c r="G4" s="106" t="inlineStr">
        <is>
          <t>ARRI11</t>
        </is>
      </c>
    </row>
    <row r="5">
      <c r="A5" s="101">
        <f>YEAR(DIVIDENDOS[[#This Row],[Data Pagamento]])</f>
        <v/>
      </c>
      <c r="B5" s="102" t="n">
        <v>45261</v>
      </c>
      <c r="C5" s="103">
        <f>IFERROR(IF(DIVIDENDOS[[#This Row],[Data Pagamento]]="","",EOMONTH(B5,0)),"")</f>
        <v/>
      </c>
      <c r="D5" s="104">
        <f>IFERROR(IF(DIVIDENDOS[[#This Row],[Data Pagamento]]="","",DIVIDENDOS[[#This Row],[Data Pagamento]]),"")</f>
        <v/>
      </c>
      <c r="E5" s="168" t="n">
        <v>0.2</v>
      </c>
      <c r="F5" s="106" t="inlineStr">
        <is>
          <t>RENDIMENTO</t>
        </is>
      </c>
      <c r="G5" s="106" t="inlineStr">
        <is>
          <t>BIME11</t>
        </is>
      </c>
    </row>
    <row r="6">
      <c r="A6" s="101">
        <f>YEAR(DIVIDENDOS[[#This Row],[Data Pagamento]])</f>
        <v/>
      </c>
      <c r="B6" s="102" t="n">
        <v>45261</v>
      </c>
      <c r="C6" s="103">
        <f>IFERROR(IF(DIVIDENDOS[[#This Row],[Data Pagamento]]="","",EOMONTH(B6,0)),"")</f>
        <v/>
      </c>
      <c r="D6" s="104">
        <f>IFERROR(IF(DIVIDENDOS[[#This Row],[Data Pagamento]]="","",DIVIDENDOS[[#This Row],[Data Pagamento]]),"")</f>
        <v/>
      </c>
      <c r="E6" s="168" t="n">
        <v>0.36</v>
      </c>
      <c r="F6" s="106" t="inlineStr">
        <is>
          <t>RENDIMENTO</t>
        </is>
      </c>
      <c r="G6" s="106" t="inlineStr">
        <is>
          <t>BLMR11</t>
        </is>
      </c>
    </row>
    <row r="7">
      <c r="A7" s="101">
        <f>YEAR(DIVIDENDOS[[#This Row],[Data Pagamento]])</f>
        <v/>
      </c>
      <c r="B7" s="102" t="n">
        <v>45261</v>
      </c>
      <c r="C7" s="103">
        <f>IFERROR(IF(DIVIDENDOS[[#This Row],[Data Pagamento]]="","",EOMONTH(B7,0)),"")</f>
        <v/>
      </c>
      <c r="D7" s="104">
        <f>IFERROR(IF(DIVIDENDOS[[#This Row],[Data Pagamento]]="","",DIVIDENDOS[[#This Row],[Data Pagamento]]),"")</f>
        <v/>
      </c>
      <c r="E7" s="168" t="n">
        <v>0.31</v>
      </c>
      <c r="F7" s="106" t="inlineStr">
        <is>
          <t>RENDIMENTO</t>
        </is>
      </c>
      <c r="G7" s="106" t="inlineStr">
        <is>
          <t>BODB11</t>
        </is>
      </c>
    </row>
    <row r="8">
      <c r="A8" s="101">
        <f>YEAR(DIVIDENDOS[[#This Row],[Data Pagamento]])</f>
        <v/>
      </c>
      <c r="B8" s="102" t="n">
        <v>45261</v>
      </c>
      <c r="C8" s="103">
        <f>IFERROR(IF(DIVIDENDOS[[#This Row],[Data Pagamento]]="","",EOMONTH(B8,0)),"")</f>
        <v/>
      </c>
      <c r="D8" s="104">
        <f>IFERROR(IF(DIVIDENDOS[[#This Row],[Data Pagamento]]="","",DIVIDENDOS[[#This Row],[Data Pagamento]]),"")</f>
        <v/>
      </c>
      <c r="E8" s="168" t="n">
        <v>4.01</v>
      </c>
      <c r="F8" s="106" t="inlineStr">
        <is>
          <t>RENDIMENTO</t>
        </is>
      </c>
      <c r="G8" s="106" t="inlineStr">
        <is>
          <t>MRXF11</t>
        </is>
      </c>
    </row>
    <row r="9">
      <c r="A9" s="101">
        <f>YEAR(DIVIDENDOS[[#This Row],[Data Pagamento]])</f>
        <v/>
      </c>
      <c r="B9" s="102" t="n">
        <v>45261</v>
      </c>
      <c r="C9" s="103">
        <f>IFERROR(IF(DIVIDENDOS[[#This Row],[Data Pagamento]]="","",EOMONTH(B9,0)),"")</f>
        <v/>
      </c>
      <c r="D9" s="104">
        <f>IFERROR(IF(DIVIDENDOS[[#This Row],[Data Pagamento]]="","",DIVIDENDOS[[#This Row],[Data Pagamento]]),"")</f>
        <v/>
      </c>
      <c r="E9" s="168" t="n">
        <v>0.59</v>
      </c>
      <c r="F9" s="106" t="inlineStr">
        <is>
          <t>RENDIMENTO</t>
        </is>
      </c>
      <c r="G9" s="106" t="inlineStr">
        <is>
          <t>RURA11</t>
        </is>
      </c>
    </row>
    <row r="10">
      <c r="A10" s="101">
        <f>YEAR(DIVIDENDOS[[#This Row],[Data Pagamento]])</f>
        <v/>
      </c>
      <c r="B10" s="102" t="n">
        <v>45261</v>
      </c>
      <c r="C10" s="103">
        <f>IFERROR(IF(DIVIDENDOS[[#This Row],[Data Pagamento]]="","",EOMONTH(B10,0)),"")</f>
        <v/>
      </c>
      <c r="D10" s="104">
        <f>IFERROR(IF(DIVIDENDOS[[#This Row],[Data Pagamento]]="","",DIVIDENDOS[[#This Row],[Data Pagamento]]),"")</f>
        <v/>
      </c>
      <c r="E10" s="168" t="n">
        <v>9.99</v>
      </c>
      <c r="F10" s="106" t="inlineStr">
        <is>
          <t>RENDIMENTO</t>
        </is>
      </c>
      <c r="G10" s="106" t="inlineStr">
        <is>
          <t>XPML11</t>
        </is>
      </c>
    </row>
    <row r="11">
      <c r="A11" s="101">
        <f>YEAR(DIVIDENDOS[[#This Row],[Data Pagamento]])</f>
        <v/>
      </c>
      <c r="B11" s="102" t="n">
        <v>45627</v>
      </c>
      <c r="C11" s="103">
        <f>IFERROR(IF(DIVIDENDOS[[#This Row],[Data Pagamento]]="","",EOMONTH(B11,0)),"")</f>
        <v/>
      </c>
      <c r="D11" s="104">
        <f>IFERROR(IF(DIVIDENDOS[[#This Row],[Data Pagamento]]="","",DIVIDENDOS[[#This Row],[Data Pagamento]]),"")</f>
        <v/>
      </c>
      <c r="E11" s="168" t="n">
        <v>5.74</v>
      </c>
      <c r="F11" s="106" t="inlineStr">
        <is>
          <t>RENDIMENTO</t>
        </is>
      </c>
      <c r="G11" s="99" t="inlineStr">
        <is>
          <t>AAZQ11</t>
        </is>
      </c>
    </row>
    <row r="12">
      <c r="A12" s="101">
        <f>YEAR(DIVIDENDOS[[#This Row],[Data Pagamento]])</f>
        <v/>
      </c>
      <c r="B12" s="102" t="n">
        <v>45627</v>
      </c>
      <c r="C12" s="103">
        <f>IFERROR(IF(DIVIDENDOS[[#This Row],[Data Pagamento]]="","",EOMONTH(B12,0)),"")</f>
        <v/>
      </c>
      <c r="D12" s="104">
        <f>IFERROR(IF(DIVIDENDOS[[#This Row],[Data Pagamento]]="","",DIVIDENDOS[[#This Row],[Data Pagamento]]),"")</f>
        <v/>
      </c>
      <c r="E12" s="168" t="n">
        <v>3.86</v>
      </c>
      <c r="F12" s="106" t="inlineStr">
        <is>
          <t>RENDIMENTO</t>
        </is>
      </c>
      <c r="G12" s="99" t="inlineStr">
        <is>
          <t>ALZM11</t>
        </is>
      </c>
    </row>
    <row r="13">
      <c r="A13" s="101">
        <f>YEAR(DIVIDENDOS[[#This Row],[Data Pagamento]])</f>
        <v/>
      </c>
      <c r="B13" s="102" t="n">
        <v>45627</v>
      </c>
      <c r="C13" s="103">
        <f>IFERROR(IF(DIVIDENDOS[[#This Row],[Data Pagamento]]="","",EOMONTH(B13,0)),"")</f>
        <v/>
      </c>
      <c r="D13" s="104">
        <f>IFERROR(IF(DIVIDENDOS[[#This Row],[Data Pagamento]]="","",DIVIDENDOS[[#This Row],[Data Pagamento]]),"")</f>
        <v/>
      </c>
      <c r="E13" s="168" t="n">
        <v>4.19</v>
      </c>
      <c r="F13" s="106" t="inlineStr">
        <is>
          <t>RENDIMENTO</t>
        </is>
      </c>
      <c r="G13" s="168" t="inlineStr">
        <is>
          <t>ARRI11</t>
        </is>
      </c>
    </row>
    <row r="14">
      <c r="A14" s="101">
        <f>YEAR(DIVIDENDOS[[#This Row],[Data Pagamento]])</f>
        <v/>
      </c>
      <c r="B14" s="102" t="n">
        <v>45627</v>
      </c>
      <c r="C14" s="103">
        <f>IFERROR(IF(DIVIDENDOS[[#This Row],[Data Pagamento]]="","",EOMONTH(B14,0)),"")</f>
        <v/>
      </c>
      <c r="D14" s="104">
        <f>IFERROR(IF(DIVIDENDOS[[#This Row],[Data Pagamento]]="","",DIVIDENDOS[[#This Row],[Data Pagamento]]),"")</f>
        <v/>
      </c>
      <c r="E14" s="168" t="n">
        <v>0.88</v>
      </c>
      <c r="F14" s="106" t="inlineStr">
        <is>
          <t>RENDIMENTO</t>
        </is>
      </c>
      <c r="G14" s="99" t="inlineStr">
        <is>
          <t>CPTS11</t>
        </is>
      </c>
    </row>
    <row r="15">
      <c r="A15" s="101">
        <f>YEAR(DIVIDENDOS[[#This Row],[Data Pagamento]])</f>
        <v/>
      </c>
      <c r="B15" s="102" t="n">
        <v>45627</v>
      </c>
      <c r="C15" s="103">
        <f>IFERROR(IF(DIVIDENDOS[[#This Row],[Data Pagamento]]="","",EOMONTH(B15,0)),"")</f>
        <v/>
      </c>
      <c r="D15" s="104">
        <f>IFERROR(IF(DIVIDENDOS[[#This Row],[Data Pagamento]]="","",DIVIDENDOS[[#This Row],[Data Pagamento]]),"")</f>
        <v/>
      </c>
      <c r="E15" s="168" t="n">
        <v>1.74</v>
      </c>
      <c r="F15" s="106" t="inlineStr">
        <is>
          <t>RENDIMENTO</t>
        </is>
      </c>
      <c r="G15" s="99" t="inlineStr">
        <is>
          <t>EQIR11</t>
        </is>
      </c>
    </row>
    <row r="16">
      <c r="A16" s="101">
        <f>YEAR(DIVIDENDOS[[#This Row],[Data Pagamento]])</f>
        <v/>
      </c>
      <c r="B16" s="102" t="n">
        <v>45627</v>
      </c>
      <c r="C16" s="103">
        <f>IFERROR(IF(DIVIDENDOS[[#This Row],[Data Pagamento]]="","",EOMONTH(B16,0)),"")</f>
        <v/>
      </c>
      <c r="D16" s="104">
        <f>IFERROR(IF(DIVIDENDOS[[#This Row],[Data Pagamento]]="","",DIVIDENDOS[[#This Row],[Data Pagamento]]),"")</f>
        <v/>
      </c>
      <c r="E16" s="168" t="n">
        <v>2.59</v>
      </c>
      <c r="F16" s="106" t="inlineStr">
        <is>
          <t>RENDIMENTO</t>
        </is>
      </c>
      <c r="G16" s="106" t="inlineStr">
        <is>
          <t>GARE11</t>
        </is>
      </c>
    </row>
    <row r="17">
      <c r="A17" s="101">
        <f>YEAR(DIVIDENDOS[[#This Row],[Data Pagamento]])</f>
        <v/>
      </c>
      <c r="B17" s="102" t="n">
        <v>45627</v>
      </c>
      <c r="C17" s="103">
        <f>IFERROR(IF(DIVIDENDOS[[#This Row],[Data Pagamento]]="","",EOMONTH(B17,0)),"")</f>
        <v/>
      </c>
      <c r="D17" s="104">
        <f>IFERROR(IF(DIVIDENDOS[[#This Row],[Data Pagamento]]="","",DIVIDENDOS[[#This Row],[Data Pagamento]]),"")</f>
        <v/>
      </c>
      <c r="E17" s="168" t="n">
        <v>0.9</v>
      </c>
      <c r="F17" s="106" t="inlineStr">
        <is>
          <t>RENDIMENTO</t>
        </is>
      </c>
      <c r="G17" s="106" t="inlineStr">
        <is>
          <t>LIFE11</t>
        </is>
      </c>
    </row>
    <row r="18">
      <c r="A18" s="101">
        <f>YEAR(DIVIDENDOS[[#This Row],[Data Pagamento]])</f>
        <v/>
      </c>
      <c r="B18" s="102" t="n">
        <v>45627</v>
      </c>
      <c r="C18" s="103">
        <f>IFERROR(IF(DIVIDENDOS[[#This Row],[Data Pagamento]]="","",EOMONTH(B18,0)),"")</f>
        <v/>
      </c>
      <c r="D18" s="104">
        <f>IFERROR(IF(DIVIDENDOS[[#This Row],[Data Pagamento]]="","",DIVIDENDOS[[#This Row],[Data Pagamento]]),"")</f>
        <v/>
      </c>
      <c r="E18" s="168" t="n">
        <v>2.1</v>
      </c>
      <c r="F18" s="106" t="inlineStr">
        <is>
          <t>RENDIMENTO</t>
        </is>
      </c>
      <c r="G18" s="106" t="inlineStr">
        <is>
          <t>NCHB11</t>
        </is>
      </c>
    </row>
    <row r="19">
      <c r="A19" s="101">
        <f>YEAR(DIVIDENDOS[[#This Row],[Data Pagamento]])</f>
        <v/>
      </c>
      <c r="B19" s="102" t="n">
        <v>45627</v>
      </c>
      <c r="C19" s="103">
        <f>IFERROR(IF(DIVIDENDOS[[#This Row],[Data Pagamento]]="","",EOMONTH(B19,0)),"")</f>
        <v/>
      </c>
      <c r="D19" s="104">
        <f>IFERROR(IF(DIVIDENDOS[[#This Row],[Data Pagamento]]="","",DIVIDENDOS[[#This Row],[Data Pagamento]]),"")</f>
        <v/>
      </c>
      <c r="E19" s="168" t="n">
        <v>1.26</v>
      </c>
      <c r="F19" s="106" t="inlineStr">
        <is>
          <t>RENDIMENTO</t>
        </is>
      </c>
      <c r="G19" s="99" t="inlineStr">
        <is>
          <t>RURA11</t>
        </is>
      </c>
    </row>
    <row r="20">
      <c r="A20" s="101">
        <f>YEAR(DIVIDENDOS[[#This Row],[Data Pagamento]])</f>
        <v/>
      </c>
      <c r="B20" s="102" t="n">
        <v>45627</v>
      </c>
      <c r="C20" s="103">
        <f>IFERROR(IF(DIVIDENDOS[[#This Row],[Data Pagamento]]="","",EOMONTH(B20,0)),"")</f>
        <v/>
      </c>
      <c r="D20" s="104">
        <f>IFERROR(IF(DIVIDENDOS[[#This Row],[Data Pagamento]]="","",DIVIDENDOS[[#This Row],[Data Pagamento]]),"")</f>
        <v/>
      </c>
      <c r="E20" s="168" t="n">
        <v>11.91</v>
      </c>
      <c r="F20" s="99" t="inlineStr">
        <is>
          <t>RENDIMENTO</t>
        </is>
      </c>
      <c r="G20" s="99" t="inlineStr">
        <is>
          <t>XPML11</t>
        </is>
      </c>
    </row>
    <row r="21">
      <c r="A21" s="101">
        <f>YEAR(DIVIDENDOS[[#This Row],[Data Pagamento]])</f>
        <v/>
      </c>
      <c r="B21" s="102" t="n">
        <v>45627</v>
      </c>
      <c r="C21" s="103">
        <f>IFERROR(IF(DIVIDENDOS[[#This Row],[Data Pagamento]]="","",EOMONTH(B21,0)),"")</f>
        <v/>
      </c>
      <c r="D21" s="104">
        <f>IFERROR(IF(DIVIDENDOS[[#This Row],[Data Pagamento]]="","",DIVIDENDOS[[#This Row],[Data Pagamento]]),"")</f>
        <v/>
      </c>
      <c r="E21" s="168" t="n">
        <v>3.42</v>
      </c>
      <c r="F21" s="106" t="inlineStr">
        <is>
          <t>RENDIMENTO</t>
        </is>
      </c>
      <c r="G21" s="99" t="inlineStr">
        <is>
          <t>PETR4</t>
        </is>
      </c>
    </row>
    <row r="22">
      <c r="A22" s="101">
        <f>YEAR(DIVIDENDOS[[#This Row],[Data Pagamento]])</f>
        <v/>
      </c>
      <c r="B22" s="102" t="n">
        <v>45627</v>
      </c>
      <c r="C22" s="103">
        <f>IFERROR(IF(DIVIDENDOS[[#This Row],[Data Pagamento]]="","",EOMONTH(B22,0)),"")</f>
        <v/>
      </c>
      <c r="D22" s="104">
        <f>IFERROR(IF(DIVIDENDOS[[#This Row],[Data Pagamento]]="","",DIVIDENDOS[[#This Row],[Data Pagamento]]),"")</f>
        <v/>
      </c>
      <c r="E22" s="168" t="n">
        <v>0.18</v>
      </c>
      <c r="F22" s="106" t="inlineStr">
        <is>
          <t>JUROS</t>
        </is>
      </c>
      <c r="G22" s="99" t="inlineStr">
        <is>
          <t>PETR4</t>
        </is>
      </c>
    </row>
    <row r="23">
      <c r="A23" s="101">
        <f>YEAR(DIVIDENDOS[[#This Row],[Data Pagamento]])</f>
        <v/>
      </c>
      <c r="B23" s="102" t="n">
        <v>45895</v>
      </c>
      <c r="C23" s="103">
        <f>IFERROR(IF(DIVIDENDOS[[#This Row],[Data Pagamento]]="","",EOMONTH(B23,0)),"")</f>
        <v/>
      </c>
      <c r="D23" s="104">
        <f>IFERROR(IF(DIVIDENDOS[[#This Row],[Data Pagamento]]="","",DIVIDENDOS[[#This Row],[Data Pagamento]]),"")</f>
        <v/>
      </c>
      <c r="E23" s="168" t="n">
        <v>3</v>
      </c>
      <c r="F23" s="99" t="inlineStr">
        <is>
          <t>RENDIMENTO</t>
        </is>
      </c>
      <c r="G23" s="99" t="inlineStr">
        <is>
          <t>EQIR11</t>
        </is>
      </c>
    </row>
    <row r="24">
      <c r="A24" s="101">
        <f>YEAR(DIVIDENDOS[[#This Row],[Data Pagamento]])</f>
        <v/>
      </c>
      <c r="B24" s="102" t="n">
        <v>45901</v>
      </c>
      <c r="C24" s="103">
        <f>IFERROR(IF(DIVIDENDOS[[#This Row],[Data Pagamento]]="","",EOMONTH(B24,0)),"")</f>
        <v/>
      </c>
      <c r="D24" s="104">
        <f>IFERROR(IF(DIVIDENDOS[[#This Row],[Data Pagamento]]="","",DIVIDENDOS[[#This Row],[Data Pagamento]]),"")</f>
        <v/>
      </c>
      <c r="E24" s="168" t="n">
        <v>0.03</v>
      </c>
      <c r="F24" s="99" t="inlineStr">
        <is>
          <t>JUROS</t>
        </is>
      </c>
      <c r="G24" s="99" t="inlineStr">
        <is>
          <t>BBDC4</t>
        </is>
      </c>
    </row>
    <row r="25">
      <c r="A25" s="101">
        <f>YEAR(DIVIDENDOS[[#This Row],[Data Pagamento]])</f>
        <v/>
      </c>
      <c r="B25" s="102" t="n">
        <v>45903</v>
      </c>
      <c r="C25" s="103">
        <f>IFERROR(IF(DIVIDENDOS[[#This Row],[Data Pagamento]]="","",EOMONTH(B25,0)),"")</f>
        <v/>
      </c>
      <c r="D25" s="104">
        <f>IFERROR(IF(DIVIDENDOS[[#This Row],[Data Pagamento]]="","",DIVIDENDOS[[#This Row],[Data Pagamento]]),"")</f>
        <v/>
      </c>
      <c r="E25" s="168" t="n">
        <v>6.45</v>
      </c>
      <c r="F25" s="99" t="inlineStr">
        <is>
          <t>CRÉDITO EVENTO</t>
        </is>
      </c>
      <c r="G25" s="99" t="inlineStr">
        <is>
          <t>VALE3</t>
        </is>
      </c>
    </row>
    <row r="26">
      <c r="A26" s="101">
        <f>YEAR(DIVIDENDOS[[#This Row],[Data Pagamento]])</f>
        <v/>
      </c>
      <c r="B26" s="102" t="n">
        <v>45905</v>
      </c>
      <c r="C26" s="103">
        <f>IFERROR(IF(DIVIDENDOS[[#This Row],[Data Pagamento]]="","",EOMONTH(B26,0)),"")</f>
        <v/>
      </c>
      <c r="D26" s="104">
        <f>IFERROR(IF(DIVIDENDOS[[#This Row],[Data Pagamento]]="","",DIVIDENDOS[[#This Row],[Data Pagamento]]),"")</f>
        <v/>
      </c>
      <c r="E26" s="168" t="n">
        <v>4.5</v>
      </c>
      <c r="F26" s="106" t="inlineStr">
        <is>
          <t>RENDIMENTO</t>
        </is>
      </c>
      <c r="G26" s="99" t="inlineStr">
        <is>
          <t>ARRI11</t>
        </is>
      </c>
    </row>
    <row r="27">
      <c r="A27" s="101">
        <f>YEAR(DIVIDENDOS[[#This Row],[Data Pagamento]])</f>
        <v/>
      </c>
      <c r="B27" s="102" t="n">
        <v>45905</v>
      </c>
      <c r="C27" s="103">
        <f>IFERROR(IF(DIVIDENDOS[[#This Row],[Data Pagamento]]="","",EOMONTH(B27,0)),"")</f>
        <v/>
      </c>
      <c r="D27" s="104">
        <f>IFERROR(IF(DIVIDENDOS[[#This Row],[Data Pagamento]]="","",DIVIDENDOS[[#This Row],[Data Pagamento]]),"")</f>
        <v/>
      </c>
      <c r="E27" s="168" t="n">
        <v>4.23</v>
      </c>
      <c r="F27" s="106" t="inlineStr">
        <is>
          <t>RENDIMENTO</t>
        </is>
      </c>
      <c r="G27" s="99" t="inlineStr">
        <is>
          <t>GARE11</t>
        </is>
      </c>
    </row>
    <row r="28">
      <c r="A28" s="101">
        <f>YEAR(DIVIDENDOS[[#This Row],[Data Pagamento]])</f>
        <v/>
      </c>
      <c r="B28" s="102" t="n">
        <v>45905</v>
      </c>
      <c r="C28" s="103">
        <f>IFERROR(IF(DIVIDENDOS[[#This Row],[Data Pagamento]]="","",EOMONTH(B28,0)),"")</f>
        <v/>
      </c>
      <c r="D28" s="104">
        <f>IFERROR(IF(DIVIDENDOS[[#This Row],[Data Pagamento]]="","",DIVIDENDOS[[#This Row],[Data Pagamento]]),"")</f>
        <v/>
      </c>
      <c r="E28" s="168" t="n">
        <v>3.6</v>
      </c>
      <c r="F28" s="106" t="inlineStr">
        <is>
          <t>RENDIMENTO</t>
        </is>
      </c>
      <c r="G28" s="99" t="inlineStr">
        <is>
          <t>LIFE11</t>
        </is>
      </c>
    </row>
    <row r="29">
      <c r="A29" s="101">
        <f>YEAR(DIVIDENDOS[[#This Row],[Data Pagamento]])</f>
        <v/>
      </c>
      <c r="B29" s="102" t="n">
        <v>45905</v>
      </c>
      <c r="C29" s="103">
        <f>IFERROR(IF(DIVIDENDOS[[#This Row],[Data Pagamento]]="","",EOMONTH(B29,0)),"")</f>
        <v/>
      </c>
      <c r="D29" s="104">
        <f>IFERROR(IF(DIVIDENDOS[[#This Row],[Data Pagamento]]="","",DIVIDENDOS[[#This Row],[Data Pagamento]]),"")</f>
        <v/>
      </c>
      <c r="E29" s="168" t="n">
        <v>1.05</v>
      </c>
      <c r="F29" s="106" t="inlineStr">
        <is>
          <t>RENDIMENTO</t>
        </is>
      </c>
      <c r="G29" s="99" t="inlineStr">
        <is>
          <t>RURA11</t>
        </is>
      </c>
    </row>
    <row r="30">
      <c r="A30" s="101">
        <f>YEAR(DIVIDENDOS[[#This Row],[Data Pagamento]])</f>
        <v/>
      </c>
      <c r="B30" s="102" t="n">
        <v>45905</v>
      </c>
      <c r="C30" s="103">
        <f>IFERROR(IF(DIVIDENDOS[[#This Row],[Data Pagamento]]="","",EOMONTH(B30,0)),"")</f>
        <v/>
      </c>
      <c r="D30" s="104">
        <f>IFERROR(IF(DIVIDENDOS[[#This Row],[Data Pagamento]]="","",DIVIDENDOS[[#This Row],[Data Pagamento]]),"")</f>
        <v/>
      </c>
      <c r="E30" s="168" t="n">
        <v>1.2</v>
      </c>
      <c r="F30" s="106" t="inlineStr">
        <is>
          <t>RENDIMENTO</t>
        </is>
      </c>
      <c r="G30" s="99" t="inlineStr">
        <is>
          <t>VGRI11</t>
        </is>
      </c>
    </row>
    <row r="31">
      <c r="A31" s="101">
        <f>YEAR(DIVIDENDOS[[#This Row],[Data Pagamento]])</f>
        <v/>
      </c>
      <c r="B31" s="102" t="n">
        <v>45912</v>
      </c>
      <c r="C31" s="103">
        <f>IFERROR(IF(DIVIDENDOS[[#This Row],[Data Pagamento]]="","",EOMONTH(B31,0)),"")</f>
        <v/>
      </c>
      <c r="D31" s="104">
        <f>IFERROR(IF(DIVIDENDOS[[#This Row],[Data Pagamento]]="","",DIVIDENDOS[[#This Row],[Data Pagamento]]),"")</f>
        <v/>
      </c>
      <c r="E31" s="168" t="n">
        <v>2</v>
      </c>
      <c r="F31" s="99" t="inlineStr">
        <is>
          <t>RENDIMENTO</t>
        </is>
      </c>
      <c r="G31" s="99" t="inlineStr">
        <is>
          <t>AAZQ11</t>
        </is>
      </c>
    </row>
    <row r="32">
      <c r="A32" s="101">
        <f>YEAR(DIVIDENDOS[[#This Row],[Data Pagamento]])</f>
        <v/>
      </c>
      <c r="B32" s="102" t="n">
        <v>45912</v>
      </c>
      <c r="C32" s="103">
        <f>IFERROR(IF(DIVIDENDOS[[#This Row],[Data Pagamento]]="","",EOMONTH(B32,0)),"")</f>
        <v/>
      </c>
      <c r="D32" s="104">
        <f>IFERROR(IF(DIVIDENDOS[[#This Row],[Data Pagamento]]="","",DIVIDENDOS[[#This Row],[Data Pagamento]]),"")</f>
        <v/>
      </c>
      <c r="E32" s="168" t="n">
        <v>1</v>
      </c>
      <c r="F32" s="106" t="inlineStr">
        <is>
          <t>RENDIMENTO</t>
        </is>
      </c>
      <c r="G32" s="99" t="inlineStr">
        <is>
          <t>BIDB11</t>
        </is>
      </c>
    </row>
    <row r="33">
      <c r="A33" s="101">
        <f>YEAR(DIVIDENDOS[[#This Row],[Data Pagamento]])</f>
        <v/>
      </c>
      <c r="B33" s="102" t="n">
        <v>45912</v>
      </c>
      <c r="C33" s="103">
        <f>IFERROR(IF(DIVIDENDOS[[#This Row],[Data Pagamento]]="","",EOMONTH(B33,0)),"")</f>
        <v/>
      </c>
      <c r="D33" s="104">
        <f>IFERROR(IF(DIVIDENDOS[[#This Row],[Data Pagamento]]="","",DIVIDENDOS[[#This Row],[Data Pagamento]]),"")</f>
        <v/>
      </c>
      <c r="E33" s="168" t="n">
        <v>5.2</v>
      </c>
      <c r="F33" s="106" t="inlineStr">
        <is>
          <t>RENDIMENTO</t>
        </is>
      </c>
      <c r="G33" s="99" t="inlineStr">
        <is>
          <t>BIME11</t>
        </is>
      </c>
    </row>
    <row r="34">
      <c r="A34" s="101">
        <f>YEAR(DIVIDENDOS[[#This Row],[Data Pagamento]])</f>
        <v/>
      </c>
      <c r="B34" s="102" t="n">
        <v>45912</v>
      </c>
      <c r="C34" s="103">
        <f>IFERROR(IF(DIVIDENDOS[[#This Row],[Data Pagamento]]="","",EOMONTH(B34,0)),"")</f>
        <v/>
      </c>
      <c r="D34" s="104">
        <f>IFERROR(IF(DIVIDENDOS[[#This Row],[Data Pagamento]]="","",DIVIDENDOS[[#This Row],[Data Pagamento]]),"")</f>
        <v/>
      </c>
      <c r="E34" s="168" t="n">
        <v>0.92</v>
      </c>
      <c r="F34" s="106" t="inlineStr">
        <is>
          <t>RENDIMENTO</t>
        </is>
      </c>
      <c r="G34" s="99" t="inlineStr">
        <is>
          <t>BTHF11</t>
        </is>
      </c>
    </row>
    <row r="35">
      <c r="A35" s="101">
        <f>YEAR(DIVIDENDOS[[#This Row],[Data Pagamento]])</f>
        <v/>
      </c>
      <c r="B35" s="102" t="n">
        <v>45912</v>
      </c>
      <c r="C35" s="103">
        <f>IFERROR(IF(DIVIDENDOS[[#This Row],[Data Pagamento]]="","",EOMONTH(B35,0)),"")</f>
        <v/>
      </c>
      <c r="D35" s="104">
        <f>IFERROR(IF(DIVIDENDOS[[#This Row],[Data Pagamento]]="","",DIVIDENDOS[[#This Row],[Data Pagamento]]),"")</f>
        <v/>
      </c>
      <c r="E35" s="168" t="n">
        <v>3.2</v>
      </c>
      <c r="F35" s="106" t="inlineStr">
        <is>
          <t>RENDIMENTO</t>
        </is>
      </c>
      <c r="G35" s="99" t="inlineStr">
        <is>
          <t>DEVA11</t>
        </is>
      </c>
    </row>
    <row r="36">
      <c r="A36" s="101">
        <f>YEAR(DIVIDENDOS[[#This Row],[Data Pagamento]])</f>
        <v/>
      </c>
      <c r="B36" s="102" t="n">
        <v>45912</v>
      </c>
      <c r="C36" s="103">
        <f>IFERROR(IF(DIVIDENDOS[[#This Row],[Data Pagamento]]="","",EOMONTH(B36,0)),"")</f>
        <v/>
      </c>
      <c r="D36" s="104">
        <f>IFERROR(IF(DIVIDENDOS[[#This Row],[Data Pagamento]]="","",DIVIDENDOS[[#This Row],[Data Pagamento]]),"")</f>
        <v/>
      </c>
      <c r="E36" s="168" t="n">
        <v>5</v>
      </c>
      <c r="F36" s="106" t="inlineStr">
        <is>
          <t>RENDIMENTO</t>
        </is>
      </c>
      <c r="G36" s="99" t="inlineStr">
        <is>
          <t>FYTO11</t>
        </is>
      </c>
    </row>
    <row r="37">
      <c r="A37" s="101">
        <f>YEAR(DIVIDENDOS[[#This Row],[Data Pagamento]])</f>
        <v/>
      </c>
      <c r="B37" s="102" t="n">
        <v>45912</v>
      </c>
      <c r="C37" s="103">
        <f>IFERROR(IF(DIVIDENDOS[[#This Row],[Data Pagamento]]="","",EOMONTH(B37,0)),"")</f>
        <v/>
      </c>
      <c r="D37" s="104">
        <f>IFERROR(IF(DIVIDENDOS[[#This Row],[Data Pagamento]]="","",DIVIDENDOS[[#This Row],[Data Pagamento]]),"")</f>
        <v/>
      </c>
      <c r="E37" s="168" t="n">
        <v>1.51</v>
      </c>
      <c r="F37" s="106" t="inlineStr">
        <is>
          <t>RENDIMENTO</t>
        </is>
      </c>
      <c r="G37" s="99" t="inlineStr">
        <is>
          <t>HGBL11</t>
        </is>
      </c>
    </row>
    <row r="38">
      <c r="A38" s="101">
        <f>YEAR(DIVIDENDOS[[#This Row],[Data Pagamento]])</f>
        <v/>
      </c>
      <c r="B38" s="102" t="n">
        <v>45912</v>
      </c>
      <c r="C38" s="103">
        <f>IFERROR(IF(DIVIDENDOS[[#This Row],[Data Pagamento]]="","",EOMONTH(B38,0)),"")</f>
        <v/>
      </c>
      <c r="D38" s="104">
        <f>IFERROR(IF(DIVIDENDOS[[#This Row],[Data Pagamento]]="","",DIVIDENDOS[[#This Row],[Data Pagamento]]),"")</f>
        <v/>
      </c>
      <c r="E38" s="168" t="n">
        <v>0.76</v>
      </c>
      <c r="F38" s="106" t="inlineStr">
        <is>
          <t>RENDIMENTO</t>
        </is>
      </c>
      <c r="G38" s="99" t="inlineStr">
        <is>
          <t>INLG11</t>
        </is>
      </c>
    </row>
    <row r="39">
      <c r="A39" s="101">
        <f>YEAR(DIVIDENDOS[[#This Row],[Data Pagamento]])</f>
        <v/>
      </c>
      <c r="B39" s="102" t="n">
        <v>45912</v>
      </c>
      <c r="C39" s="103">
        <f>IFERROR(IF(DIVIDENDOS[[#This Row],[Data Pagamento]]="","",EOMONTH(B39,0)),"")</f>
        <v/>
      </c>
      <c r="D39" s="104">
        <f>IFERROR(IF(DIVIDENDOS[[#This Row],[Data Pagamento]]="","",DIVIDENDOS[[#This Row],[Data Pagamento]]),"")</f>
        <v/>
      </c>
      <c r="E39" s="168" t="n">
        <v>1.4</v>
      </c>
      <c r="F39" s="106" t="inlineStr">
        <is>
          <t>RENDIMENTO</t>
        </is>
      </c>
      <c r="G39" s="99" t="inlineStr">
        <is>
          <t>KISU11</t>
        </is>
      </c>
    </row>
    <row r="40">
      <c r="A40" s="101">
        <f>YEAR(DIVIDENDOS[[#This Row],[Data Pagamento]])</f>
        <v/>
      </c>
      <c r="B40" s="102" t="n">
        <v>45912</v>
      </c>
      <c r="C40" s="103">
        <f>IFERROR(IF(DIVIDENDOS[[#This Row],[Data Pagamento]]="","",EOMONTH(B40,0)),"")</f>
        <v/>
      </c>
      <c r="D40" s="104">
        <f>IFERROR(IF(DIVIDENDOS[[#This Row],[Data Pagamento]]="","",DIVIDENDOS[[#This Row],[Data Pagamento]]),"")</f>
        <v/>
      </c>
      <c r="E40" s="168" t="n">
        <v>0.3</v>
      </c>
      <c r="F40" s="99" t="inlineStr">
        <is>
          <t>RENDIMENTO</t>
        </is>
      </c>
      <c r="G40" s="99" t="inlineStr">
        <is>
          <t>TEPP11</t>
        </is>
      </c>
    </row>
    <row r="41">
      <c r="A41" s="101">
        <f>YEAR(DIVIDENDOS[[#This Row],[Data Pagamento]])</f>
        <v/>
      </c>
      <c r="B41" s="102" t="n">
        <v>45912</v>
      </c>
      <c r="C41" s="103">
        <f>IFERROR(IF(DIVIDENDOS[[#This Row],[Data Pagamento]]="","",EOMONTH(B41,0)),"")</f>
        <v/>
      </c>
      <c r="D41" s="104">
        <f>IFERROR(IF(DIVIDENDOS[[#This Row],[Data Pagamento]]="","",DIVIDENDOS[[#This Row],[Data Pagamento]]),"")</f>
        <v/>
      </c>
      <c r="E41" s="168" t="n">
        <v>2.79</v>
      </c>
      <c r="F41" s="99" t="inlineStr">
        <is>
          <t>RENDIMENTO</t>
        </is>
      </c>
      <c r="G41" s="99" t="inlineStr">
        <is>
          <t>TRXF11</t>
        </is>
      </c>
    </row>
    <row r="42">
      <c r="A42" s="101">
        <f>YEAR(DIVIDENDOS[[#This Row],[Data Pagamento]])</f>
        <v/>
      </c>
      <c r="B42" s="102" t="n">
        <v>45912</v>
      </c>
      <c r="C42" s="103">
        <f>IFERROR(IF(DIVIDENDOS[[#This Row],[Data Pagamento]]="","",EOMONTH(B42,0)),"")</f>
        <v/>
      </c>
      <c r="D42" s="104">
        <f>IFERROR(IF(DIVIDENDOS[[#This Row],[Data Pagamento]]="","",DIVIDENDOS[[#This Row],[Data Pagamento]]),"")</f>
        <v/>
      </c>
      <c r="E42" s="168" t="n">
        <v>2</v>
      </c>
      <c r="F42" s="99" t="inlineStr">
        <is>
          <t>RENDIMENTO</t>
        </is>
      </c>
      <c r="G42" s="99" t="inlineStr">
        <is>
          <t>VINO11</t>
        </is>
      </c>
    </row>
    <row r="43">
      <c r="A43" s="101">
        <f>YEAR(DIVIDENDOS[[#This Row],[Data Pagamento]])</f>
        <v/>
      </c>
      <c r="B43" s="102" t="n">
        <v>45916</v>
      </c>
      <c r="C43" s="103">
        <f>IFERROR(IF(DIVIDENDOS[[#This Row],[Data Pagamento]]="","",EOMONTH(B43,0)),"")</f>
        <v/>
      </c>
      <c r="D43" s="104">
        <f>IFERROR(IF(DIVIDENDOS[[#This Row],[Data Pagamento]]="","",DIVIDENDOS[[#This Row],[Data Pagamento]]),"")</f>
        <v/>
      </c>
      <c r="E43" s="168" t="n">
        <v>2.8</v>
      </c>
      <c r="F43" s="99" t="inlineStr">
        <is>
          <t>RENDIMENTO</t>
        </is>
      </c>
      <c r="G43" s="99" t="inlineStr">
        <is>
          <t>IRDM11</t>
        </is>
      </c>
    </row>
    <row r="44">
      <c r="A44" s="101">
        <f>YEAR(DIVIDENDOS[[#This Row],[Data Pagamento]])</f>
        <v/>
      </c>
      <c r="B44" s="102" t="n">
        <v>45917</v>
      </c>
      <c r="C44" s="103">
        <f>IFERROR(IF(DIVIDENDOS[[#This Row],[Data Pagamento]]="","",EOMONTH(B44,0)),"")</f>
        <v/>
      </c>
      <c r="D44" s="104">
        <f>IFERROR(IF(DIVIDENDOS[[#This Row],[Data Pagamento]]="","",DIVIDENDOS[[#This Row],[Data Pagamento]]),"")</f>
        <v/>
      </c>
      <c r="E44" s="168" t="n">
        <v>1.87</v>
      </c>
      <c r="F44" s="99" t="inlineStr">
        <is>
          <t>RENDIMENTO</t>
        </is>
      </c>
      <c r="G44" s="99" t="inlineStr">
        <is>
          <t>CPTS11</t>
        </is>
      </c>
    </row>
    <row r="45">
      <c r="A45" s="101">
        <f>YEAR(DIVIDENDOS[[#This Row],[Data Pagamento]])</f>
        <v/>
      </c>
      <c r="B45" s="102" t="n">
        <v>45917</v>
      </c>
      <c r="C45" s="103">
        <f>IFERROR(IF(DIVIDENDOS[[#This Row],[Data Pagamento]]="","",EOMONTH(B45,0)),"")</f>
        <v/>
      </c>
      <c r="D45" s="104">
        <f>IFERROR(IF(DIVIDENDOS[[#This Row],[Data Pagamento]]="","",DIVIDENDOS[[#This Row],[Data Pagamento]]),"")</f>
        <v/>
      </c>
      <c r="E45" s="168" t="n">
        <v>2</v>
      </c>
      <c r="F45" s="99" t="inlineStr">
        <is>
          <t>RENDIMENTO</t>
        </is>
      </c>
      <c r="G45" s="99" t="inlineStr">
        <is>
          <t>MCCI11</t>
        </is>
      </c>
    </row>
    <row r="46">
      <c r="A46" s="101">
        <f>YEAR(DIVIDENDOS[[#This Row],[Data Pagamento]])</f>
        <v/>
      </c>
      <c r="B46" s="102" t="n">
        <v>45922</v>
      </c>
      <c r="C46" s="103">
        <f>IFERROR(IF(DIVIDENDOS[[#This Row],[Data Pagamento]]="","",EOMONTH(B46,0)),"")</f>
        <v/>
      </c>
      <c r="D46" s="104">
        <f>IFERROR(IF(DIVIDENDOS[[#This Row],[Data Pagamento]]="","",DIVIDENDOS[[#This Row],[Data Pagamento]]),"")</f>
        <v/>
      </c>
      <c r="E46" s="168" t="n">
        <v>8.01</v>
      </c>
      <c r="F46" s="99" t="inlineStr">
        <is>
          <t>RENDIMENTO</t>
        </is>
      </c>
      <c r="G46" s="99" t="inlineStr">
        <is>
          <t>PETR4</t>
        </is>
      </c>
    </row>
    <row r="47">
      <c r="A47" s="101">
        <f>YEAR(DIVIDENDOS[[#This Row],[Data Pagamento]])</f>
        <v/>
      </c>
      <c r="B47" s="102" t="n">
        <v>45922</v>
      </c>
      <c r="C47" s="103">
        <f>IFERROR(IF(DIVIDENDOS[[#This Row],[Data Pagamento]]="","",EOMONTH(B47,0)),"")</f>
        <v/>
      </c>
      <c r="D47" s="104">
        <f>IFERROR(IF(DIVIDENDOS[[#This Row],[Data Pagamento]]="","",DIVIDENDOS[[#This Row],[Data Pagamento]]),"")</f>
        <v/>
      </c>
      <c r="E47" s="168" t="n">
        <v>3.23</v>
      </c>
      <c r="F47" s="99" t="inlineStr">
        <is>
          <t>JUROS</t>
        </is>
      </c>
      <c r="G47" s="99" t="inlineStr">
        <is>
          <t>PETR4</t>
        </is>
      </c>
    </row>
    <row r="48">
      <c r="A48" s="101">
        <f>YEAR(DIVIDENDOS[[#This Row],[Data Pagamento]])</f>
        <v/>
      </c>
      <c r="B48" s="102" t="n">
        <v>45923</v>
      </c>
      <c r="C48" s="103">
        <f>IFERROR(IF(DIVIDENDOS[[#This Row],[Data Pagamento]]="","",EOMONTH(B48,0)),"")</f>
        <v/>
      </c>
      <c r="D48" s="104">
        <f>IFERROR(IF(DIVIDENDOS[[#This Row],[Data Pagamento]]="","",DIVIDENDOS[[#This Row],[Data Pagamento]]),"")</f>
        <v/>
      </c>
      <c r="E48" s="168" t="n">
        <v>5</v>
      </c>
      <c r="F48" s="99" t="inlineStr">
        <is>
          <t>RENDIMENTO</t>
        </is>
      </c>
      <c r="G48" s="99" t="inlineStr">
        <is>
          <t>CPSH11</t>
        </is>
      </c>
    </row>
    <row r="49">
      <c r="A49" s="101">
        <f>YEAR(DIVIDENDOS[[#This Row],[Data Pagamento]])</f>
        <v/>
      </c>
      <c r="B49" s="102" t="n">
        <v>45924</v>
      </c>
      <c r="C49" s="103">
        <f>IFERROR(IF(DIVIDENDOS[[#This Row],[Data Pagamento]]="","",EOMONTH(B49,0)),"")</f>
        <v/>
      </c>
      <c r="D49" s="104">
        <f>IFERROR(IF(DIVIDENDOS[[#This Row],[Data Pagamento]]="","",DIVIDENDOS[[#This Row],[Data Pagamento]]),"")</f>
        <v/>
      </c>
      <c r="E49" s="168" t="n">
        <v>3</v>
      </c>
      <c r="F49" s="99" t="inlineStr">
        <is>
          <t>RENDIMENTO</t>
        </is>
      </c>
      <c r="G49" s="99" t="inlineStr">
        <is>
          <t>EQIR11</t>
        </is>
      </c>
    </row>
    <row r="50">
      <c r="A50" s="101">
        <f>YEAR(DIVIDENDOS[[#This Row],[Data Pagamento]])</f>
        <v/>
      </c>
      <c r="B50" s="102" t="n">
        <v>45925</v>
      </c>
      <c r="C50" s="103">
        <f>IFERROR(IF(DIVIDENDOS[[#This Row],[Data Pagamento]]="","",EOMONTH(B50,0)),"")</f>
        <v/>
      </c>
      <c r="D50" s="104">
        <f>IFERROR(IF(DIVIDENDOS[[#This Row],[Data Pagamento]]="","",DIVIDENDOS[[#This Row],[Data Pagamento]]),"")</f>
        <v/>
      </c>
      <c r="E50" s="168" t="n">
        <v>1.67</v>
      </c>
      <c r="F50" s="99" t="inlineStr">
        <is>
          <t>RENDIMENTO</t>
        </is>
      </c>
      <c r="G50" s="99" t="inlineStr">
        <is>
          <t>ALZR11</t>
        </is>
      </c>
    </row>
    <row r="51">
      <c r="A51" s="101">
        <f>YEAR(DIVIDENDOS[[#This Row],[Data Pagamento]])</f>
        <v/>
      </c>
      <c r="B51" s="102" t="n">
        <v>45925</v>
      </c>
      <c r="C51" s="103">
        <f>IFERROR(IF(DIVIDENDOS[[#This Row],[Data Pagamento]]="","",EOMONTH(B51,0)),"")</f>
        <v/>
      </c>
      <c r="D51" s="104">
        <f>IFERROR(IF(DIVIDENDOS[[#This Row],[Data Pagamento]]="","",DIVIDENDOS[[#This Row],[Data Pagamento]]),"")</f>
        <v/>
      </c>
      <c r="E51" s="168" t="n">
        <v>1.2</v>
      </c>
      <c r="F51" s="99" t="inlineStr">
        <is>
          <t>RENDIMENTO</t>
        </is>
      </c>
      <c r="G51" s="99" t="inlineStr">
        <is>
          <t>SNAG11</t>
        </is>
      </c>
    </row>
    <row r="52">
      <c r="A52" s="101">
        <f>YEAR(DIVIDENDOS[[#This Row],[Data Pagamento]])</f>
        <v/>
      </c>
      <c r="B52" s="102" t="n">
        <v>45925</v>
      </c>
      <c r="C52" s="103">
        <f>IFERROR(IF(DIVIDENDOS[[#This Row],[Data Pagamento]]="","",EOMONTH(B52,0)),"")</f>
        <v/>
      </c>
      <c r="D52" s="104">
        <f>IFERROR(IF(DIVIDENDOS[[#This Row],[Data Pagamento]]="","",DIVIDENDOS[[#This Row],[Data Pagamento]]),"")</f>
        <v/>
      </c>
      <c r="E52" s="168" t="n">
        <v>1.84</v>
      </c>
      <c r="F52" s="99" t="inlineStr">
        <is>
          <t>RENDIMENTO</t>
        </is>
      </c>
      <c r="G52" s="99" t="inlineStr">
        <is>
          <t>XPML11</t>
        </is>
      </c>
    </row>
    <row r="53">
      <c r="A53" s="101">
        <f>YEAR(DIVIDENDOS[[#This Row],[Data Pagamento]])</f>
        <v/>
      </c>
      <c r="B53" s="102" t="n">
        <v>45931</v>
      </c>
      <c r="C53" s="103">
        <f>IFERROR(IF(DIVIDENDOS[[#This Row],[Data Pagamento]]="","",EOMONTH(B53,0)),"")</f>
        <v/>
      </c>
      <c r="D53" s="104">
        <f>IFERROR(IF(DIVIDENDOS[[#This Row],[Data Pagamento]]="","",DIVIDENDOS[[#This Row],[Data Pagamento]]),"")</f>
        <v/>
      </c>
      <c r="E53" s="168" t="n">
        <v>0.03</v>
      </c>
      <c r="F53" s="99" t="inlineStr">
        <is>
          <t>JUROS</t>
        </is>
      </c>
      <c r="G53" s="99" t="inlineStr">
        <is>
          <t>BBDC4</t>
        </is>
      </c>
    </row>
    <row r="54">
      <c r="A54" s="101">
        <f>YEAR(DIVIDENDOS[[#This Row],[Data Pagamento]])</f>
        <v/>
      </c>
      <c r="B54" s="102" t="n">
        <v>45937</v>
      </c>
      <c r="C54" s="103">
        <f>IFERROR(IF(DIVIDENDOS[[#This Row],[Data Pagamento]]="","",EOMONTH(B54,0)),"")</f>
        <v/>
      </c>
      <c r="D54" s="104">
        <f>IFERROR(IF(DIVIDENDOS[[#This Row],[Data Pagamento]]="","",DIVIDENDOS[[#This Row],[Data Pagamento]]),"")</f>
        <v/>
      </c>
      <c r="E54" s="168" t="n">
        <v>4.5</v>
      </c>
      <c r="F54" s="99" t="inlineStr">
        <is>
          <t>RENDIMENTO</t>
        </is>
      </c>
      <c r="G54" s="99" t="inlineStr">
        <is>
          <t>ARRI11</t>
        </is>
      </c>
    </row>
    <row r="55">
      <c r="A55" s="101">
        <f>YEAR(DIVIDENDOS[[#This Row],[Data Pagamento]])</f>
        <v/>
      </c>
      <c r="B55" s="102" t="n">
        <v>45937</v>
      </c>
      <c r="C55" s="103">
        <f>IFERROR(IF(DIVIDENDOS[[#This Row],[Data Pagamento]]="","",EOMONTH(B55,0)),"")</f>
        <v/>
      </c>
      <c r="D55" s="104">
        <f>IFERROR(IF(DIVIDENDOS[[#This Row],[Data Pagamento]]="","",DIVIDENDOS[[#This Row],[Data Pagamento]]),"")</f>
        <v/>
      </c>
      <c r="E55" s="168" t="n">
        <v>4.23</v>
      </c>
      <c r="F55" s="99" t="inlineStr">
        <is>
          <t>RENDIMENTO</t>
        </is>
      </c>
      <c r="G55" s="99" t="inlineStr">
        <is>
          <t>GARE11</t>
        </is>
      </c>
    </row>
    <row r="56">
      <c r="A56" s="101">
        <f>YEAR(DIVIDENDOS[[#This Row],[Data Pagamento]])</f>
        <v/>
      </c>
      <c r="B56" s="102" t="n">
        <v>45937</v>
      </c>
      <c r="C56" s="103">
        <f>IFERROR(IF(DIVIDENDOS[[#This Row],[Data Pagamento]]="","",EOMONTH(B56,0)),"")</f>
        <v/>
      </c>
      <c r="D56" s="104">
        <f>IFERROR(IF(DIVIDENDOS[[#This Row],[Data Pagamento]]="","",DIVIDENDOS[[#This Row],[Data Pagamento]]),"")</f>
        <v/>
      </c>
      <c r="E56" s="168" t="n">
        <v>3.6</v>
      </c>
      <c r="F56" s="99" t="inlineStr">
        <is>
          <t>RENDIMENTO</t>
        </is>
      </c>
      <c r="G56" s="99" t="inlineStr">
        <is>
          <t>LIFE11</t>
        </is>
      </c>
    </row>
    <row r="57">
      <c r="A57" s="101">
        <f>YEAR(DIVIDENDOS[[#This Row],[Data Pagamento]])</f>
        <v/>
      </c>
      <c r="B57" s="102" t="n">
        <v>45937</v>
      </c>
      <c r="C57" s="103">
        <f>IFERROR(IF(DIVIDENDOS[[#This Row],[Data Pagamento]]="","",EOMONTH(B57,0)),"")</f>
        <v/>
      </c>
      <c r="D57" s="104">
        <f>IFERROR(IF(DIVIDENDOS[[#This Row],[Data Pagamento]]="","",DIVIDENDOS[[#This Row],[Data Pagamento]]),"")</f>
        <v/>
      </c>
      <c r="E57" s="168" t="n">
        <v>1.1</v>
      </c>
      <c r="F57" s="99" t="inlineStr">
        <is>
          <t>RENDIMENTO</t>
        </is>
      </c>
      <c r="G57" s="99" t="inlineStr">
        <is>
          <t>RURA11</t>
        </is>
      </c>
    </row>
    <row r="58">
      <c r="A58" s="101">
        <f>YEAR(DIVIDENDOS[[#This Row],[Data Pagamento]])</f>
        <v/>
      </c>
      <c r="B58" s="102" t="n">
        <v>45937</v>
      </c>
      <c r="C58" s="103">
        <f>IFERROR(IF(DIVIDENDOS[[#This Row],[Data Pagamento]]="","",EOMONTH(B58,0)),"")</f>
        <v/>
      </c>
      <c r="D58" s="104">
        <f>IFERROR(IF(DIVIDENDOS[[#This Row],[Data Pagamento]]="","",DIVIDENDOS[[#This Row],[Data Pagamento]]),"")</f>
        <v/>
      </c>
      <c r="E58" s="168" t="n">
        <v>2.4</v>
      </c>
      <c r="F58" s="99" t="inlineStr">
        <is>
          <t>RENDIMENTO</t>
        </is>
      </c>
      <c r="G58" s="99" t="inlineStr">
        <is>
          <t>VGRI11</t>
        </is>
      </c>
    </row>
    <row r="59">
      <c r="A59" s="101">
        <f>YEAR(DIVIDENDOS[[#This Row],[Data Pagamento]])</f>
        <v/>
      </c>
      <c r="B59" s="102" t="n">
        <v>45944</v>
      </c>
      <c r="C59" s="103">
        <f>IFERROR(IF(DIVIDENDOS[[#This Row],[Data Pagamento]]="","",EOMONTH(B59,0)),"")</f>
        <v/>
      </c>
      <c r="D59" s="104">
        <f>IFERROR(IF(DIVIDENDOS[[#This Row],[Data Pagamento]]="","",DIVIDENDOS[[#This Row],[Data Pagamento]]),"")</f>
        <v/>
      </c>
      <c r="E59" s="168" t="n">
        <v>2.2</v>
      </c>
      <c r="F59" s="99" t="inlineStr">
        <is>
          <t>RENDIMENTO</t>
        </is>
      </c>
      <c r="G59" s="99" t="inlineStr">
        <is>
          <t>AAZQ11</t>
        </is>
      </c>
    </row>
    <row r="60">
      <c r="A60" s="101">
        <f>YEAR(DIVIDENDOS[[#This Row],[Data Pagamento]])</f>
        <v/>
      </c>
      <c r="B60" s="102" t="n">
        <v>45944</v>
      </c>
      <c r="C60" s="103">
        <f>IFERROR(IF(DIVIDENDOS[[#This Row],[Data Pagamento]]="","",EOMONTH(B60,0)),"")</f>
        <v/>
      </c>
      <c r="D60" s="104">
        <f>IFERROR(IF(DIVIDENDOS[[#This Row],[Data Pagamento]]="","",DIVIDENDOS[[#This Row],[Data Pagamento]]),"")</f>
        <v/>
      </c>
      <c r="E60" s="168" t="n">
        <v>1</v>
      </c>
      <c r="F60" s="99" t="inlineStr">
        <is>
          <t>RENDIMENTO</t>
        </is>
      </c>
      <c r="G60" s="99" t="inlineStr">
        <is>
          <t>BIDB11</t>
        </is>
      </c>
    </row>
    <row r="61">
      <c r="A61" s="101">
        <f>YEAR(DIVIDENDOS[[#This Row],[Data Pagamento]])</f>
        <v/>
      </c>
      <c r="B61" s="102" t="n">
        <v>45944</v>
      </c>
      <c r="C61" s="103">
        <f>IFERROR(IF(DIVIDENDOS[[#This Row],[Data Pagamento]]="","",EOMONTH(B61,0)),"")</f>
        <v/>
      </c>
      <c r="D61" s="104">
        <f>IFERROR(IF(DIVIDENDOS[[#This Row],[Data Pagamento]]="","",DIVIDENDOS[[#This Row],[Data Pagamento]]),"")</f>
        <v/>
      </c>
      <c r="E61" s="168" t="n">
        <v>4.55</v>
      </c>
      <c r="F61" s="99" t="inlineStr">
        <is>
          <t>RENDIMENTO</t>
        </is>
      </c>
      <c r="G61" s="99" t="inlineStr">
        <is>
          <t>BIME11</t>
        </is>
      </c>
    </row>
    <row r="62">
      <c r="A62" s="101">
        <f>YEAR(DIVIDENDOS[[#This Row],[Data Pagamento]])</f>
        <v/>
      </c>
      <c r="B62" s="102" t="n">
        <v>45944</v>
      </c>
      <c r="C62" s="103">
        <f>IFERROR(IF(DIVIDENDOS[[#This Row],[Data Pagamento]]="","",EOMONTH(B62,0)),"")</f>
        <v/>
      </c>
      <c r="D62" s="104">
        <f>IFERROR(IF(DIVIDENDOS[[#This Row],[Data Pagamento]]="","",DIVIDENDOS[[#This Row],[Data Pagamento]]),"")</f>
        <v/>
      </c>
      <c r="E62" s="168" t="n">
        <v>0.92</v>
      </c>
      <c r="F62" s="99" t="inlineStr">
        <is>
          <t>RENDIMENTO</t>
        </is>
      </c>
      <c r="G62" s="99" t="inlineStr">
        <is>
          <t>BTHF11</t>
        </is>
      </c>
    </row>
    <row r="63">
      <c r="A63" s="101">
        <f>YEAR(DIVIDENDOS[[#This Row],[Data Pagamento]])</f>
        <v/>
      </c>
      <c r="B63" s="102" t="n">
        <v>45944</v>
      </c>
      <c r="C63" s="103">
        <f>IFERROR(IF(DIVIDENDOS[[#This Row],[Data Pagamento]]="","",EOMONTH(B63,0)),"")</f>
        <v/>
      </c>
      <c r="D63" s="104">
        <f>IFERROR(IF(DIVIDENDOS[[#This Row],[Data Pagamento]]="","",DIVIDENDOS[[#This Row],[Data Pagamento]]),"")</f>
        <v/>
      </c>
      <c r="E63" s="168" t="n">
        <v>3.5</v>
      </c>
      <c r="F63" s="99" t="inlineStr">
        <is>
          <t>RENDIMENTO</t>
        </is>
      </c>
      <c r="G63" s="99" t="inlineStr">
        <is>
          <t>DEVA11</t>
        </is>
      </c>
    </row>
    <row r="64">
      <c r="A64" s="101">
        <f>YEAR(DIVIDENDOS[[#This Row],[Data Pagamento]])</f>
        <v/>
      </c>
      <c r="B64" s="102" t="n">
        <v>45944</v>
      </c>
      <c r="C64" s="103">
        <f>IFERROR(IF(DIVIDENDOS[[#This Row],[Data Pagamento]]="","",EOMONTH(B64,0)),"")</f>
        <v/>
      </c>
      <c r="D64" s="104">
        <f>IFERROR(IF(DIVIDENDOS[[#This Row],[Data Pagamento]]="","",DIVIDENDOS[[#This Row],[Data Pagamento]]),"")</f>
        <v/>
      </c>
      <c r="E64" s="168" t="n">
        <v>0.26</v>
      </c>
      <c r="F64" s="99" t="inlineStr">
        <is>
          <t>RENDIMENTO</t>
        </is>
      </c>
      <c r="G64" s="99" t="inlineStr">
        <is>
          <t>DIVD11</t>
        </is>
      </c>
    </row>
    <row r="65">
      <c r="A65" s="101">
        <f>YEAR(DIVIDENDOS[[#This Row],[Data Pagamento]])</f>
        <v/>
      </c>
      <c r="B65" s="102" t="n">
        <v>45944</v>
      </c>
      <c r="C65" s="103">
        <f>IFERROR(IF(DIVIDENDOS[[#This Row],[Data Pagamento]]="","",EOMONTH(B65,0)),"")</f>
        <v/>
      </c>
      <c r="D65" s="104">
        <f>IFERROR(IF(DIVIDENDOS[[#This Row],[Data Pagamento]]="","",DIVIDENDOS[[#This Row],[Data Pagamento]]),"")</f>
        <v/>
      </c>
      <c r="E65" s="168" t="n">
        <v>5</v>
      </c>
      <c r="F65" s="99" t="inlineStr">
        <is>
          <t>RENDIMENTO</t>
        </is>
      </c>
      <c r="G65" s="99" t="inlineStr">
        <is>
          <t>FYTO11</t>
        </is>
      </c>
    </row>
    <row r="66">
      <c r="A66" s="101">
        <f>YEAR(DIVIDENDOS[[#This Row],[Data Pagamento]])</f>
        <v/>
      </c>
      <c r="B66" s="102" t="n">
        <v>45944</v>
      </c>
      <c r="C66" s="103">
        <f>IFERROR(IF(DIVIDENDOS[[#This Row],[Data Pagamento]]="","",EOMONTH(B66,0)),"")</f>
        <v/>
      </c>
      <c r="D66" s="104">
        <f>IFERROR(IF(DIVIDENDOS[[#This Row],[Data Pagamento]]="","",DIVIDENDOS[[#This Row],[Data Pagamento]]),"")</f>
        <v/>
      </c>
      <c r="E66" s="168" t="n">
        <v>1.51</v>
      </c>
      <c r="F66" s="99" t="inlineStr">
        <is>
          <t>RENDIMENTO</t>
        </is>
      </c>
      <c r="G66" s="99" t="inlineStr">
        <is>
          <t>HGBL11</t>
        </is>
      </c>
    </row>
    <row r="67">
      <c r="A67" s="101">
        <f>YEAR(DIVIDENDOS[[#This Row],[Data Pagamento]])</f>
        <v/>
      </c>
      <c r="B67" s="102" t="n">
        <v>45944</v>
      </c>
      <c r="C67" s="103">
        <f>IFERROR(IF(DIVIDENDOS[[#This Row],[Data Pagamento]]="","",EOMONTH(B67,0)),"")</f>
        <v/>
      </c>
      <c r="D67" s="104">
        <f>IFERROR(IF(DIVIDENDOS[[#This Row],[Data Pagamento]]="","",DIVIDENDOS[[#This Row],[Data Pagamento]]),"")</f>
        <v/>
      </c>
      <c r="E67" s="168" t="n">
        <v>1.4</v>
      </c>
      <c r="F67" s="99" t="inlineStr">
        <is>
          <t>RENDIMENTO</t>
        </is>
      </c>
      <c r="G67" s="99" t="inlineStr">
        <is>
          <t>KISU11</t>
        </is>
      </c>
    </row>
    <row r="68">
      <c r="A68" s="101">
        <f>YEAR(DIVIDENDOS[[#This Row],[Data Pagamento]])</f>
        <v/>
      </c>
      <c r="B68" s="102" t="n">
        <v>45944</v>
      </c>
      <c r="C68" s="103">
        <f>IFERROR(IF(DIVIDENDOS[[#This Row],[Data Pagamento]]="","",EOMONTH(B68,0)),"")</f>
        <v/>
      </c>
      <c r="D68" s="104">
        <f>IFERROR(IF(DIVIDENDOS[[#This Row],[Data Pagamento]]="","",DIVIDENDOS[[#This Row],[Data Pagamento]]),"")</f>
        <v/>
      </c>
      <c r="E68" s="168" t="n">
        <v>0.3</v>
      </c>
      <c r="F68" s="99" t="inlineStr">
        <is>
          <t>RENDIMENTO</t>
        </is>
      </c>
      <c r="G68" s="99" t="inlineStr">
        <is>
          <t>TEPP11</t>
        </is>
      </c>
    </row>
    <row r="69">
      <c r="A69" s="101">
        <f>YEAR(DIVIDENDOS[[#This Row],[Data Pagamento]])</f>
        <v/>
      </c>
      <c r="B69" s="102" t="n">
        <v>45944</v>
      </c>
      <c r="C69" s="103">
        <f>IFERROR(IF(DIVIDENDOS[[#This Row],[Data Pagamento]]="","",EOMONTH(B69,0)),"")</f>
        <v/>
      </c>
      <c r="D69" s="104">
        <f>IFERROR(IF(DIVIDENDOS[[#This Row],[Data Pagamento]]="","",DIVIDENDOS[[#This Row],[Data Pagamento]]),"")</f>
        <v/>
      </c>
      <c r="E69" s="168" t="n">
        <v>2.79</v>
      </c>
      <c r="F69" s="99" t="inlineStr">
        <is>
          <t>RENDIMENTO</t>
        </is>
      </c>
      <c r="G69" s="99" t="inlineStr">
        <is>
          <t>TRXF11</t>
        </is>
      </c>
    </row>
    <row r="70">
      <c r="A70" s="101">
        <f>YEAR(DIVIDENDOS[[#This Row],[Data Pagamento]])</f>
        <v/>
      </c>
      <c r="B70" s="102" t="n">
        <v>45944</v>
      </c>
      <c r="C70" s="103">
        <f>IFERROR(IF(DIVIDENDOS[[#This Row],[Data Pagamento]]="","",EOMONTH(B70,0)),"")</f>
        <v/>
      </c>
      <c r="D70" s="104">
        <f>IFERROR(IF(DIVIDENDOS[[#This Row],[Data Pagamento]]="","",DIVIDENDOS[[#This Row],[Data Pagamento]]),"")</f>
        <v/>
      </c>
      <c r="E70" s="168" t="n">
        <v>2</v>
      </c>
      <c r="F70" s="99" t="inlineStr">
        <is>
          <t>RENDIMENTO</t>
        </is>
      </c>
      <c r="G70" s="99" t="inlineStr">
        <is>
          <t>VINO11</t>
        </is>
      </c>
    </row>
    <row r="71">
      <c r="A71" s="101">
        <f>YEAR(DIVIDENDOS[[#This Row],[Data Pagamento]])</f>
        <v/>
      </c>
      <c r="B71" s="102" t="n">
        <v>45946</v>
      </c>
      <c r="C71" s="103">
        <f>IFERROR(IF(DIVIDENDOS[[#This Row],[Data Pagamento]]="","",EOMONTH(B71,0)),"")</f>
        <v/>
      </c>
      <c r="D71" s="104">
        <f>IFERROR(IF(DIVIDENDOS[[#This Row],[Data Pagamento]]="","",DIVIDENDOS[[#This Row],[Data Pagamento]]),"")</f>
        <v/>
      </c>
      <c r="E71" s="168" t="n">
        <v>0.2</v>
      </c>
      <c r="F71" s="99" t="inlineStr">
        <is>
          <t>RENDIMENTO</t>
        </is>
      </c>
      <c r="G71" s="99" t="inlineStr">
        <is>
          <t>BDVD39</t>
        </is>
      </c>
    </row>
    <row r="72">
      <c r="A72" s="101">
        <f>YEAR(DIVIDENDOS[[#This Row],[Data Pagamento]])</f>
        <v/>
      </c>
      <c r="B72" s="102" t="n">
        <v>45946</v>
      </c>
      <c r="C72" s="103">
        <f>IFERROR(IF(DIVIDENDOS[[#This Row],[Data Pagamento]]="","",EOMONTH(B72,0)),"")</f>
        <v/>
      </c>
      <c r="D72" s="104">
        <f>IFERROR(IF(DIVIDENDOS[[#This Row],[Data Pagamento]]="","",DIVIDENDOS[[#This Row],[Data Pagamento]]),"")</f>
        <v/>
      </c>
      <c r="E72" s="168" t="n">
        <v>3.04</v>
      </c>
      <c r="F72" s="99" t="inlineStr">
        <is>
          <t>RENDIMENTO</t>
        </is>
      </c>
      <c r="G72" s="99" t="inlineStr">
        <is>
          <t>IRDM11</t>
        </is>
      </c>
    </row>
    <row r="73">
      <c r="A73" s="101">
        <f>YEAR(DIVIDENDOS[[#This Row],[Data Pagamento]])</f>
        <v/>
      </c>
      <c r="B73" s="102" t="n">
        <v>45947</v>
      </c>
      <c r="C73" s="103">
        <f>IFERROR(IF(DIVIDENDOS[[#This Row],[Data Pagamento]]="","",EOMONTH(B73,0)),"")</f>
        <v/>
      </c>
      <c r="D73" s="104">
        <f>IFERROR(IF(DIVIDENDOS[[#This Row],[Data Pagamento]]="","",DIVIDENDOS[[#This Row],[Data Pagamento]]),"")</f>
        <v/>
      </c>
      <c r="E73" s="168" t="n">
        <v>1.98</v>
      </c>
      <c r="F73" s="99" t="inlineStr">
        <is>
          <t>RENDIMENTO</t>
        </is>
      </c>
      <c r="G73" s="99" t="inlineStr">
        <is>
          <t>CPTS11</t>
        </is>
      </c>
    </row>
    <row r="74">
      <c r="A74" s="101">
        <f>YEAR(DIVIDENDOS[[#This Row],[Data Pagamento]])</f>
        <v/>
      </c>
      <c r="B74" s="102" t="n">
        <v>45947</v>
      </c>
      <c r="C74" s="103">
        <f>IFERROR(IF(DIVIDENDOS[[#This Row],[Data Pagamento]]="","",EOMONTH(B74,0)),"")</f>
        <v/>
      </c>
      <c r="D74" s="104">
        <f>IFERROR(IF(DIVIDENDOS[[#This Row],[Data Pagamento]]="","",DIVIDENDOS[[#This Row],[Data Pagamento]]),"")</f>
        <v/>
      </c>
      <c r="E74" s="168" t="n">
        <v>2</v>
      </c>
      <c r="F74" s="99" t="inlineStr">
        <is>
          <t>RENDIMENTO</t>
        </is>
      </c>
      <c r="G74" s="99" t="inlineStr">
        <is>
          <t>MCCI11</t>
        </is>
      </c>
    </row>
    <row r="75">
      <c r="A75" s="101">
        <f>YEAR(DIVIDENDOS[[#This Row],[Data Pagamento]])</f>
        <v/>
      </c>
      <c r="B75" s="102" t="n">
        <v>45953</v>
      </c>
      <c r="C75" s="103">
        <f>IFERROR(IF(DIVIDENDOS[[#This Row],[Data Pagamento]]="","",EOMONTH(B75,0)),"")</f>
        <v/>
      </c>
      <c r="D75" s="104">
        <f>IFERROR(IF(DIVIDENDOS[[#This Row],[Data Pagamento]]="","",DIVIDENDOS[[#This Row],[Data Pagamento]]),"")</f>
        <v/>
      </c>
      <c r="E75" s="168" t="n">
        <v>5</v>
      </c>
      <c r="F75" s="99" t="inlineStr">
        <is>
          <t>RENDIMENTO</t>
        </is>
      </c>
      <c r="G75" s="99" t="inlineStr">
        <is>
          <t>CPSH11</t>
        </is>
      </c>
    </row>
    <row r="76">
      <c r="A76" s="101">
        <f>YEAR(DIVIDENDOS[[#This Row],[Data Pagamento]])</f>
        <v/>
      </c>
      <c r="B76" s="102" t="n">
        <v>45954</v>
      </c>
      <c r="C76" s="103">
        <f>IFERROR(IF(DIVIDENDOS[[#This Row],[Data Pagamento]]="","",EOMONTH(B76,0)),"")</f>
        <v/>
      </c>
      <c r="D76" s="104">
        <f>IFERROR(IF(DIVIDENDOS[[#This Row],[Data Pagamento]]="","",DIVIDENDOS[[#This Row],[Data Pagamento]]),"")</f>
        <v/>
      </c>
      <c r="E76" s="168" t="n">
        <v>1.67</v>
      </c>
      <c r="F76" s="99" t="inlineStr">
        <is>
          <t>RENDIMENTO</t>
        </is>
      </c>
      <c r="G76" s="99" t="inlineStr">
        <is>
          <t>ALZR11</t>
        </is>
      </c>
    </row>
    <row r="77">
      <c r="A77" s="101">
        <f>YEAR(DIVIDENDOS[[#This Row],[Data Pagamento]])</f>
        <v/>
      </c>
      <c r="B77" s="102" t="n">
        <v>45954</v>
      </c>
      <c r="C77" s="103">
        <f>IFERROR(IF(DIVIDENDOS[[#This Row],[Data Pagamento]]="","",EOMONTH(B77,0)),"")</f>
        <v/>
      </c>
      <c r="D77" s="104">
        <f>IFERROR(IF(DIVIDENDOS[[#This Row],[Data Pagamento]]="","",DIVIDENDOS[[#This Row],[Data Pagamento]]),"")</f>
        <v/>
      </c>
      <c r="E77" s="168" t="n">
        <v>3</v>
      </c>
      <c r="F77" s="99" t="inlineStr">
        <is>
          <t>RENDIMENTO</t>
        </is>
      </c>
      <c r="G77" s="99" t="inlineStr">
        <is>
          <t>EQIR11</t>
        </is>
      </c>
    </row>
    <row r="78">
      <c r="A78" s="101">
        <f>YEAR(DIVIDENDOS[[#This Row],[Data Pagamento]])</f>
        <v/>
      </c>
      <c r="B78" s="102" t="n">
        <v>45954</v>
      </c>
      <c r="C78" s="103">
        <f>IFERROR(IF(DIVIDENDOS[[#This Row],[Data Pagamento]]="","",EOMONTH(B78,0)),"")</f>
        <v/>
      </c>
      <c r="D78" s="104">
        <f>IFERROR(IF(DIVIDENDOS[[#This Row],[Data Pagamento]]="","",DIVIDENDOS[[#This Row],[Data Pagamento]]),"")</f>
        <v/>
      </c>
      <c r="E78" s="168" t="n">
        <v>1.2</v>
      </c>
      <c r="F78" s="99" t="inlineStr">
        <is>
          <t>RENDIMENTO</t>
        </is>
      </c>
      <c r="G78" s="99" t="inlineStr">
        <is>
          <t>SNAG11</t>
        </is>
      </c>
    </row>
    <row r="79">
      <c r="A79" s="101">
        <f>YEAR(DIVIDENDOS[[#This Row],[Data Pagamento]])</f>
        <v/>
      </c>
      <c r="B79" s="102" t="n">
        <v>45954</v>
      </c>
      <c r="C79" s="103">
        <f>IFERROR(IF(DIVIDENDOS[[#This Row],[Data Pagamento]]="","",EOMONTH(B79,0)),"")</f>
        <v/>
      </c>
      <c r="D79" s="104">
        <f>IFERROR(IF(DIVIDENDOS[[#This Row],[Data Pagamento]]="","",DIVIDENDOS[[#This Row],[Data Pagamento]]),"")</f>
        <v/>
      </c>
      <c r="E79" s="168" t="n">
        <v>1.84</v>
      </c>
      <c r="F79" s="99" t="inlineStr">
        <is>
          <t>RENDIMENTO</t>
        </is>
      </c>
      <c r="G79" s="99" t="inlineStr">
        <is>
          <t>XPML11</t>
        </is>
      </c>
    </row>
    <row r="80">
      <c r="A80" s="101">
        <f>YEAR(DIVIDENDOS[[#This Row],[Data Pagamento]])</f>
        <v/>
      </c>
      <c r="B80" s="102" t="n">
        <v>45961</v>
      </c>
      <c r="C80" s="103">
        <f>IFERROR(IF(DIVIDENDOS[[#This Row],[Data Pagamento]]="","",EOMONTH(B80,0)),"")</f>
        <v/>
      </c>
      <c r="D80" s="104">
        <f>IFERROR(IF(DIVIDENDOS[[#This Row],[Data Pagamento]]="","",DIVIDENDOS[[#This Row],[Data Pagamento]]),"")</f>
        <v/>
      </c>
      <c r="E80" s="168" t="n">
        <v>0.39</v>
      </c>
      <c r="F80" s="99" t="inlineStr">
        <is>
          <t>RENDIMENTO</t>
        </is>
      </c>
      <c r="G80" s="99" t="inlineStr">
        <is>
          <t>BBDC4</t>
        </is>
      </c>
    </row>
    <row r="81">
      <c r="A81" s="101">
        <f>YEAR(DIVIDENDOS[[#This Row],[Data Pagamento]])</f>
        <v/>
      </c>
      <c r="B81" s="102" t="n">
        <v>45968</v>
      </c>
      <c r="C81" s="103">
        <f>IFERROR(IF(DIVIDENDOS[[#This Row],[Data Pagamento]]="","",EOMONTH(B81,0)),"")</f>
        <v/>
      </c>
      <c r="D81" s="104">
        <f>IFERROR(IF(DIVIDENDOS[[#This Row],[Data Pagamento]]="","",DIVIDENDOS[[#This Row],[Data Pagamento]]),"")</f>
        <v/>
      </c>
      <c r="E81" s="168" t="n">
        <v>3.6</v>
      </c>
      <c r="F81" s="99" t="inlineStr">
        <is>
          <t>RENDIMENTO</t>
        </is>
      </c>
      <c r="G81" s="99" t="inlineStr">
        <is>
          <t>ARRI11</t>
        </is>
      </c>
    </row>
    <row r="82">
      <c r="A82" s="101">
        <f>YEAR(DIVIDENDOS[[#This Row],[Data Pagamento]])</f>
        <v/>
      </c>
      <c r="B82" s="102" t="n">
        <v>45968</v>
      </c>
      <c r="C82" s="103">
        <f>IFERROR(IF(DIVIDENDOS[[#This Row],[Data Pagamento]]="","",EOMONTH(B82,0)),"")</f>
        <v/>
      </c>
      <c r="D82" s="104">
        <f>IFERROR(IF(DIVIDENDOS[[#This Row],[Data Pagamento]]="","",DIVIDENDOS[[#This Row],[Data Pagamento]]),"")</f>
        <v/>
      </c>
      <c r="E82" s="168" t="n">
        <v>4.23</v>
      </c>
      <c r="F82" s="99" t="inlineStr">
        <is>
          <t>RENDIMENTO</t>
        </is>
      </c>
      <c r="G82" s="99" t="inlineStr">
        <is>
          <t>GARE11</t>
        </is>
      </c>
    </row>
    <row r="83">
      <c r="A83" s="101">
        <f>YEAR(DIVIDENDOS[[#This Row],[Data Pagamento]])</f>
        <v/>
      </c>
      <c r="B83" s="102" t="n">
        <v>45968</v>
      </c>
      <c r="C83" s="103">
        <f>IFERROR(IF(DIVIDENDOS[[#This Row],[Data Pagamento]]="","",EOMONTH(B83,0)),"")</f>
        <v/>
      </c>
      <c r="D83" s="104">
        <f>IFERROR(IF(DIVIDENDOS[[#This Row],[Data Pagamento]]="","",DIVIDENDOS[[#This Row],[Data Pagamento]]),"")</f>
        <v/>
      </c>
      <c r="E83" s="168" t="n">
        <v>3.6</v>
      </c>
      <c r="F83" s="99" t="inlineStr">
        <is>
          <t>RENDIMENTO</t>
        </is>
      </c>
      <c r="G83" s="99" t="inlineStr">
        <is>
          <t>LIFE11</t>
        </is>
      </c>
    </row>
    <row r="84">
      <c r="A84" s="101">
        <f>YEAR(DIVIDENDOS[[#This Row],[Data Pagamento]])</f>
        <v/>
      </c>
      <c r="B84" s="102" t="n">
        <v>45968</v>
      </c>
      <c r="C84" s="103">
        <f>IFERROR(IF(DIVIDENDOS[[#This Row],[Data Pagamento]]="","",EOMONTH(B84,0)),"")</f>
        <v/>
      </c>
      <c r="D84" s="104">
        <f>IFERROR(IF(DIVIDENDOS[[#This Row],[Data Pagamento]]="","",DIVIDENDOS[[#This Row],[Data Pagamento]]),"")</f>
        <v/>
      </c>
      <c r="E84" s="168" t="n">
        <v>1.1</v>
      </c>
      <c r="F84" s="99" t="inlineStr">
        <is>
          <t>RENDIMENTO</t>
        </is>
      </c>
      <c r="G84" s="99" t="inlineStr">
        <is>
          <t>RURA11</t>
        </is>
      </c>
    </row>
    <row r="85">
      <c r="A85" s="101">
        <f>YEAR(DIVIDENDOS[[#This Row],[Data Pagamento]])</f>
        <v/>
      </c>
      <c r="B85" s="102" t="n">
        <v>45968</v>
      </c>
      <c r="C85" s="103">
        <f>IFERROR(IF(DIVIDENDOS[[#This Row],[Data Pagamento]]="","",EOMONTH(B85,0)),"")</f>
        <v/>
      </c>
      <c r="D85" s="104">
        <f>IFERROR(IF(DIVIDENDOS[[#This Row],[Data Pagamento]]="","",DIVIDENDOS[[#This Row],[Data Pagamento]]),"")</f>
        <v/>
      </c>
      <c r="E85" s="168" t="n">
        <v>2.4</v>
      </c>
      <c r="F85" s="99" t="inlineStr">
        <is>
          <t>RENDIMENTO</t>
        </is>
      </c>
      <c r="G85" s="99" t="inlineStr">
        <is>
          <t>VGRI11</t>
        </is>
      </c>
    </row>
    <row r="86">
      <c r="A86" s="101">
        <f>YEAR(DIVIDENDOS[[#This Row],[Data Pagamento]])</f>
        <v/>
      </c>
      <c r="B86" s="102" t="n">
        <v>45975</v>
      </c>
      <c r="C86" s="103">
        <f>IFERROR(IF(DIVIDENDOS[[#This Row],[Data Pagamento]]="","",EOMONTH(B86,0)),"")</f>
        <v/>
      </c>
      <c r="D86" s="104">
        <f>IFERROR(IF(DIVIDENDOS[[#This Row],[Data Pagamento]]="","",DIVIDENDOS[[#This Row],[Data Pagamento]]),"")</f>
        <v/>
      </c>
      <c r="E86" s="168" t="n">
        <v>2.4</v>
      </c>
      <c r="F86" s="99" t="inlineStr">
        <is>
          <t>RENDIMENTO</t>
        </is>
      </c>
      <c r="G86" s="99" t="inlineStr">
        <is>
          <t>AAZQ11</t>
        </is>
      </c>
    </row>
    <row r="87">
      <c r="A87" s="101">
        <f>YEAR(DIVIDENDOS[[#This Row],[Data Pagamento]])</f>
        <v/>
      </c>
      <c r="B87" s="102" t="n">
        <v>45975</v>
      </c>
      <c r="C87" s="103">
        <f>IFERROR(IF(DIVIDENDOS[[#This Row],[Data Pagamento]]="","",EOMONTH(B87,0)),"")</f>
        <v/>
      </c>
      <c r="D87" s="104">
        <f>IFERROR(IF(DIVIDENDOS[[#This Row],[Data Pagamento]]="","",DIVIDENDOS[[#This Row],[Data Pagamento]]),"")</f>
        <v/>
      </c>
      <c r="E87" s="168" t="n">
        <v>2</v>
      </c>
      <c r="F87" s="99" t="inlineStr">
        <is>
          <t>RENDIMENTO</t>
        </is>
      </c>
      <c r="G87" s="99" t="inlineStr">
        <is>
          <t>BIDB11</t>
        </is>
      </c>
    </row>
    <row r="88">
      <c r="A88" s="101">
        <f>YEAR(DIVIDENDOS[[#This Row],[Data Pagamento]])</f>
        <v/>
      </c>
      <c r="B88" s="102" t="n">
        <v>45975</v>
      </c>
      <c r="C88" s="103">
        <f>IFERROR(IF(DIVIDENDOS[[#This Row],[Data Pagamento]]="","",EOMONTH(B88,0)),"")</f>
        <v/>
      </c>
      <c r="D88" s="104">
        <f>IFERROR(IF(DIVIDENDOS[[#This Row],[Data Pagamento]]="","",DIVIDENDOS[[#This Row],[Data Pagamento]]),"")</f>
        <v/>
      </c>
      <c r="E88" s="168" t="n">
        <v>4.55</v>
      </c>
      <c r="F88" s="99" t="inlineStr">
        <is>
          <t>RENDIMENTO</t>
        </is>
      </c>
      <c r="G88" s="99" t="inlineStr">
        <is>
          <t>BIME11</t>
        </is>
      </c>
    </row>
    <row r="89">
      <c r="A89" s="101">
        <f>YEAR(DIVIDENDOS[[#This Row],[Data Pagamento]])</f>
        <v/>
      </c>
      <c r="B89" s="102" t="n">
        <v>45975</v>
      </c>
      <c r="C89" s="103">
        <f>IFERROR(IF(DIVIDENDOS[[#This Row],[Data Pagamento]]="","",EOMONTH(B89,0)),"")</f>
        <v/>
      </c>
      <c r="D89" s="104">
        <f>IFERROR(IF(DIVIDENDOS[[#This Row],[Data Pagamento]]="","",DIVIDENDOS[[#This Row],[Data Pagamento]]),"")</f>
        <v/>
      </c>
      <c r="E89" s="168" t="n">
        <v>0.92</v>
      </c>
      <c r="F89" s="99" t="inlineStr">
        <is>
          <t>RENDIMENTO</t>
        </is>
      </c>
      <c r="G89" s="99" t="inlineStr">
        <is>
          <t>BTHF11</t>
        </is>
      </c>
    </row>
    <row r="90">
      <c r="A90" s="101">
        <f>YEAR(DIVIDENDOS[[#This Row],[Data Pagamento]])</f>
        <v/>
      </c>
      <c r="B90" s="102" t="n">
        <v>45975</v>
      </c>
      <c r="C90" s="103">
        <f>IFERROR(IF(DIVIDENDOS[[#This Row],[Data Pagamento]]="","",EOMONTH(B90,0)),"")</f>
        <v/>
      </c>
      <c r="D90" s="104">
        <f>IFERROR(IF(DIVIDENDOS[[#This Row],[Data Pagamento]]="","",DIVIDENDOS[[#This Row],[Data Pagamento]]),"")</f>
        <v/>
      </c>
      <c r="E90" s="168" t="n">
        <v>3.3</v>
      </c>
      <c r="F90" s="99" t="inlineStr">
        <is>
          <t>RENDIMENTO</t>
        </is>
      </c>
      <c r="G90" s="99" t="inlineStr">
        <is>
          <t>DEVA11</t>
        </is>
      </c>
    </row>
    <row r="91">
      <c r="A91" s="101">
        <f>YEAR(DIVIDENDOS[[#This Row],[Data Pagamento]])</f>
        <v/>
      </c>
      <c r="B91" s="102" t="n">
        <v>45975</v>
      </c>
      <c r="C91" s="103">
        <f>IFERROR(IF(DIVIDENDOS[[#This Row],[Data Pagamento]]="","",EOMONTH(B91,0)),"")</f>
        <v/>
      </c>
      <c r="D91" s="104">
        <f>IFERROR(IF(DIVIDENDOS[[#This Row],[Data Pagamento]]="","",DIVIDENDOS[[#This Row],[Data Pagamento]]),"")</f>
        <v/>
      </c>
      <c r="E91" s="168" t="n">
        <v>0.03</v>
      </c>
      <c r="F91" s="99" t="inlineStr">
        <is>
          <t>RENDIMENTO</t>
        </is>
      </c>
      <c r="G91" s="99" t="inlineStr">
        <is>
          <t>DIVD11</t>
        </is>
      </c>
    </row>
    <row r="92">
      <c r="A92" s="101">
        <f>YEAR(DIVIDENDOS[[#This Row],[Data Pagamento]])</f>
        <v/>
      </c>
      <c r="B92" s="102" t="n">
        <v>45975</v>
      </c>
      <c r="C92" s="103">
        <f>IFERROR(IF(DIVIDENDOS[[#This Row],[Data Pagamento]]="","",EOMONTH(B92,0)),"")</f>
        <v/>
      </c>
      <c r="D92" s="104">
        <f>IFERROR(IF(DIVIDENDOS[[#This Row],[Data Pagamento]]="","",DIVIDENDOS[[#This Row],[Data Pagamento]]),"")</f>
        <v/>
      </c>
      <c r="E92" s="168" t="n">
        <v>5</v>
      </c>
      <c r="F92" s="99" t="inlineStr">
        <is>
          <t>RENDIMENTO</t>
        </is>
      </c>
      <c r="G92" s="99" t="inlineStr">
        <is>
          <t>FYTO11</t>
        </is>
      </c>
    </row>
    <row r="93">
      <c r="A93" s="101">
        <f>YEAR(DIVIDENDOS[[#This Row],[Data Pagamento]])</f>
        <v/>
      </c>
      <c r="B93" s="102" t="n">
        <v>45975</v>
      </c>
      <c r="C93" s="103">
        <f>IFERROR(IF(DIVIDENDOS[[#This Row],[Data Pagamento]]="","",EOMONTH(B93,0)),"")</f>
        <v/>
      </c>
      <c r="D93" s="104">
        <f>IFERROR(IF(DIVIDENDOS[[#This Row],[Data Pagamento]]="","",DIVIDENDOS[[#This Row],[Data Pagamento]]),"")</f>
        <v/>
      </c>
      <c r="E93" s="168" t="n">
        <v>1.51</v>
      </c>
      <c r="F93" s="99" t="inlineStr">
        <is>
          <t>RENDIMENTO</t>
        </is>
      </c>
      <c r="G93" s="99" t="inlineStr">
        <is>
          <t>HGBL11</t>
        </is>
      </c>
    </row>
    <row r="94">
      <c r="A94" s="101">
        <f>YEAR(DIVIDENDOS[[#This Row],[Data Pagamento]])</f>
        <v/>
      </c>
      <c r="B94" s="102" t="n">
        <v>45975</v>
      </c>
      <c r="C94" s="103">
        <f>IFERROR(IF(DIVIDENDOS[[#This Row],[Data Pagamento]]="","",EOMONTH(B94,0)),"")</f>
        <v/>
      </c>
      <c r="D94" s="104">
        <f>IFERROR(IF(DIVIDENDOS[[#This Row],[Data Pagamento]]="","",DIVIDENDOS[[#This Row],[Data Pagamento]]),"")</f>
        <v/>
      </c>
      <c r="E94" s="168" t="n">
        <v>1.4</v>
      </c>
      <c r="F94" s="99" t="inlineStr">
        <is>
          <t>RENDIMENTO</t>
        </is>
      </c>
      <c r="G94" s="99" t="inlineStr">
        <is>
          <t>KISU11</t>
        </is>
      </c>
    </row>
    <row r="95">
      <c r="A95" s="101">
        <f>YEAR(DIVIDENDOS[[#This Row],[Data Pagamento]])</f>
        <v/>
      </c>
      <c r="B95" s="102" t="n">
        <v>45975</v>
      </c>
      <c r="C95" s="103">
        <f>IFERROR(IF(DIVIDENDOS[[#This Row],[Data Pagamento]]="","",EOMONTH(B95,0)),"")</f>
        <v/>
      </c>
      <c r="D95" s="104">
        <f>IFERROR(IF(DIVIDENDOS[[#This Row],[Data Pagamento]]="","",DIVIDENDOS[[#This Row],[Data Pagamento]]),"")</f>
        <v/>
      </c>
      <c r="E95" s="168" t="n">
        <v>0.3</v>
      </c>
      <c r="F95" s="99" t="inlineStr">
        <is>
          <t>RENDIMENTO</t>
        </is>
      </c>
      <c r="G95" s="99" t="inlineStr">
        <is>
          <t>TEPP11</t>
        </is>
      </c>
    </row>
    <row r="96">
      <c r="A96" s="101">
        <f>YEAR(DIVIDENDOS[[#This Row],[Data Pagamento]])</f>
        <v/>
      </c>
      <c r="B96" s="102" t="n">
        <v>45975</v>
      </c>
      <c r="C96" s="103">
        <f>IFERROR(IF(DIVIDENDOS[[#This Row],[Data Pagamento]]="","",EOMONTH(B96,0)),"")</f>
        <v/>
      </c>
      <c r="D96" s="104">
        <f>IFERROR(IF(DIVIDENDOS[[#This Row],[Data Pagamento]]="","",DIVIDENDOS[[#This Row],[Data Pagamento]]),"")</f>
        <v/>
      </c>
      <c r="E96" s="168" t="n">
        <v>2.79</v>
      </c>
      <c r="F96" s="99" t="inlineStr">
        <is>
          <t>RENDIMENTO</t>
        </is>
      </c>
      <c r="G96" s="99" t="inlineStr">
        <is>
          <t>TRXF11</t>
        </is>
      </c>
    </row>
    <row r="97">
      <c r="A97" s="101">
        <f>YEAR(DIVIDENDOS[[#This Row],[Data Pagamento]])</f>
        <v/>
      </c>
      <c r="B97" s="102" t="n">
        <v>45975</v>
      </c>
      <c r="C97" s="103">
        <f>IFERROR(IF(DIVIDENDOS[[#This Row],[Data Pagamento]]="","",EOMONTH(B97,0)),"")</f>
        <v/>
      </c>
      <c r="D97" s="104">
        <f>IFERROR(IF(DIVIDENDOS[[#This Row],[Data Pagamento]]="","",DIVIDENDOS[[#This Row],[Data Pagamento]]),"")</f>
        <v/>
      </c>
      <c r="E97" s="168" t="n">
        <v>2.05</v>
      </c>
      <c r="F97" s="99" t="inlineStr">
        <is>
          <t>RENDIMENTO</t>
        </is>
      </c>
      <c r="G97" s="99" t="inlineStr">
        <is>
          <t>VINO11</t>
        </is>
      </c>
    </row>
    <row r="98">
      <c r="A98" s="101">
        <f>YEAR(DIVIDENDOS[[#This Row],[Data Pagamento]])</f>
        <v/>
      </c>
      <c r="B98" s="102" t="n">
        <v>45978</v>
      </c>
      <c r="C98" s="103">
        <f>IFERROR(IF(DIVIDENDOS[[#This Row],[Data Pagamento]]="","",EOMONTH(B98,0)),"")</f>
        <v/>
      </c>
      <c r="D98" s="104">
        <f>IFERROR(IF(DIVIDENDOS[[#This Row],[Data Pagamento]]="","",DIVIDENDOS[[#This Row],[Data Pagamento]]),"")</f>
        <v/>
      </c>
      <c r="E98" s="168" t="n">
        <v>0.64</v>
      </c>
      <c r="F98" s="99" t="inlineStr">
        <is>
          <t>RENDIMENTO</t>
        </is>
      </c>
      <c r="G98" s="99" t="inlineStr">
        <is>
          <t>CXSE3</t>
        </is>
      </c>
    </row>
    <row r="99">
      <c r="A99" s="101">
        <f>YEAR(DIVIDENDOS[[#This Row],[Data Pagamento]])</f>
        <v/>
      </c>
      <c r="B99" s="102" t="n">
        <v>45979</v>
      </c>
      <c r="C99" s="103">
        <f>IFERROR(IF(DIVIDENDOS[[#This Row],[Data Pagamento]]="","",EOMONTH(B99,0)),"")</f>
        <v/>
      </c>
      <c r="D99" s="104">
        <f>IFERROR(IF(DIVIDENDOS[[#This Row],[Data Pagamento]]="","",DIVIDENDOS[[#This Row],[Data Pagamento]]),"")</f>
        <v/>
      </c>
      <c r="E99" s="168" t="n">
        <v>5</v>
      </c>
      <c r="F99" s="99" t="inlineStr">
        <is>
          <t>RENDIMENTO</t>
        </is>
      </c>
      <c r="G99" s="99" t="inlineStr">
        <is>
          <t>IRDM11</t>
        </is>
      </c>
    </row>
    <row r="100">
      <c r="A100" s="101">
        <f>YEAR(DIVIDENDOS[[#This Row],[Data Pagamento]])</f>
        <v/>
      </c>
      <c r="B100" s="102" t="n">
        <v>45980</v>
      </c>
      <c r="C100" s="103">
        <f>IFERROR(IF(DIVIDENDOS[[#This Row],[Data Pagamento]]="","",EOMONTH(B100,0)),"")</f>
        <v/>
      </c>
      <c r="D100" s="104">
        <f>IFERROR(IF(DIVIDENDOS[[#This Row],[Data Pagamento]]="","",DIVIDENDOS[[#This Row],[Data Pagamento]]),"")</f>
        <v/>
      </c>
      <c r="E100" s="168" t="n">
        <v>0.18</v>
      </c>
      <c r="F100" s="99" t="inlineStr">
        <is>
          <t>RENDIMENTO</t>
        </is>
      </c>
      <c r="G100" s="99" t="inlineStr">
        <is>
          <t>BDVD39</t>
        </is>
      </c>
    </row>
    <row r="101">
      <c r="A101" s="101">
        <f>YEAR(DIVIDENDOS[[#This Row],[Data Pagamento]])</f>
        <v/>
      </c>
      <c r="B101" s="102" t="n">
        <v>45980</v>
      </c>
      <c r="C101" s="103">
        <f>IFERROR(IF(DIVIDENDOS[[#This Row],[Data Pagamento]]="","",EOMONTH(B101,0)),"")</f>
        <v/>
      </c>
      <c r="D101" s="104">
        <f>IFERROR(IF(DIVIDENDOS[[#This Row],[Data Pagamento]]="","",DIVIDENDOS[[#This Row],[Data Pagamento]]),"")</f>
        <v/>
      </c>
      <c r="E101" s="168" t="n">
        <v>1.98</v>
      </c>
      <c r="F101" s="99" t="inlineStr">
        <is>
          <t>RENDIMENTO</t>
        </is>
      </c>
      <c r="G101" s="99" t="inlineStr">
        <is>
          <t>CPTS11</t>
        </is>
      </c>
    </row>
    <row r="102">
      <c r="A102" s="101">
        <f>YEAR(DIVIDENDOS[[#This Row],[Data Pagamento]])</f>
        <v/>
      </c>
      <c r="B102" s="102" t="n">
        <v>45980</v>
      </c>
      <c r="C102" s="103">
        <f>IFERROR(IF(DIVIDENDOS[[#This Row],[Data Pagamento]]="","",EOMONTH(B102,0)),"")</f>
        <v/>
      </c>
      <c r="D102" s="104">
        <f>IFERROR(IF(DIVIDENDOS[[#This Row],[Data Pagamento]]="","",DIVIDENDOS[[#This Row],[Data Pagamento]]),"")</f>
        <v/>
      </c>
      <c r="E102" s="168" t="n">
        <v>2</v>
      </c>
      <c r="F102" s="99" t="inlineStr">
        <is>
          <t>RENDIMENTO</t>
        </is>
      </c>
      <c r="G102" s="99" t="inlineStr">
        <is>
          <t>MCCI11</t>
        </is>
      </c>
    </row>
    <row r="103">
      <c r="A103" s="101">
        <f>YEAR(DIVIDENDOS[[#This Row],[Data Pagamento]])</f>
        <v/>
      </c>
      <c r="B103" s="102" t="n">
        <v>45982</v>
      </c>
      <c r="C103" s="103">
        <f>IFERROR(IF(DIVIDENDOS[[#This Row],[Data Pagamento]]="","",EOMONTH(B103,0)),"")</f>
        <v/>
      </c>
      <c r="D103" s="104">
        <f>IFERROR(IF(DIVIDENDOS[[#This Row],[Data Pagamento]]="","",DIVIDENDOS[[#This Row],[Data Pagamento]]),"")</f>
        <v/>
      </c>
      <c r="E103" s="168" t="n">
        <v>7.43</v>
      </c>
      <c r="F103" s="99" t="inlineStr">
        <is>
          <t>JUROS</t>
        </is>
      </c>
      <c r="G103" s="99" t="inlineStr">
        <is>
          <t>PETR4</t>
        </is>
      </c>
    </row>
    <row r="104">
      <c r="A104" s="101">
        <f>YEAR(DIVIDENDOS[[#This Row],[Data Pagamento]])</f>
        <v/>
      </c>
      <c r="B104" s="102" t="n">
        <v>45986</v>
      </c>
      <c r="C104" s="103">
        <f>IFERROR(IF(DIVIDENDOS[[#This Row],[Data Pagamento]]="","",EOMONTH(B104,0)),"")</f>
        <v/>
      </c>
      <c r="D104" s="104">
        <f>IFERROR(IF(DIVIDENDOS[[#This Row],[Data Pagamento]]="","",DIVIDENDOS[[#This Row],[Data Pagamento]]),"")</f>
        <v/>
      </c>
      <c r="E104" s="168" t="n">
        <v>1.67</v>
      </c>
      <c r="F104" s="99" t="inlineStr">
        <is>
          <t>RENDIMENTO</t>
        </is>
      </c>
      <c r="G104" s="99" t="inlineStr">
        <is>
          <t>ALZR11</t>
        </is>
      </c>
    </row>
    <row r="105">
      <c r="A105" s="101">
        <f>YEAR(DIVIDENDOS[[#This Row],[Data Pagamento]])</f>
        <v/>
      </c>
      <c r="B105" s="102" t="n">
        <v>45986</v>
      </c>
      <c r="C105" s="103">
        <f>IFERROR(IF(DIVIDENDOS[[#This Row],[Data Pagamento]]="","",EOMONTH(B105,0)),"")</f>
        <v/>
      </c>
      <c r="D105" s="104">
        <f>IFERROR(IF(DIVIDENDOS[[#This Row],[Data Pagamento]]="","",DIVIDENDOS[[#This Row],[Data Pagamento]]),"")</f>
        <v/>
      </c>
      <c r="E105" s="168" t="n">
        <v>1.3</v>
      </c>
      <c r="F105" s="99" t="inlineStr">
        <is>
          <t>RENDIMENTO</t>
        </is>
      </c>
      <c r="G105" s="99" t="inlineStr">
        <is>
          <t>SNAG11</t>
        </is>
      </c>
    </row>
    <row r="106">
      <c r="A106" s="101">
        <f>YEAR(DIVIDENDOS[[#This Row],[Data Pagamento]])</f>
        <v/>
      </c>
      <c r="B106" s="102" t="n">
        <v>45986</v>
      </c>
      <c r="C106" s="103">
        <f>IFERROR(IF(DIVIDENDOS[[#This Row],[Data Pagamento]]="","",EOMONTH(B106,0)),"")</f>
        <v/>
      </c>
      <c r="D106" s="104">
        <f>IFERROR(IF(DIVIDENDOS[[#This Row],[Data Pagamento]]="","",DIVIDENDOS[[#This Row],[Data Pagamento]]),"")</f>
        <v/>
      </c>
      <c r="E106" s="168" t="n">
        <v>1.84</v>
      </c>
      <c r="F106" s="99" t="inlineStr">
        <is>
          <t>RENDIMENTO</t>
        </is>
      </c>
      <c r="G106" s="99" t="inlineStr">
        <is>
          <t>XPML11</t>
        </is>
      </c>
    </row>
    <row r="107">
      <c r="A107" s="101">
        <f>YEAR(DIVIDENDOS[[#This Row],[Data Pagamento]])</f>
        <v/>
      </c>
      <c r="B107" s="102" t="n">
        <v>45987</v>
      </c>
      <c r="C107" s="103">
        <f>IFERROR(IF(DIVIDENDOS[[#This Row],[Data Pagamento]]="","",EOMONTH(B107,0)),"")</f>
        <v/>
      </c>
      <c r="D107" s="104">
        <f>IFERROR(IF(DIVIDENDOS[[#This Row],[Data Pagamento]]="","",DIVIDENDOS[[#This Row],[Data Pagamento]]),"")</f>
        <v/>
      </c>
      <c r="E107" s="168" t="n">
        <v>6</v>
      </c>
      <c r="F107" s="99" t="inlineStr">
        <is>
          <t>RENDIMENTO</t>
        </is>
      </c>
      <c r="G107" s="99" t="inlineStr">
        <is>
          <t>CPSH11</t>
        </is>
      </c>
    </row>
    <row r="108">
      <c r="A108" s="101">
        <f>YEAR(DIVIDENDOS[[#This Row],[Data Pagamento]])</f>
        <v/>
      </c>
      <c r="B108" s="102" t="n">
        <v>45988</v>
      </c>
      <c r="C108" s="103">
        <f>IFERROR(IF(DIVIDENDOS[[#This Row],[Data Pagamento]]="","",EOMONTH(B108,0)),"")</f>
        <v/>
      </c>
      <c r="D108" s="104">
        <f>IFERROR(IF(DIVIDENDOS[[#This Row],[Data Pagamento]]="","",DIVIDENDOS[[#This Row],[Data Pagamento]]),"")</f>
        <v/>
      </c>
      <c r="E108" s="168" t="n">
        <v>3</v>
      </c>
      <c r="F108" s="99" t="inlineStr">
        <is>
          <t>RENDIMENTO</t>
        </is>
      </c>
      <c r="G108" s="99" t="inlineStr">
        <is>
          <t>EQIR11</t>
        </is>
      </c>
    </row>
    <row r="109">
      <c r="A109" s="101">
        <f>YEAR(DIVIDENDOS[[#This Row],[Data Pagamento]])</f>
        <v/>
      </c>
      <c r="B109" s="102" t="n">
        <v>45996</v>
      </c>
      <c r="C109" s="103">
        <f>IFERROR(IF(DIVIDENDOS[[#This Row],[Data Pagamento]]="","",EOMONTH(B109,0)),"")</f>
        <v/>
      </c>
      <c r="D109" s="104">
        <f>IFERROR(IF(DIVIDENDOS[[#This Row],[Data Pagamento]]="","",DIVIDENDOS[[#This Row],[Data Pagamento]]),"")</f>
        <v/>
      </c>
      <c r="E109" s="168" t="n">
        <v>3.6</v>
      </c>
      <c r="F109" s="99" t="inlineStr">
        <is>
          <t>RENDIMENTO</t>
        </is>
      </c>
      <c r="G109" s="99" t="inlineStr">
        <is>
          <t>ARRI11</t>
        </is>
      </c>
    </row>
    <row r="110">
      <c r="A110" s="101">
        <f>YEAR(DIVIDENDOS[[#This Row],[Data Pagamento]])</f>
        <v/>
      </c>
      <c r="B110" s="102" t="n">
        <v>45996</v>
      </c>
      <c r="C110" s="103">
        <f>IFERROR(IF(DIVIDENDOS[[#This Row],[Data Pagamento]]="","",EOMONTH(B110,0)),"")</f>
        <v/>
      </c>
      <c r="D110" s="104">
        <f>IFERROR(IF(DIVIDENDOS[[#This Row],[Data Pagamento]]="","",DIVIDENDOS[[#This Row],[Data Pagamento]]),"")</f>
        <v/>
      </c>
      <c r="E110" s="168" t="n">
        <v>4.23</v>
      </c>
      <c r="F110" s="99" t="inlineStr">
        <is>
          <t>RENDIMENTO</t>
        </is>
      </c>
      <c r="G110" s="99" t="inlineStr">
        <is>
          <t>GARE11</t>
        </is>
      </c>
      <c r="H110" s="18" t="n"/>
    </row>
    <row r="111">
      <c r="A111" s="101">
        <f>YEAR(DIVIDENDOS[[#This Row],[Data Pagamento]])</f>
        <v/>
      </c>
      <c r="B111" s="102" t="n">
        <v>45996</v>
      </c>
      <c r="C111" s="103">
        <f>IFERROR(IF(DIVIDENDOS[[#This Row],[Data Pagamento]]="","",EOMONTH(B111,0)),"")</f>
        <v/>
      </c>
      <c r="D111" s="104">
        <f>IFERROR(IF(DIVIDENDOS[[#This Row],[Data Pagamento]]="","",DIVIDENDOS[[#This Row],[Data Pagamento]]),"")</f>
        <v/>
      </c>
      <c r="E111" s="168" t="n">
        <v>4.8</v>
      </c>
      <c r="F111" s="99" t="inlineStr">
        <is>
          <t>RENDIMENTO</t>
        </is>
      </c>
      <c r="G111" s="99" t="inlineStr">
        <is>
          <t>LIFE11</t>
        </is>
      </c>
    </row>
    <row r="112">
      <c r="A112" s="101">
        <f>YEAR(DIVIDENDOS[[#This Row],[Data Pagamento]])</f>
        <v/>
      </c>
      <c r="B112" s="102" t="n">
        <v>45996</v>
      </c>
      <c r="C112" s="103">
        <f>IFERROR(IF(DIVIDENDOS[[#This Row],[Data Pagamento]]="","",EOMONTH(B112,0)),"")</f>
        <v/>
      </c>
      <c r="D112" s="104">
        <f>IFERROR(IF(DIVIDENDOS[[#This Row],[Data Pagamento]]="","",DIVIDENDOS[[#This Row],[Data Pagamento]]),"")</f>
        <v/>
      </c>
      <c r="E112" s="168" t="n">
        <v>1.1</v>
      </c>
      <c r="F112" s="99" t="inlineStr">
        <is>
          <t>RENDIMENTO</t>
        </is>
      </c>
      <c r="G112" s="99" t="inlineStr">
        <is>
          <t>RURA11</t>
        </is>
      </c>
    </row>
    <row r="113">
      <c r="A113" s="101">
        <f>YEAR(DIVIDENDOS[[#This Row],[Data Pagamento]])</f>
        <v/>
      </c>
      <c r="B113" s="102" t="n">
        <v>45996</v>
      </c>
      <c r="C113" s="103">
        <f>IFERROR(IF(DIVIDENDOS[[#This Row],[Data Pagamento]]="","",EOMONTH(B113,0)),"")</f>
        <v/>
      </c>
      <c r="D113" s="104">
        <f>IFERROR(IF(DIVIDENDOS[[#This Row],[Data Pagamento]]="","",DIVIDENDOS[[#This Row],[Data Pagamento]]),"")</f>
        <v/>
      </c>
      <c r="E113" s="168" t="n">
        <v>2.4</v>
      </c>
      <c r="F113" s="99" t="inlineStr">
        <is>
          <t>RENDIMENTO</t>
        </is>
      </c>
      <c r="G113" s="99" t="inlineStr">
        <is>
          <t>VGRI11</t>
        </is>
      </c>
    </row>
    <row r="114">
      <c r="A114" s="101">
        <f>YEAR(DIVIDENDOS[[#This Row],[Data Pagamento]])</f>
        <v/>
      </c>
      <c r="B114" s="102" t="n">
        <v>46003</v>
      </c>
      <c r="C114" s="103">
        <f>IFERROR(IF(DIVIDENDOS[[#This Row],[Data Pagamento]]="","",EOMONTH(B114,0)),"")</f>
        <v/>
      </c>
      <c r="D114" s="104">
        <f>IFERROR(IF(DIVIDENDOS[[#This Row],[Data Pagamento]]="","",DIVIDENDOS[[#This Row],[Data Pagamento]]),"")</f>
        <v/>
      </c>
      <c r="E114" s="168" t="n">
        <v>2.4</v>
      </c>
      <c r="F114" s="99" t="inlineStr">
        <is>
          <t>RENDIMENTO</t>
        </is>
      </c>
      <c r="G114" s="99" t="inlineStr">
        <is>
          <t>AAZQ11</t>
        </is>
      </c>
    </row>
    <row r="115">
      <c r="A115" s="101">
        <f>YEAR(DIVIDENDOS[[#This Row],[Data Pagamento]])</f>
        <v/>
      </c>
      <c r="B115" s="102" t="n">
        <v>46003</v>
      </c>
      <c r="C115" s="103">
        <f>IFERROR(IF(DIVIDENDOS[[#This Row],[Data Pagamento]]="","",EOMONTH(B115,0)),"")</f>
        <v/>
      </c>
      <c r="D115" s="104">
        <f>IFERROR(IF(DIVIDENDOS[[#This Row],[Data Pagamento]]="","",DIVIDENDOS[[#This Row],[Data Pagamento]]),"")</f>
        <v/>
      </c>
      <c r="E115" s="168" t="n">
        <v>3.9</v>
      </c>
      <c r="F115" s="99" t="inlineStr">
        <is>
          <t>RENDIMENTO</t>
        </is>
      </c>
      <c r="G115" s="99" t="inlineStr">
        <is>
          <t>BIME11</t>
        </is>
      </c>
    </row>
    <row r="116">
      <c r="A116" s="101">
        <f>YEAR(DIVIDENDOS[[#This Row],[Data Pagamento]])</f>
        <v/>
      </c>
      <c r="B116" s="102" t="n">
        <v>46003</v>
      </c>
      <c r="C116" s="103">
        <f>IFERROR(IF(DIVIDENDOS[[#This Row],[Data Pagamento]]="","",EOMONTH(B116,0)),"")</f>
        <v/>
      </c>
      <c r="D116" s="104">
        <f>IFERROR(IF(DIVIDENDOS[[#This Row],[Data Pagamento]]="","",DIVIDENDOS[[#This Row],[Data Pagamento]]),"")</f>
        <v/>
      </c>
      <c r="E116" s="168" t="n">
        <v>0.92</v>
      </c>
      <c r="F116" s="99" t="inlineStr">
        <is>
          <t>RENDIMENTO</t>
        </is>
      </c>
      <c r="G116" s="99" t="inlineStr">
        <is>
          <t>BTHF11</t>
        </is>
      </c>
    </row>
    <row r="117">
      <c r="A117" s="101">
        <f>YEAR(DIVIDENDOS[[#This Row],[Data Pagamento]])</f>
        <v/>
      </c>
      <c r="B117" s="102" t="n">
        <v>46003</v>
      </c>
      <c r="C117" s="103">
        <f>IFERROR(IF(DIVIDENDOS[[#This Row],[Data Pagamento]]="","",EOMONTH(B117,0)),"")</f>
        <v/>
      </c>
      <c r="D117" s="104">
        <f>IFERROR(IF(DIVIDENDOS[[#This Row],[Data Pagamento]]="","",DIVIDENDOS[[#This Row],[Data Pagamento]]),"")</f>
        <v/>
      </c>
      <c r="E117" s="168" t="n">
        <v>4.4</v>
      </c>
      <c r="F117" s="99" t="inlineStr">
        <is>
          <t>RENDIMENTO</t>
        </is>
      </c>
      <c r="G117" s="99" t="inlineStr">
        <is>
          <t>DEVA11</t>
        </is>
      </c>
      <c r="H117" s="18" t="n"/>
    </row>
    <row r="118">
      <c r="A118" s="101">
        <f>YEAR(DIVIDENDOS[[#This Row],[Data Pagamento]])</f>
        <v/>
      </c>
      <c r="B118" s="102" t="n">
        <v>46003</v>
      </c>
      <c r="C118" s="103">
        <f>IFERROR(IF(DIVIDENDOS[[#This Row],[Data Pagamento]]="","",EOMONTH(B118,0)),"")</f>
        <v/>
      </c>
      <c r="D118" s="104">
        <f>IFERROR(IF(DIVIDENDOS[[#This Row],[Data Pagamento]]="","",DIVIDENDOS[[#This Row],[Data Pagamento]]),"")</f>
        <v/>
      </c>
      <c r="E118" s="168" t="n">
        <v>5.5</v>
      </c>
      <c r="F118" s="99" t="inlineStr">
        <is>
          <t>RENDIMENTO</t>
        </is>
      </c>
      <c r="G118" s="99" t="inlineStr">
        <is>
          <t>FYTO11</t>
        </is>
      </c>
    </row>
    <row r="119">
      <c r="A119" s="101">
        <f>YEAR(DIVIDENDOS[[#This Row],[Data Pagamento]])</f>
        <v/>
      </c>
      <c r="B119" s="102" t="n">
        <v>46003</v>
      </c>
      <c r="C119" s="103">
        <f>IFERROR(IF(DIVIDENDOS[[#This Row],[Data Pagamento]]="","",EOMONTH(B119,0)),"")</f>
        <v/>
      </c>
      <c r="D119" s="104">
        <f>IFERROR(IF(DIVIDENDOS[[#This Row],[Data Pagamento]]="","",DIVIDENDOS[[#This Row],[Data Pagamento]]),"")</f>
        <v/>
      </c>
      <c r="E119" s="168" t="n">
        <v>1.51</v>
      </c>
      <c r="F119" s="99" t="inlineStr">
        <is>
          <t>RENDIMENTO</t>
        </is>
      </c>
      <c r="G119" s="99" t="inlineStr">
        <is>
          <t>HGBL11</t>
        </is>
      </c>
      <c r="H119" s="18" t="n"/>
    </row>
    <row r="120">
      <c r="A120" s="101">
        <f>YEAR(DIVIDENDOS[[#This Row],[Data Pagamento]])</f>
        <v/>
      </c>
      <c r="B120" s="102" t="n">
        <v>46003</v>
      </c>
      <c r="C120" s="103">
        <f>IFERROR(IF(DIVIDENDOS[[#This Row],[Data Pagamento]]="","",EOMONTH(B120,0)),"")</f>
        <v/>
      </c>
      <c r="D120" s="104">
        <f>IFERROR(IF(DIVIDENDOS[[#This Row],[Data Pagamento]]="","",DIVIDENDOS[[#This Row],[Data Pagamento]]),"")</f>
        <v/>
      </c>
      <c r="E120" s="168" t="n">
        <v>0.3</v>
      </c>
      <c r="F120" s="99" t="inlineStr">
        <is>
          <t>RENDIMENTO</t>
        </is>
      </c>
      <c r="G120" s="99" t="inlineStr">
        <is>
          <t>TEPP11</t>
        </is>
      </c>
    </row>
    <row r="121">
      <c r="A121" s="101">
        <f>YEAR(DIVIDENDOS[[#This Row],[Data Pagamento]])</f>
        <v/>
      </c>
      <c r="B121" s="102" t="n">
        <v>46003</v>
      </c>
      <c r="C121" s="103">
        <f>IFERROR(IF(DIVIDENDOS[[#This Row],[Data Pagamento]]="","",EOMONTH(B121,0)),"")</f>
        <v/>
      </c>
      <c r="D121" s="104">
        <f>IFERROR(IF(DIVIDENDOS[[#This Row],[Data Pagamento]]="","",DIVIDENDOS[[#This Row],[Data Pagamento]]),"")</f>
        <v/>
      </c>
      <c r="E121" s="168" t="n">
        <v>2.79</v>
      </c>
      <c r="F121" s="99" t="inlineStr">
        <is>
          <t>RENDIMENTO</t>
        </is>
      </c>
      <c r="G121" s="99" t="inlineStr">
        <is>
          <t>TRXF11</t>
        </is>
      </c>
    </row>
    <row r="122">
      <c r="A122" s="101">
        <f>YEAR(DIVIDENDOS[[#This Row],[Data Pagamento]])</f>
        <v/>
      </c>
      <c r="B122" s="102" t="n">
        <v>46003</v>
      </c>
      <c r="C122" s="103">
        <f>IFERROR(IF(DIVIDENDOS[[#This Row],[Data Pagamento]]="","",EOMONTH(B122,0)),"")</f>
        <v/>
      </c>
      <c r="D122" s="104">
        <f>IFERROR(IF(DIVIDENDOS[[#This Row],[Data Pagamento]]="","",DIVIDENDOS[[#This Row],[Data Pagamento]]),"")</f>
        <v/>
      </c>
      <c r="E122" s="168" t="n">
        <v>2.05</v>
      </c>
      <c r="F122" s="99" t="inlineStr">
        <is>
          <t>RENDIMENTO</t>
        </is>
      </c>
      <c r="G122" s="99" t="inlineStr">
        <is>
          <t>VINO11</t>
        </is>
      </c>
    </row>
    <row r="123">
      <c r="A123" s="101">
        <f>YEAR(DIVIDENDOS[[#This Row],[Data Pagamento]])</f>
        <v/>
      </c>
      <c r="B123" s="102" t="n">
        <v>46006</v>
      </c>
      <c r="C123" s="103">
        <f>IFERROR(IF(DIVIDENDOS[[#This Row],[Data Pagamento]]="","",EOMONTH(B123,0)),"")</f>
        <v/>
      </c>
      <c r="D123" s="104">
        <f>IFERROR(IF(DIVIDENDOS[[#This Row],[Data Pagamento]]="","",DIVIDENDOS[[#This Row],[Data Pagamento]]),"")</f>
        <v/>
      </c>
      <c r="E123" s="168" t="n">
        <v>1.4</v>
      </c>
      <c r="F123" s="99" t="inlineStr">
        <is>
          <t>RENDIMENTO</t>
        </is>
      </c>
      <c r="G123" s="99" t="inlineStr">
        <is>
          <t>KISU11</t>
        </is>
      </c>
    </row>
    <row r="124">
      <c r="A124" s="101">
        <f>YEAR(DIVIDENDOS[[#This Row],[Data Pagamento]])</f>
        <v/>
      </c>
      <c r="B124" s="102" t="n">
        <v>46007</v>
      </c>
      <c r="C124" s="103">
        <f>IFERROR(IF(DIVIDENDOS[[#This Row],[Data Pagamento]]="","",EOMONTH(B124,0)),"")</f>
        <v/>
      </c>
      <c r="D124" s="104">
        <f>IFERROR(IF(DIVIDENDOS[[#This Row],[Data Pagamento]]="","",DIVIDENDOS[[#This Row],[Data Pagamento]]),"")</f>
        <v/>
      </c>
      <c r="E124" s="168" t="n">
        <v>0.19</v>
      </c>
      <c r="F124" s="106" t="inlineStr">
        <is>
          <t>DIVIDENDOS</t>
        </is>
      </c>
      <c r="G124" s="99" t="inlineStr">
        <is>
          <t>BDVD39</t>
        </is>
      </c>
    </row>
    <row r="125">
      <c r="A125" s="101">
        <f>YEAR(DIVIDENDOS[[#This Row],[Data Pagamento]])</f>
        <v/>
      </c>
      <c r="B125" s="102" t="n">
        <v>46007</v>
      </c>
      <c r="C125" s="103">
        <f>IFERROR(IF(DIVIDENDOS[[#This Row],[Data Pagamento]]="","",EOMONTH(B125,0)),"")</f>
        <v/>
      </c>
      <c r="D125" s="104">
        <f>IFERROR(IF(DIVIDENDOS[[#This Row],[Data Pagamento]]="","",DIVIDENDOS[[#This Row],[Data Pagamento]]),"")</f>
        <v/>
      </c>
      <c r="E125" s="168" t="n">
        <v>0.95</v>
      </c>
      <c r="F125" s="106" t="inlineStr">
        <is>
          <t>RENDIMENTO</t>
        </is>
      </c>
      <c r="G125" s="99" t="inlineStr">
        <is>
          <t>IRIM15</t>
        </is>
      </c>
    </row>
    <row r="126">
      <c r="A126" s="101">
        <f>YEAR(DIVIDENDOS[[#This Row],[Data Pagamento]])</f>
        <v/>
      </c>
      <c r="B126" s="102" t="n">
        <v>46008</v>
      </c>
      <c r="C126" s="103">
        <f>IFERROR(IF(DIVIDENDOS[[#This Row],[Data Pagamento]]="","",EOMONTH(B126,0)),"")</f>
        <v/>
      </c>
      <c r="D126" s="104">
        <f>IFERROR(IF(DIVIDENDOS[[#This Row],[Data Pagamento]]="","",DIVIDENDOS[[#This Row],[Data Pagamento]]),"")</f>
        <v/>
      </c>
      <c r="E126" s="168" t="n">
        <v>2.7</v>
      </c>
      <c r="F126" s="106" t="inlineStr">
        <is>
          <t>RENDIMENTO</t>
        </is>
      </c>
      <c r="G126" s="99" t="inlineStr">
        <is>
          <t>CPTS11</t>
        </is>
      </c>
    </row>
    <row r="127">
      <c r="A127" s="101">
        <f>YEAR(DIVIDENDOS[[#This Row],[Data Pagamento]])</f>
        <v/>
      </c>
      <c r="B127" s="102" t="n">
        <v>46008</v>
      </c>
      <c r="C127" s="103">
        <f>IFERROR(IF(DIVIDENDOS[[#This Row],[Data Pagamento]]="","",EOMONTH(B127,0)),"")</f>
        <v/>
      </c>
      <c r="D127" s="104">
        <f>IFERROR(IF(DIVIDENDOS[[#This Row],[Data Pagamento]]="","",DIVIDENDOS[[#This Row],[Data Pagamento]]),"")</f>
        <v/>
      </c>
      <c r="E127" s="168" t="n">
        <v>2</v>
      </c>
      <c r="F127" s="106" t="inlineStr">
        <is>
          <t>RENDIMENTO</t>
        </is>
      </c>
      <c r="G127" s="99" t="inlineStr">
        <is>
          <t>MCCI11</t>
        </is>
      </c>
    </row>
    <row r="128">
      <c r="A128" s="101">
        <f>YEAR(DIVIDENDOS[[#This Row],[Data Pagamento]])</f>
        <v/>
      </c>
      <c r="B128" s="102" t="n">
        <v>46013</v>
      </c>
      <c r="C128" s="103">
        <f>IFERROR(IF(DIVIDENDOS[[#This Row],[Data Pagamento]]="","",EOMONTH(B128,0)),"")</f>
        <v/>
      </c>
      <c r="D128" s="104">
        <f>IFERROR(IF(DIVIDENDOS[[#This Row],[Data Pagamento]]="","",DIVIDENDOS[[#This Row],[Data Pagamento]]),"")</f>
        <v/>
      </c>
      <c r="E128" s="168" t="n">
        <v>2.99</v>
      </c>
      <c r="F128" s="106" t="inlineStr">
        <is>
          <t>JUROS</t>
        </is>
      </c>
      <c r="G128" s="99" t="inlineStr">
        <is>
          <t>PETR4</t>
        </is>
      </c>
    </row>
    <row r="129">
      <c r="A129" s="101">
        <f>YEAR(DIVIDENDOS[[#This Row],[Data Pagamento]])</f>
        <v/>
      </c>
      <c r="B129" s="102" t="n">
        <v>46013</v>
      </c>
      <c r="C129" s="103">
        <f>IFERROR(IF(DIVIDENDOS[[#This Row],[Data Pagamento]]="","",EOMONTH(B129,0)),"")</f>
        <v/>
      </c>
      <c r="D129" s="104">
        <f>IFERROR(IF(DIVIDENDOS[[#This Row],[Data Pagamento]]="","",DIVIDENDOS[[#This Row],[Data Pagamento]]),"")</f>
        <v/>
      </c>
      <c r="E129" s="168" t="n">
        <v>5.22</v>
      </c>
      <c r="F129" s="106" t="inlineStr">
        <is>
          <t>DIVIDENDOS</t>
        </is>
      </c>
      <c r="G129" s="99" t="inlineStr">
        <is>
          <t>PETR4</t>
        </is>
      </c>
    </row>
    <row r="130">
      <c r="A130" s="101">
        <f>YEAR(DIVIDENDOS[[#This Row],[Data Pagamento]])</f>
        <v/>
      </c>
      <c r="B130" s="102" t="n">
        <v>46014</v>
      </c>
      <c r="C130" s="103">
        <f>IFERROR(IF(DIVIDENDOS[[#This Row],[Data Pagamento]]="","",EOMONTH(B130,0)),"")</f>
        <v/>
      </c>
      <c r="D130" s="104">
        <f>IFERROR(IF(DIVIDENDOS[[#This Row],[Data Pagamento]]="","",DIVIDENDOS[[#This Row],[Data Pagamento]]),"")</f>
        <v/>
      </c>
      <c r="E130" s="168" t="n">
        <v>1.67</v>
      </c>
      <c r="F130" s="106" t="inlineStr">
        <is>
          <t>RENDIMENTO</t>
        </is>
      </c>
      <c r="G130" s="99" t="inlineStr">
        <is>
          <t>ALZR11</t>
        </is>
      </c>
    </row>
    <row r="131">
      <c r="A131" s="101" t="n">
        <v>2026</v>
      </c>
      <c r="B131" s="102" t="n">
        <v>46014</v>
      </c>
      <c r="C131" s="103">
        <f>IFERROR(IF(DIVIDENDOS[[#This Row],[Data Pagamento]]="","",EOMONTH(B131,0)),"")</f>
        <v/>
      </c>
      <c r="D131" s="104">
        <f>IFERROR(IF(DIVIDENDOS[[#This Row],[Data Pagamento]]="","",DIVIDENDOS[[#This Row],[Data Pagamento]]),"")</f>
        <v/>
      </c>
      <c r="E131" s="168" t="n">
        <v>7.5</v>
      </c>
      <c r="F131" s="106" t="inlineStr">
        <is>
          <t>RENDIMENTO</t>
        </is>
      </c>
      <c r="G131" s="99" t="inlineStr">
        <is>
          <t>CPSH11</t>
        </is>
      </c>
      <c r="H131" s="18" t="n"/>
    </row>
    <row r="132">
      <c r="A132" s="101" t="n">
        <v>2026</v>
      </c>
      <c r="B132" s="102" t="n">
        <v>46014</v>
      </c>
      <c r="C132" s="103">
        <f>IFERROR(IF(DIVIDENDOS[[#This Row],[Data Pagamento]]="","",EOMONTH(B132,0)),"")</f>
        <v/>
      </c>
      <c r="D132" s="104">
        <f>IFERROR(IF(DIVIDENDOS[[#This Row],[Data Pagamento]]="","",DIVIDENDOS[[#This Row],[Data Pagamento]]),"")</f>
        <v/>
      </c>
      <c r="E132" s="168" t="n">
        <v>1.3</v>
      </c>
      <c r="F132" s="106" t="inlineStr">
        <is>
          <t>RENDIMENTO</t>
        </is>
      </c>
      <c r="G132" s="99" t="inlineStr">
        <is>
          <t>SNAG11</t>
        </is>
      </c>
    </row>
    <row r="133">
      <c r="A133" s="101" t="n">
        <v>2026</v>
      </c>
      <c r="B133" s="102" t="n">
        <v>46014</v>
      </c>
      <c r="C133" s="103">
        <f>IFERROR(IF(DIVIDENDOS[[#This Row],[Data Pagamento]]="","",EOMONTH(B133,0)),"")</f>
        <v/>
      </c>
      <c r="D133" s="104">
        <f>IFERROR(IF(DIVIDENDOS[[#This Row],[Data Pagamento]]="","",DIVIDENDOS[[#This Row],[Data Pagamento]]),"")</f>
        <v/>
      </c>
      <c r="E133" s="168" t="n">
        <v>1.84</v>
      </c>
      <c r="F133" s="106" t="inlineStr">
        <is>
          <t>RENDIMENTO</t>
        </is>
      </c>
      <c r="G133" s="99" t="inlineStr">
        <is>
          <t>XPML11</t>
        </is>
      </c>
    </row>
    <row r="134">
      <c r="A134" s="101" t="n">
        <v>2026</v>
      </c>
      <c r="B134" s="102" t="n">
        <v>46017</v>
      </c>
      <c r="C134" s="103">
        <f>IFERROR(IF(DIVIDENDOS[[#This Row],[Data Pagamento]]="","",EOMONTH(B134,0)),"")</f>
        <v/>
      </c>
      <c r="D134" s="104">
        <f>IFERROR(IF(DIVIDENDOS[[#This Row],[Data Pagamento]]="","",DIVIDENDOS[[#This Row],[Data Pagamento]]),"")</f>
        <v/>
      </c>
      <c r="E134" s="168" t="n">
        <v>3</v>
      </c>
      <c r="F134" s="106" t="inlineStr">
        <is>
          <t>RENDIMENTO</t>
        </is>
      </c>
      <c r="G134" s="99" t="inlineStr">
        <is>
          <t>EQIR11</t>
        </is>
      </c>
    </row>
    <row r="135">
      <c r="A135" s="101" t="n">
        <v>2026</v>
      </c>
      <c r="B135" s="102" t="n">
        <v>46021</v>
      </c>
      <c r="C135" s="103">
        <f>IFERROR(IF(DIVIDENDOS[[#This Row],[Data Pagamento]]="","",EOMONTH(B135,0)),"")</f>
        <v/>
      </c>
      <c r="D135" s="104">
        <f>IFERROR(IF(DIVIDENDOS[[#This Row],[Data Pagamento]]="","",DIVIDENDOS[[#This Row],[Data Pagamento]]),"")</f>
        <v/>
      </c>
      <c r="E135" s="168" t="n">
        <v>0.98</v>
      </c>
      <c r="F135" s="106" t="inlineStr">
        <is>
          <t>DIVIDENDOS</t>
        </is>
      </c>
      <c r="G135" s="99" t="inlineStr">
        <is>
          <t>CMIG4</t>
        </is>
      </c>
    </row>
    <row r="136">
      <c r="A136" s="101" t="n">
        <v>2026</v>
      </c>
      <c r="B136" s="102" t="n">
        <v>46021</v>
      </c>
      <c r="C136" s="103">
        <f>IFERROR(IF(DIVIDENDOS[[#This Row],[Data Pagamento]]="","",EOMONTH(B136,0)),"")</f>
        <v/>
      </c>
      <c r="D136" s="104">
        <f>IFERROR(IF(DIVIDENDOS[[#This Row],[Data Pagamento]]="","",DIVIDENDOS[[#This Row],[Data Pagamento]]),"")</f>
        <v/>
      </c>
      <c r="E136" s="168" t="n">
        <v>0.44</v>
      </c>
      <c r="F136" s="106" t="inlineStr">
        <is>
          <t>DIVIDENDOS</t>
        </is>
      </c>
      <c r="G136" s="99" t="inlineStr">
        <is>
          <t>CMIG4</t>
        </is>
      </c>
    </row>
    <row r="137">
      <c r="A137" s="101" t="n">
        <v>2025</v>
      </c>
      <c r="B137" s="102" t="inlineStr">
        <is>
          <t>09/12/2025</t>
        </is>
      </c>
      <c r="C137" s="103">
        <f>IFERROR(IF(DIVIDENDOS[[#This Row],[Data Pagamento]]="","",EOMONTH(B137,0)),"")</f>
        <v/>
      </c>
      <c r="D137" s="104">
        <f>IFERROR(IF(DIVIDENDOS[[#This Row],[Data Pagamento]]="","",DIVIDENDOS[[#This Row],[Data Pagamento]]),"")</f>
        <v/>
      </c>
      <c r="E137" s="105" t="n">
        <v>17.22</v>
      </c>
      <c r="F137" s="106" t="inlineStr">
        <is>
          <t>RENDIMENTO</t>
        </is>
      </c>
      <c r="G137" s="99" t="inlineStr">
        <is>
          <t>IRDM11</t>
        </is>
      </c>
    </row>
    <row r="138">
      <c r="A138" s="101" t="n">
        <v>2025</v>
      </c>
      <c r="B138" s="102" t="inlineStr">
        <is>
          <t>12/12/2025</t>
        </is>
      </c>
      <c r="C138" s="103">
        <f>IFERROR(IF(DIVIDENDOS[[#This Row],[Data Pagamento]]="","",EOMONTH(B138,0)),"")</f>
        <v/>
      </c>
      <c r="D138" s="104">
        <f>IFERROR(IF(DIVIDENDOS[[#This Row],[Data Pagamento]]="","",DIVIDENDOS[[#This Row],[Data Pagamento]]),"")</f>
        <v/>
      </c>
      <c r="E138" s="105" t="n">
        <v>2</v>
      </c>
      <c r="F138" s="106" t="inlineStr">
        <is>
          <t>RENDIMENTO</t>
        </is>
      </c>
      <c r="G138" s="99" t="inlineStr">
        <is>
          <t>BIDB11</t>
        </is>
      </c>
    </row>
    <row r="139">
      <c r="A139" s="101" t="n">
        <v>2025</v>
      </c>
      <c r="B139" s="102" t="inlineStr">
        <is>
          <t>12/12/2025</t>
        </is>
      </c>
      <c r="C139" s="103">
        <f>IFERROR(IF(DIVIDENDOS[[#This Row],[Data Pagamento]]="","",EOMONTH(B139,0)),"")</f>
        <v/>
      </c>
      <c r="D139" s="104">
        <f>IFERROR(IF(DIVIDENDOS[[#This Row],[Data Pagamento]]="","",DIVIDENDOS[[#This Row],[Data Pagamento]]),"")</f>
        <v/>
      </c>
      <c r="E139" s="105" t="n">
        <v>1.46</v>
      </c>
      <c r="F139" s="106" t="inlineStr">
        <is>
          <t>RENDIMENTO</t>
        </is>
      </c>
      <c r="G139" s="99" t="inlineStr">
        <is>
          <t>INLG11</t>
        </is>
      </c>
    </row>
    <row r="140">
      <c r="A140" s="101" t="n">
        <v>2025</v>
      </c>
      <c r="B140" s="102" t="inlineStr">
        <is>
          <t>12/12/2025</t>
        </is>
      </c>
      <c r="C140" s="103">
        <f>IFERROR(IF(DIVIDENDOS[[#This Row],[Data Pagamento]]="","",EOMONTH(B140,0)),"")</f>
        <v/>
      </c>
      <c r="D140" s="104">
        <f>IFERROR(IF(DIVIDENDOS[[#This Row],[Data Pagamento]]="","",DIVIDENDOS[[#This Row],[Data Pagamento]]),"")</f>
        <v/>
      </c>
      <c r="E140" s="105" t="n">
        <v>0.45</v>
      </c>
      <c r="F140" s="106" t="inlineStr">
        <is>
          <t>JUROS</t>
        </is>
      </c>
      <c r="G140" s="99" t="inlineStr">
        <is>
          <t>ISAE4</t>
        </is>
      </c>
    </row>
    <row r="141">
      <c r="A141" s="101" t="n">
        <v>2025</v>
      </c>
      <c r="B141" s="102" t="inlineStr">
        <is>
          <t>14/10/2025</t>
        </is>
      </c>
      <c r="C141" s="103">
        <f>IFERROR(IF(DIVIDENDOS[[#This Row],[Data Pagamento]]="","",EOMONTH(B141,0)),"")</f>
        <v/>
      </c>
      <c r="D141" s="104">
        <f>IFERROR(IF(DIVIDENDOS[[#This Row],[Data Pagamento]]="","",DIVIDENDOS[[#This Row],[Data Pagamento]]),"")</f>
        <v/>
      </c>
      <c r="E141" s="105" t="n">
        <v>1.5</v>
      </c>
      <c r="F141" s="106" t="inlineStr">
        <is>
          <t>RENDIMENTO</t>
        </is>
      </c>
      <c r="G141" s="99" t="inlineStr">
        <is>
          <t>INLG11</t>
        </is>
      </c>
    </row>
    <row r="142">
      <c r="A142" s="101" t="n">
        <v>2025</v>
      </c>
      <c r="B142" s="102" t="inlineStr">
        <is>
          <t>14/11/2025</t>
        </is>
      </c>
      <c r="C142" s="103">
        <f>IFERROR(IF(DIVIDENDOS[[#This Row],[Data Pagamento]]="","",EOMONTH(B142,0)),"")</f>
        <v/>
      </c>
      <c r="D142" s="104">
        <f>IFERROR(IF(DIVIDENDOS[[#This Row],[Data Pagamento]]="","",DIVIDENDOS[[#This Row],[Data Pagamento]]),"")</f>
        <v/>
      </c>
      <c r="E142" s="105" t="n">
        <v>1.48</v>
      </c>
      <c r="F142" s="106" t="inlineStr">
        <is>
          <t>RENDIMENTO</t>
        </is>
      </c>
      <c r="G142" s="99" t="inlineStr">
        <is>
          <t>INLG11</t>
        </is>
      </c>
      <c r="H142" s="18" t="n"/>
    </row>
    <row r="143">
      <c r="A143" s="101">
        <f>YEAR(DIVIDENDOS[[#This Row],[Data Pagamento]])</f>
        <v/>
      </c>
      <c r="B143" s="102" t="inlineStr">
        <is>
          <t>28/11/2025</t>
        </is>
      </c>
      <c r="C143" s="103">
        <f>IFERROR(IF(DIVIDENDOS[[#This Row],[Data Pagamento]]="","",EOMONTH(B143,0)),"")</f>
        <v/>
      </c>
      <c r="D143" s="104">
        <f>IFERROR(IF(DIVIDENDOS[[#This Row],[Data Pagamento]]="","",DIVIDENDOS[[#This Row],[Data Pagamento]]),"")</f>
        <v/>
      </c>
      <c r="E143" s="105" t="n">
        <v>0.45</v>
      </c>
      <c r="F143" s="106" t="inlineStr">
        <is>
          <t>JUROS</t>
        </is>
      </c>
      <c r="G143" s="99" t="inlineStr">
        <is>
          <t>ISAE4</t>
        </is>
      </c>
    </row>
    <row r="144">
      <c r="A144" s="101">
        <f>YEAR(DIVIDENDOS[[#This Row],[Data Pagamento]])</f>
        <v/>
      </c>
      <c r="B144" s="102" t="inlineStr">
        <is>
          <t>30/12/2025</t>
        </is>
      </c>
      <c r="C144" s="103">
        <f>IFERROR(IF(DIVIDENDOS[[#This Row],[Data Pagamento]]="","",EOMONTH(B144,0)),"")</f>
        <v/>
      </c>
      <c r="D144" s="104">
        <f>IFERROR(IF(DIVIDENDOS[[#This Row],[Data Pagamento]]="","",DIVIDENDOS[[#This Row],[Data Pagamento]]),"")</f>
        <v/>
      </c>
      <c r="E144" s="105" t="n">
        <v>0.45</v>
      </c>
      <c r="F144" s="106" t="inlineStr">
        <is>
          <t>JUROS</t>
        </is>
      </c>
      <c r="G144" s="99" t="inlineStr">
        <is>
          <t>ISAE4</t>
        </is>
      </c>
    </row>
    <row r="145">
      <c r="A145" s="101" t="n">
        <v>2026</v>
      </c>
      <c r="B145" t="inlineStr">
        <is>
          <t>13/03/2026</t>
        </is>
      </c>
      <c r="C145" s="103">
        <f>IFERROR(IF(DIVIDENDOS[[#This Row],[Data Pagamento]]="","",EOMONTH(B145,0)),"")</f>
        <v/>
      </c>
      <c r="D145" s="104">
        <f>IFERROR(IF(DIVIDENDOS[[#This Row],[Data Pagamento]]="","",DIVIDENDOS[[#This Row],[Data Pagamento]]),"")</f>
        <v/>
      </c>
      <c r="E145" s="105" t="n">
        <v>2.1</v>
      </c>
      <c r="F145" s="106" t="inlineStr">
        <is>
          <t>RENDIMENTO</t>
        </is>
      </c>
      <c r="G145" s="99" t="inlineStr">
        <is>
          <t>AAZQ11</t>
        </is>
      </c>
    </row>
    <row r="146">
      <c r="A146" s="101" t="n">
        <v>2026</v>
      </c>
      <c r="B146" t="inlineStr">
        <is>
          <t>13/02/2026</t>
        </is>
      </c>
      <c r="C146" s="103">
        <f>IFERROR(IF(DIVIDENDOS[[#This Row],[Data Pagamento]]="","",EOMONTH(B146,0)),"")</f>
        <v/>
      </c>
      <c r="D146" s="104">
        <f>IFERROR(IF(DIVIDENDOS[[#This Row],[Data Pagamento]]="","",DIVIDENDOS[[#This Row],[Data Pagamento]]),"")</f>
        <v/>
      </c>
      <c r="E146" s="105" t="n">
        <v>2.1</v>
      </c>
      <c r="F146" s="106" t="inlineStr">
        <is>
          <t>RENDIMENTO</t>
        </is>
      </c>
      <c r="G146" s="99" t="inlineStr">
        <is>
          <t>AAZQ11</t>
        </is>
      </c>
    </row>
    <row r="147">
      <c r="A147" s="101" t="n">
        <v>2026</v>
      </c>
      <c r="B147" t="inlineStr">
        <is>
          <t>15/01/2026</t>
        </is>
      </c>
      <c r="C147" s="103">
        <f>IFERROR(IF(DIVIDENDOS[[#This Row],[Data Pagamento]]="","",EOMONTH(B147,0)),"")</f>
        <v/>
      </c>
      <c r="D147" s="104">
        <f>IFERROR(IF(DIVIDENDOS[[#This Row],[Data Pagamento]]="","",DIVIDENDOS[[#This Row],[Data Pagamento]]),"")</f>
        <v/>
      </c>
      <c r="E147" s="168" t="n">
        <v>2.65</v>
      </c>
      <c r="F147" s="106" t="inlineStr">
        <is>
          <t>RENDIMENTO</t>
        </is>
      </c>
      <c r="G147" s="99" t="inlineStr">
        <is>
          <t>AAZQ11</t>
        </is>
      </c>
    </row>
    <row r="148">
      <c r="A148" s="101" t="n">
        <v>2026</v>
      </c>
      <c r="B148" t="inlineStr">
        <is>
          <t>25/02/2026</t>
        </is>
      </c>
      <c r="C148" s="103">
        <f>IFERROR(IF(DIVIDENDOS[[#This Row],[Data Pagamento]]="","",EOMONTH(B148,0)),"")</f>
        <v/>
      </c>
      <c r="D148" s="104">
        <f>IFERROR(IF(DIVIDENDOS[[#This Row],[Data Pagamento]]="","",DIVIDENDOS[[#This Row],[Data Pagamento]]),"")</f>
        <v/>
      </c>
      <c r="E148" s="98" t="n">
        <v>3.34</v>
      </c>
      <c r="F148" s="106" t="inlineStr">
        <is>
          <t>RENDIMENTO</t>
        </is>
      </c>
      <c r="G148" s="99" t="inlineStr">
        <is>
          <t>ALZR11</t>
        </is>
      </c>
    </row>
    <row r="149">
      <c r="A149" s="101" t="n">
        <v>2026</v>
      </c>
      <c r="B149" t="inlineStr">
        <is>
          <t>23/01/2026</t>
        </is>
      </c>
      <c r="C149" s="103">
        <f>IFERROR(IF(DIVIDENDOS[[#This Row],[Data Pagamento]]="","",EOMONTH(B149,0)),"")</f>
        <v/>
      </c>
      <c r="D149" s="104">
        <f>IFERROR(IF(DIVIDENDOS[[#This Row],[Data Pagamento]]="","",DIVIDENDOS[[#This Row],[Data Pagamento]]),"")</f>
        <v/>
      </c>
      <c r="E149" s="98" t="n">
        <v>3.4</v>
      </c>
      <c r="F149" s="106" t="inlineStr">
        <is>
          <t>RENDIMENTO</t>
        </is>
      </c>
      <c r="G149" s="99" t="inlineStr">
        <is>
          <t>ALZR11</t>
        </is>
      </c>
    </row>
    <row r="150">
      <c r="A150" s="101" t="n">
        <v>2026</v>
      </c>
      <c r="B150" t="inlineStr">
        <is>
          <t>06/03/2026</t>
        </is>
      </c>
      <c r="C150" s="103">
        <f>IFERROR(IF(DIVIDENDOS[[#This Row],[Data Pagamento]]="","",EOMONTH(B150,0)),"")</f>
        <v/>
      </c>
      <c r="D150" s="104">
        <f>IFERROR(IF(DIVIDENDOS[[#This Row],[Data Pagamento]]="","",DIVIDENDOS[[#This Row],[Data Pagamento]]),"")</f>
        <v/>
      </c>
      <c r="E150" s="105" t="n">
        <v>3.6</v>
      </c>
      <c r="F150" s="106" t="inlineStr">
        <is>
          <t>RENDIMENTO</t>
        </is>
      </c>
      <c r="G150" s="99" t="inlineStr">
        <is>
          <t>ARRI11</t>
        </is>
      </c>
    </row>
    <row r="151">
      <c r="A151" s="101" t="n">
        <v>2026</v>
      </c>
      <c r="B151" t="inlineStr">
        <is>
          <t>06/02/2026</t>
        </is>
      </c>
      <c r="C151" s="103">
        <f>IFERROR(IF(DIVIDENDOS[[#This Row],[Data Pagamento]]="","",EOMONTH(B151,0)),"")</f>
        <v/>
      </c>
      <c r="D151" s="104">
        <f>IFERROR(IF(DIVIDENDOS[[#This Row],[Data Pagamento]]="","",DIVIDENDOS[[#This Row],[Data Pagamento]]),"")</f>
        <v/>
      </c>
      <c r="E151" s="105" t="n">
        <v>3.6</v>
      </c>
      <c r="F151" s="106" t="inlineStr">
        <is>
          <t>RENDIMENTO</t>
        </is>
      </c>
      <c r="G151" s="99" t="inlineStr">
        <is>
          <t>ARRI11</t>
        </is>
      </c>
    </row>
    <row r="152">
      <c r="A152" s="101" t="n">
        <v>2026</v>
      </c>
      <c r="B152" t="inlineStr">
        <is>
          <t>08/01/2026</t>
        </is>
      </c>
      <c r="C152" s="103">
        <f>IFERROR(IF(DIVIDENDOS[[#This Row],[Data Pagamento]]="","",EOMONTH(B152,0)),"")</f>
        <v/>
      </c>
      <c r="D152" s="104">
        <f>IFERROR(IF(DIVIDENDOS[[#This Row],[Data Pagamento]]="","",DIVIDENDOS[[#This Row],[Data Pagamento]]),"")</f>
        <v/>
      </c>
      <c r="E152" s="105" t="n">
        <v>3.6</v>
      </c>
      <c r="F152" s="106" t="inlineStr">
        <is>
          <t>RENDIMENTO</t>
        </is>
      </c>
      <c r="G152" s="99" t="inlineStr">
        <is>
          <t>ARRI11</t>
        </is>
      </c>
    </row>
    <row r="153">
      <c r="A153" s="101" t="n">
        <v>2026</v>
      </c>
      <c r="B153" t="inlineStr">
        <is>
          <t>11/03/2026</t>
        </is>
      </c>
      <c r="C153" s="103">
        <f>IFERROR(IF(DIVIDENDOS[[#This Row],[Data Pagamento]]="","",EOMONTH(B153,0)),"")</f>
        <v/>
      </c>
      <c r="D153" s="104">
        <f>IFERROR(IF(DIVIDENDOS[[#This Row],[Data Pagamento]]="","",DIVIDENDOS[[#This Row],[Data Pagamento]]),"")</f>
        <v/>
      </c>
      <c r="E153" s="168" t="n">
        <v>0.21</v>
      </c>
      <c r="F153" s="106" t="inlineStr">
        <is>
          <t>JUROS</t>
        </is>
      </c>
      <c r="G153" s="99" t="inlineStr">
        <is>
          <t>BBAS3</t>
        </is>
      </c>
    </row>
    <row r="154">
      <c r="A154" s="101" t="n">
        <v>2026</v>
      </c>
      <c r="B154" t="inlineStr">
        <is>
          <t>05/03/2026</t>
        </is>
      </c>
      <c r="C154" s="103">
        <f>IFERROR(IF(DIVIDENDOS[[#This Row],[Data Pagamento]]="","",EOMONTH(B154,0)),"")</f>
        <v/>
      </c>
      <c r="D154" s="104">
        <f>IFERROR(IF(DIVIDENDOS[[#This Row],[Data Pagamento]]="","",DIVIDENDOS[[#This Row],[Data Pagamento]]),"")</f>
        <v/>
      </c>
      <c r="E154" s="98" t="n">
        <v>0.02</v>
      </c>
      <c r="F154" s="106" t="inlineStr">
        <is>
          <t>RENDIMENTO</t>
        </is>
      </c>
      <c r="G154" s="99" t="inlineStr">
        <is>
          <t>BBAS3</t>
        </is>
      </c>
    </row>
    <row r="155">
      <c r="A155" s="101" t="n">
        <v>2026</v>
      </c>
      <c r="B155" t="inlineStr">
        <is>
          <t>13/03/2026</t>
        </is>
      </c>
      <c r="C155" s="103">
        <f>IFERROR(IF(DIVIDENDOS[[#This Row],[Data Pagamento]]="","",EOMONTH(B155,0)),"")</f>
        <v/>
      </c>
      <c r="D155" s="104">
        <f>IFERROR(IF(DIVIDENDOS[[#This Row],[Data Pagamento]]="","",DIVIDENDOS[[#This Row],[Data Pagamento]]),"")</f>
        <v/>
      </c>
      <c r="E155" s="105" t="n">
        <v>2</v>
      </c>
      <c r="F155" s="106" t="inlineStr">
        <is>
          <t>RENDIMENTO</t>
        </is>
      </c>
      <c r="G155" s="99" t="inlineStr">
        <is>
          <t>BIDB11</t>
        </is>
      </c>
    </row>
    <row r="156">
      <c r="A156" s="101" t="n">
        <v>2026</v>
      </c>
      <c r="B156" t="inlineStr">
        <is>
          <t>13/02/2026</t>
        </is>
      </c>
      <c r="C156" s="103">
        <f>IFERROR(IF(DIVIDENDOS[[#This Row],[Data Pagamento]]="","",EOMONTH(B156,0)),"")</f>
        <v/>
      </c>
      <c r="D156" s="104">
        <f>IFERROR(IF(DIVIDENDOS[[#This Row],[Data Pagamento]]="","",DIVIDENDOS[[#This Row],[Data Pagamento]]),"")</f>
        <v/>
      </c>
      <c r="E156" s="105" t="n">
        <v>2</v>
      </c>
      <c r="F156" s="106" t="inlineStr">
        <is>
          <t>RENDIMENTO</t>
        </is>
      </c>
      <c r="G156" s="99" t="inlineStr">
        <is>
          <t>BIDB11</t>
        </is>
      </c>
    </row>
    <row r="157">
      <c r="A157" s="101" t="n">
        <v>2026</v>
      </c>
      <c r="B157" t="inlineStr">
        <is>
          <t>15/01/2026</t>
        </is>
      </c>
      <c r="C157" s="103">
        <f>IFERROR(IF(DIVIDENDOS[[#This Row],[Data Pagamento]]="","",EOMONTH(B157,0)),"")</f>
        <v/>
      </c>
      <c r="D157" s="104">
        <f>IFERROR(IF(DIVIDENDOS[[#This Row],[Data Pagamento]]="","",DIVIDENDOS[[#This Row],[Data Pagamento]]),"")</f>
        <v/>
      </c>
      <c r="E157" s="105" t="n">
        <v>2</v>
      </c>
      <c r="F157" s="106" t="inlineStr">
        <is>
          <t>RENDIMENTO</t>
        </is>
      </c>
      <c r="G157" s="99" t="inlineStr">
        <is>
          <t>BIDB11</t>
        </is>
      </c>
    </row>
    <row r="158">
      <c r="A158" s="101" t="n">
        <v>2026</v>
      </c>
      <c r="B158" t="inlineStr">
        <is>
          <t>13/03/2026</t>
        </is>
      </c>
      <c r="C158" s="103">
        <f>IFERROR(IF(DIVIDENDOS[[#This Row],[Data Pagamento]]="","",EOMONTH(B158,0)),"")</f>
        <v/>
      </c>
      <c r="D158" s="104">
        <f>IFERROR(IF(DIVIDENDOS[[#This Row],[Data Pagamento]]="","",DIVIDENDOS[[#This Row],[Data Pagamento]]),"")</f>
        <v/>
      </c>
      <c r="E158" s="105" t="n">
        <v>4.55</v>
      </c>
      <c r="F158" s="106" t="inlineStr">
        <is>
          <t>RENDIMENTO</t>
        </is>
      </c>
      <c r="G158" s="99" t="inlineStr">
        <is>
          <t>BIME11</t>
        </is>
      </c>
    </row>
    <row r="159">
      <c r="A159" s="101" t="n">
        <v>2026</v>
      </c>
      <c r="B159" t="inlineStr">
        <is>
          <t>13/02/2026</t>
        </is>
      </c>
      <c r="C159" s="103">
        <f>IFERROR(IF(DIVIDENDOS[[#This Row],[Data Pagamento]]="","",EOMONTH(B159,0)),"")</f>
        <v/>
      </c>
      <c r="D159" s="104">
        <f>IFERROR(IF(DIVIDENDOS[[#This Row],[Data Pagamento]]="","",DIVIDENDOS[[#This Row],[Data Pagamento]]),"")</f>
        <v/>
      </c>
      <c r="E159" s="98" t="n">
        <v>5.2</v>
      </c>
      <c r="F159" s="106" t="inlineStr">
        <is>
          <t>RENDIMENTO</t>
        </is>
      </c>
      <c r="G159" s="99" t="inlineStr">
        <is>
          <t>BIME11</t>
        </is>
      </c>
    </row>
    <row r="160">
      <c r="A160" s="101" t="n">
        <v>2026</v>
      </c>
      <c r="B160" t="inlineStr">
        <is>
          <t>15/01/2026</t>
        </is>
      </c>
      <c r="C160" s="103">
        <f>IFERROR(IF(DIVIDENDOS[[#This Row],[Data Pagamento]]="","",EOMONTH(B160,0)),"")</f>
        <v/>
      </c>
      <c r="D160" s="104">
        <f>IFERROR(IF(DIVIDENDOS[[#This Row],[Data Pagamento]]="","",DIVIDENDOS[[#This Row],[Data Pagamento]]),"")</f>
        <v/>
      </c>
      <c r="E160" s="105" t="n">
        <v>5.2</v>
      </c>
      <c r="F160" s="106" t="inlineStr">
        <is>
          <t>RENDIMENTO</t>
        </is>
      </c>
      <c r="G160" s="99" t="inlineStr">
        <is>
          <t>BIME11</t>
        </is>
      </c>
    </row>
    <row r="161">
      <c r="A161" s="101" t="n">
        <v>2026</v>
      </c>
      <c r="B161" t="inlineStr">
        <is>
          <t>13/03/2026</t>
        </is>
      </c>
      <c r="C161" s="103">
        <f>IFERROR(IF(DIVIDENDOS[[#This Row],[Data Pagamento]]="","",EOMONTH(B161,0)),"")</f>
        <v/>
      </c>
      <c r="D161" s="104">
        <f>IFERROR(IF(DIVIDENDOS[[#This Row],[Data Pagamento]]="","",DIVIDENDOS[[#This Row],[Data Pagamento]]),"")</f>
        <v/>
      </c>
      <c r="E161" s="105" t="n">
        <v>1.01</v>
      </c>
      <c r="F161" s="106" t="inlineStr">
        <is>
          <t>RENDIMENTO</t>
        </is>
      </c>
      <c r="G161" s="99" t="inlineStr">
        <is>
          <t>BTHF11</t>
        </is>
      </c>
    </row>
    <row r="162">
      <c r="A162" s="101" t="n">
        <v>2026</v>
      </c>
      <c r="B162" t="inlineStr">
        <is>
          <t>13/02/2026</t>
        </is>
      </c>
      <c r="C162" s="103">
        <f>IFERROR(IF(DIVIDENDOS[[#This Row],[Data Pagamento]]="","",EOMONTH(B162,0)),"")</f>
        <v/>
      </c>
      <c r="D162" s="104">
        <f>IFERROR(IF(DIVIDENDOS[[#This Row],[Data Pagamento]]="","",DIVIDENDOS[[#This Row],[Data Pagamento]]),"")</f>
        <v/>
      </c>
      <c r="E162" s="105" t="n">
        <v>1.01</v>
      </c>
      <c r="F162" s="106" t="inlineStr">
        <is>
          <t>RENDIMENTO</t>
        </is>
      </c>
      <c r="G162" s="99" t="inlineStr">
        <is>
          <t>BTHF11</t>
        </is>
      </c>
    </row>
    <row r="163">
      <c r="A163" s="101" t="n">
        <v>2026</v>
      </c>
      <c r="B163" t="inlineStr">
        <is>
          <t>15/01/2026</t>
        </is>
      </c>
      <c r="C163" s="103">
        <f>IFERROR(IF(DIVIDENDOS[[#This Row],[Data Pagamento]]="","",EOMONTH(B163,0)),"")</f>
        <v/>
      </c>
      <c r="D163" s="104">
        <f>IFERROR(IF(DIVIDENDOS[[#This Row],[Data Pagamento]]="","",DIVIDENDOS[[#This Row],[Data Pagamento]]),"")</f>
        <v/>
      </c>
      <c r="E163" s="98" t="n">
        <v>1.06</v>
      </c>
      <c r="F163" s="106" t="inlineStr">
        <is>
          <t>RENDIMENTO</t>
        </is>
      </c>
      <c r="G163" s="99" t="inlineStr">
        <is>
          <t>BTHF11</t>
        </is>
      </c>
    </row>
    <row r="164">
      <c r="A164" s="101" t="n">
        <v>2026</v>
      </c>
      <c r="B164" t="inlineStr">
        <is>
          <t>26/02/2026</t>
        </is>
      </c>
      <c r="C164" s="103">
        <f>IFERROR(IF(DIVIDENDOS[[#This Row],[Data Pagamento]]="","",EOMONTH(B164,0)),"")</f>
        <v/>
      </c>
      <c r="D164" s="104">
        <f>IFERROR(IF(DIVIDENDOS[[#This Row],[Data Pagamento]]="","",DIVIDENDOS[[#This Row],[Data Pagamento]]),"")</f>
        <v/>
      </c>
      <c r="E164" s="168" t="n">
        <v>5.5</v>
      </c>
      <c r="F164" s="106" t="inlineStr">
        <is>
          <t>RENDIMENTO</t>
        </is>
      </c>
      <c r="G164" s="99" t="inlineStr">
        <is>
          <t>CPSH11</t>
        </is>
      </c>
    </row>
    <row r="165">
      <c r="A165" s="101" t="n">
        <v>2026</v>
      </c>
      <c r="B165" t="inlineStr">
        <is>
          <t>26/01/2026</t>
        </is>
      </c>
      <c r="C165" s="103">
        <f>IFERROR(IF(DIVIDENDOS[[#This Row],[Data Pagamento]]="","",EOMONTH(B165,0)),"")</f>
        <v/>
      </c>
      <c r="D165" s="104">
        <f>IFERROR(IF(DIVIDENDOS[[#This Row],[Data Pagamento]]="","",DIVIDENDOS[[#This Row],[Data Pagamento]]),"")</f>
        <v/>
      </c>
      <c r="E165" s="98" t="n">
        <v>5.5</v>
      </c>
      <c r="F165" s="106" t="inlineStr">
        <is>
          <t>RENDIMENTO</t>
        </is>
      </c>
      <c r="G165" s="99" t="inlineStr">
        <is>
          <t>CPSH11</t>
        </is>
      </c>
    </row>
    <row r="166">
      <c r="A166" s="101" t="n">
        <v>2026</v>
      </c>
      <c r="B166" t="inlineStr">
        <is>
          <t>18/03/2026</t>
        </is>
      </c>
      <c r="C166" s="103">
        <f>IFERROR(IF(DIVIDENDOS[[#This Row],[Data Pagamento]]="","",EOMONTH(B166,0)),"")</f>
        <v/>
      </c>
      <c r="D166" s="104">
        <f>IFERROR(IF(DIVIDENDOS[[#This Row],[Data Pagamento]]="","",DIVIDENDOS[[#This Row],[Data Pagamento]]),"")</f>
        <v/>
      </c>
      <c r="E166" s="98" t="n">
        <v>2.7</v>
      </c>
      <c r="F166" s="106" t="inlineStr">
        <is>
          <t>RENDIMENTO</t>
        </is>
      </c>
      <c r="G166" s="99" t="inlineStr">
        <is>
          <t>CPTS11</t>
        </is>
      </c>
    </row>
    <row r="167">
      <c r="A167" s="101" t="n">
        <v>2026</v>
      </c>
      <c r="B167" t="inlineStr">
        <is>
          <t>20/02/2026</t>
        </is>
      </c>
      <c r="C167" s="103">
        <f>IFERROR(IF(DIVIDENDOS[[#This Row],[Data Pagamento]]="","",EOMONTH(B167,0)),"")</f>
        <v/>
      </c>
      <c r="D167" s="104">
        <f>IFERROR(IF(DIVIDENDOS[[#This Row],[Data Pagamento]]="","",DIVIDENDOS[[#This Row],[Data Pagamento]]),"")</f>
        <v/>
      </c>
      <c r="E167" s="98" t="n">
        <v>2.7</v>
      </c>
      <c r="F167" s="106" t="inlineStr">
        <is>
          <t>RENDIMENTO</t>
        </is>
      </c>
      <c r="G167" s="99" t="inlineStr">
        <is>
          <t>CPTS11</t>
        </is>
      </c>
    </row>
    <row r="168">
      <c r="A168" s="101" t="n">
        <v>2026</v>
      </c>
      <c r="B168" t="inlineStr">
        <is>
          <t>20/01/2026</t>
        </is>
      </c>
      <c r="C168" s="103">
        <f>IFERROR(IF(DIVIDENDOS[[#This Row],[Data Pagamento]]="","",EOMONTH(B168,0)),"")</f>
        <v/>
      </c>
      <c r="D168" s="104">
        <f>IFERROR(IF(DIVIDENDOS[[#This Row],[Data Pagamento]]="","",DIVIDENDOS[[#This Row],[Data Pagamento]]),"")</f>
        <v/>
      </c>
      <c r="E168" s="98" t="n">
        <v>2.7</v>
      </c>
      <c r="F168" s="106" t="inlineStr">
        <is>
          <t>RENDIMENTO</t>
        </is>
      </c>
      <c r="G168" t="inlineStr">
        <is>
          <t>CPTS11</t>
        </is>
      </c>
    </row>
    <row r="169">
      <c r="A169" s="101" t="n">
        <v>2026</v>
      </c>
      <c r="B169" t="inlineStr">
        <is>
          <t>16/01/2026</t>
        </is>
      </c>
      <c r="C169" s="103">
        <f>IFERROR(IF(DIVIDENDOS[[#This Row],[Data Pagamento]]="","",EOMONTH(B169,0)),"")</f>
        <v/>
      </c>
      <c r="D169" s="104">
        <f>IFERROR(IF(DIVIDENDOS[[#This Row],[Data Pagamento]]="","",DIVIDENDOS[[#This Row],[Data Pagamento]]),"")</f>
        <v/>
      </c>
      <c r="E169" s="105" t="n">
        <v>0.7</v>
      </c>
      <c r="F169" s="106" t="inlineStr">
        <is>
          <t>RENDIMENTO</t>
        </is>
      </c>
      <c r="G169" s="99" t="inlineStr">
        <is>
          <t>CXSE3</t>
        </is>
      </c>
    </row>
    <row r="170">
      <c r="A170" s="101" t="n">
        <v>2026</v>
      </c>
      <c r="B170" t="inlineStr">
        <is>
          <t>13/03/2026</t>
        </is>
      </c>
      <c r="C170" s="103">
        <f>IFERROR(IF(DIVIDENDOS[[#This Row],[Data Pagamento]]="","",EOMONTH(B170,0)),"")</f>
        <v/>
      </c>
      <c r="D170" s="104">
        <f>IFERROR(IF(DIVIDENDOS[[#This Row],[Data Pagamento]]="","",DIVIDENDOS[[#This Row],[Data Pagamento]]),"")</f>
        <v/>
      </c>
      <c r="E170" s="105" t="n">
        <v>3.9</v>
      </c>
      <c r="F170" s="106" t="inlineStr">
        <is>
          <t>RENDIMENTO</t>
        </is>
      </c>
      <c r="G170" s="99" t="inlineStr">
        <is>
          <t>DEVA11</t>
        </is>
      </c>
    </row>
    <row r="171">
      <c r="A171" s="101" t="n">
        <v>2026</v>
      </c>
      <c r="B171" t="inlineStr">
        <is>
          <t>13/02/2026</t>
        </is>
      </c>
      <c r="C171" s="103">
        <f>IFERROR(IF(DIVIDENDOS[[#This Row],[Data Pagamento]]="","",EOMONTH(B171,0)),"")</f>
        <v/>
      </c>
      <c r="D171" s="104">
        <f>IFERROR(IF(DIVIDENDOS[[#This Row],[Data Pagamento]]="","",DIVIDENDOS[[#This Row],[Data Pagamento]]),"")</f>
        <v/>
      </c>
      <c r="E171" s="105" t="n">
        <v>3.9</v>
      </c>
      <c r="F171" s="106" t="inlineStr">
        <is>
          <t>RENDIMENTO</t>
        </is>
      </c>
      <c r="G171" s="99" t="inlineStr">
        <is>
          <t>DEVA11</t>
        </is>
      </c>
    </row>
    <row r="172">
      <c r="A172" s="101" t="n">
        <v>2026</v>
      </c>
      <c r="B172" t="inlineStr">
        <is>
          <t>15/01/2026</t>
        </is>
      </c>
      <c r="C172" s="103">
        <f>IFERROR(IF(DIVIDENDOS[[#This Row],[Data Pagamento]]="","",EOMONTH(B172,0)),"")</f>
        <v/>
      </c>
      <c r="D172" s="104">
        <f>IFERROR(IF(DIVIDENDOS[[#This Row],[Data Pagamento]]="","",DIVIDENDOS[[#This Row],[Data Pagamento]]),"")</f>
        <v/>
      </c>
      <c r="E172" s="105" t="n">
        <v>5.2</v>
      </c>
      <c r="F172" s="106" t="inlineStr">
        <is>
          <t>RENDIMENTO</t>
        </is>
      </c>
      <c r="G172" s="99" t="inlineStr">
        <is>
          <t>DEVA11</t>
        </is>
      </c>
    </row>
    <row r="173">
      <c r="A173" s="101" t="n">
        <v>2026</v>
      </c>
      <c r="B173" t="inlineStr">
        <is>
          <t>27/02/2026</t>
        </is>
      </c>
      <c r="C173" s="103">
        <f>IFERROR(IF(DIVIDENDOS[[#This Row],[Data Pagamento]]="","",EOMONTH(B173,0)),"")</f>
        <v/>
      </c>
      <c r="D173" s="104">
        <f>IFERROR(IF(DIVIDENDOS[[#This Row],[Data Pagamento]]="","",DIVIDENDOS[[#This Row],[Data Pagamento]]),"")</f>
        <v/>
      </c>
      <c r="E173" s="105" t="n">
        <v>3</v>
      </c>
      <c r="F173" s="106" t="inlineStr">
        <is>
          <t>RENDIMENTO</t>
        </is>
      </c>
      <c r="G173" s="99" t="inlineStr">
        <is>
          <t>EQIR11</t>
        </is>
      </c>
    </row>
    <row r="174">
      <c r="A174" s="101" t="n">
        <v>2026</v>
      </c>
      <c r="B174" t="inlineStr">
        <is>
          <t>27/01/2026</t>
        </is>
      </c>
      <c r="C174" s="103">
        <f>IFERROR(IF(DIVIDENDOS[[#This Row],[Data Pagamento]]="","",EOMONTH(B174,0)),"")</f>
        <v/>
      </c>
      <c r="D174" s="104">
        <f>IFERROR(IF(DIVIDENDOS[[#This Row],[Data Pagamento]]="","",DIVIDENDOS[[#This Row],[Data Pagamento]]),"")</f>
        <v/>
      </c>
      <c r="E174" s="105" t="n">
        <v>3</v>
      </c>
      <c r="F174" s="106" t="inlineStr">
        <is>
          <t>RENDIMENTO</t>
        </is>
      </c>
      <c r="G174" s="99" t="inlineStr">
        <is>
          <t>EQIR11</t>
        </is>
      </c>
    </row>
    <row r="175">
      <c r="A175" s="101" t="n">
        <v>2026</v>
      </c>
      <c r="B175" t="inlineStr">
        <is>
          <t>13/03/2026</t>
        </is>
      </c>
      <c r="C175" s="103">
        <f>IFERROR(IF(DIVIDENDOS[[#This Row],[Data Pagamento]]="","",EOMONTH(B175,0)),"")</f>
        <v/>
      </c>
      <c r="D175" s="104">
        <f>IFERROR(IF(DIVIDENDOS[[#This Row],[Data Pagamento]]="","",DIVIDENDOS[[#This Row],[Data Pagamento]]),"")</f>
        <v/>
      </c>
      <c r="E175" s="105" t="n">
        <v>4</v>
      </c>
      <c r="F175" s="108" t="inlineStr">
        <is>
          <t>RENDIMENTO</t>
        </is>
      </c>
      <c r="G175" s="99" t="inlineStr">
        <is>
          <t>FYTO11</t>
        </is>
      </c>
    </row>
    <row r="176">
      <c r="A176" s="101" t="n">
        <v>2026</v>
      </c>
      <c r="B176" t="inlineStr">
        <is>
          <t>13/02/2026</t>
        </is>
      </c>
      <c r="C176" s="103">
        <f>IFERROR(IF(DIVIDENDOS[[#This Row],[Data Pagamento]]="","",EOMONTH(B176,0)),"")</f>
        <v/>
      </c>
      <c r="D176" s="104">
        <f>IFERROR(IF(DIVIDENDOS[[#This Row],[Data Pagamento]]="","",DIVIDENDOS[[#This Row],[Data Pagamento]]),"")</f>
        <v/>
      </c>
      <c r="E176" s="98" t="n">
        <v>5.35</v>
      </c>
      <c r="F176" s="106" t="inlineStr">
        <is>
          <t>RENDIMENTO</t>
        </is>
      </c>
      <c r="G176" s="99" t="inlineStr">
        <is>
          <t>FYTO11</t>
        </is>
      </c>
    </row>
    <row r="177">
      <c r="A177" s="101" t="n">
        <v>2026</v>
      </c>
      <c r="B177" t="inlineStr">
        <is>
          <t>15/01/2026</t>
        </is>
      </c>
      <c r="C177" s="103">
        <f>IFERROR(IF(DIVIDENDOS[[#This Row],[Data Pagamento]]="","",EOMONTH(B177,0)),"")</f>
        <v/>
      </c>
      <c r="D177" s="104">
        <f>IFERROR(IF(DIVIDENDOS[[#This Row],[Data Pagamento]]="","",DIVIDENDOS[[#This Row],[Data Pagamento]]),"")</f>
        <v/>
      </c>
      <c r="E177" s="98" t="n">
        <v>5.5</v>
      </c>
      <c r="F177" s="106" t="inlineStr">
        <is>
          <t>RENDIMENTO</t>
        </is>
      </c>
      <c r="G177" s="99" t="inlineStr">
        <is>
          <t>FYTO11</t>
        </is>
      </c>
    </row>
    <row r="178">
      <c r="A178" s="101" t="n">
        <v>2026</v>
      </c>
      <c r="B178" t="inlineStr">
        <is>
          <t>06/03/2026</t>
        </is>
      </c>
      <c r="C178" s="103">
        <f>IFERROR(IF(DIVIDENDOS[[#This Row],[Data Pagamento]]="","",EOMONTH(B178,0)),"")</f>
        <v/>
      </c>
      <c r="D178" s="104">
        <f>IFERROR(IF(DIVIDENDOS[[#This Row],[Data Pagamento]]="","",DIVIDENDOS[[#This Row],[Data Pagamento]]),"")</f>
        <v/>
      </c>
      <c r="E178" s="98" t="n">
        <v>4.23</v>
      </c>
      <c r="F178" s="108" t="inlineStr">
        <is>
          <t>RENDIMENTO</t>
        </is>
      </c>
      <c r="G178" s="99" t="inlineStr">
        <is>
          <t>GARE11</t>
        </is>
      </c>
    </row>
    <row r="179">
      <c r="A179" s="101" t="n">
        <v>2026</v>
      </c>
      <c r="B179" t="inlineStr">
        <is>
          <t>06/02/2026</t>
        </is>
      </c>
      <c r="C179" s="103">
        <f>IFERROR(IF(DIVIDENDOS[[#This Row],[Data Pagamento]]="","",EOMONTH(B179,0)),"")</f>
        <v/>
      </c>
      <c r="D179" s="104">
        <f>IFERROR(IF(DIVIDENDOS[[#This Row],[Data Pagamento]]="","",DIVIDENDOS[[#This Row],[Data Pagamento]]),"")</f>
        <v/>
      </c>
      <c r="E179" s="98" t="n">
        <v>4.23</v>
      </c>
      <c r="F179" s="108" t="inlineStr">
        <is>
          <t>RENDIMENTO</t>
        </is>
      </c>
      <c r="G179" s="99" t="inlineStr">
        <is>
          <t>GARE11</t>
        </is>
      </c>
    </row>
    <row r="180">
      <c r="A180" s="101" t="n">
        <v>2026</v>
      </c>
      <c r="B180" t="inlineStr">
        <is>
          <t>08/01/2026</t>
        </is>
      </c>
      <c r="C180" s="103">
        <f>IFERROR(IF(DIVIDENDOS[[#This Row],[Data Pagamento]]="","",EOMONTH(B180,0)),"")</f>
        <v/>
      </c>
      <c r="D180" s="104">
        <f>IFERROR(IF(DIVIDENDOS[[#This Row],[Data Pagamento]]="","",DIVIDENDOS[[#This Row],[Data Pagamento]]),"")</f>
        <v/>
      </c>
      <c r="E180" s="105" t="n">
        <v>4.23</v>
      </c>
      <c r="F180" s="106" t="inlineStr">
        <is>
          <t>RENDIMENTO</t>
        </is>
      </c>
      <c r="G180" s="109" t="inlineStr">
        <is>
          <t>GARE11</t>
        </is>
      </c>
    </row>
    <row r="181">
      <c r="A181" s="101" t="n">
        <v>2026</v>
      </c>
      <c r="B181" t="inlineStr">
        <is>
          <t>13/03/2026</t>
        </is>
      </c>
      <c r="C181" s="103">
        <f>IFERROR(IF(DIVIDENDOS[[#This Row],[Data Pagamento]]="","",EOMONTH(B181,0)),"")</f>
        <v/>
      </c>
      <c r="D181" s="104">
        <f>IFERROR(IF(DIVIDENDOS[[#This Row],[Data Pagamento]]="","",DIVIDENDOS[[#This Row],[Data Pagamento]]),"")</f>
        <v/>
      </c>
      <c r="E181" s="105" t="n">
        <v>1.51</v>
      </c>
      <c r="F181" s="106" t="inlineStr">
        <is>
          <t>RENDIMENTO</t>
        </is>
      </c>
      <c r="G181" s="109" t="inlineStr">
        <is>
          <t>HGBL11</t>
        </is>
      </c>
    </row>
    <row r="182">
      <c r="A182" s="101" t="n">
        <v>2026</v>
      </c>
      <c r="B182" t="inlineStr">
        <is>
          <t>13/02/2026</t>
        </is>
      </c>
      <c r="C182" s="103">
        <f>IFERROR(IF(DIVIDENDOS[[#This Row],[Data Pagamento]]="","",EOMONTH(B182,0)),"")</f>
        <v/>
      </c>
      <c r="D182" s="104">
        <f>IFERROR(IF(DIVIDENDOS[[#This Row],[Data Pagamento]]="","",DIVIDENDOS[[#This Row],[Data Pagamento]]),"")</f>
        <v/>
      </c>
      <c r="E182" s="105" t="n">
        <v>1.51</v>
      </c>
      <c r="F182" s="106" t="inlineStr">
        <is>
          <t>RENDIMENTO</t>
        </is>
      </c>
      <c r="G182" s="109" t="inlineStr">
        <is>
          <t>HGBL11</t>
        </is>
      </c>
    </row>
    <row r="183">
      <c r="A183" s="101" t="n">
        <v>2026</v>
      </c>
      <c r="B183" t="inlineStr">
        <is>
          <t>15/01/2026</t>
        </is>
      </c>
      <c r="C183" s="103">
        <f>IFERROR(IF(DIVIDENDOS[[#This Row],[Data Pagamento]]="","",EOMONTH(B183,0)),"")</f>
        <v/>
      </c>
      <c r="D183" s="104">
        <f>IFERROR(IF(DIVIDENDOS[[#This Row],[Data Pagamento]]="","",DIVIDENDOS[[#This Row],[Data Pagamento]]),"")</f>
        <v/>
      </c>
      <c r="E183" s="105" t="n">
        <v>1.76</v>
      </c>
      <c r="F183" s="106" t="inlineStr">
        <is>
          <t>RENDIMENTO</t>
        </is>
      </c>
      <c r="G183" s="99" t="inlineStr">
        <is>
          <t>HGBL11</t>
        </is>
      </c>
    </row>
    <row r="184">
      <c r="A184" s="101" t="n">
        <v>2026</v>
      </c>
      <c r="B184" t="inlineStr">
        <is>
          <t>13/03/2026</t>
        </is>
      </c>
      <c r="C184" s="103">
        <f>IFERROR(IF(DIVIDENDOS[[#This Row],[Data Pagamento]]="","",EOMONTH(B184,0)),"")</f>
        <v/>
      </c>
      <c r="D184" s="104">
        <f>IFERROR(IF(DIVIDENDOS[[#This Row],[Data Pagamento]]="","",DIVIDENDOS[[#This Row],[Data Pagamento]]),"")</f>
        <v/>
      </c>
      <c r="E184" s="105" t="n">
        <v>1.2</v>
      </c>
      <c r="F184" s="106" t="inlineStr">
        <is>
          <t>RENDIMENTO</t>
        </is>
      </c>
      <c r="G184" s="99" t="inlineStr">
        <is>
          <t>INLG11</t>
        </is>
      </c>
    </row>
    <row r="185">
      <c r="A185" s="101" t="n">
        <v>2026</v>
      </c>
      <c r="B185" t="inlineStr">
        <is>
          <t>13/02/2026</t>
        </is>
      </c>
      <c r="C185" s="103">
        <f>IFERROR(IF(DIVIDENDOS[[#This Row],[Data Pagamento]]="","",EOMONTH(B185,0)),"")</f>
        <v/>
      </c>
      <c r="D185" s="104">
        <f>IFERROR(IF(DIVIDENDOS[[#This Row],[Data Pagamento]]="","",DIVIDENDOS[[#This Row],[Data Pagamento]]),"")</f>
        <v/>
      </c>
      <c r="E185" s="105" t="n">
        <v>1.2</v>
      </c>
      <c r="F185" s="106" t="inlineStr">
        <is>
          <t>RENDIMENTO</t>
        </is>
      </c>
      <c r="G185" s="99" t="inlineStr">
        <is>
          <t>INLG11</t>
        </is>
      </c>
    </row>
    <row r="186">
      <c r="A186" s="101" t="n">
        <v>2026</v>
      </c>
      <c r="B186" t="inlineStr">
        <is>
          <t>15/01/2026</t>
        </is>
      </c>
      <c r="C186" s="103">
        <f>IFERROR(IF(DIVIDENDOS[[#This Row],[Data Pagamento]]="","",EOMONTH(B186,0)),"")</f>
        <v/>
      </c>
      <c r="D186" s="104">
        <f>IFERROR(IF(DIVIDENDOS[[#This Row],[Data Pagamento]]="","",DIVIDENDOS[[#This Row],[Data Pagamento]]),"")</f>
        <v/>
      </c>
      <c r="E186" s="105" t="n">
        <v>1.52</v>
      </c>
      <c r="F186" s="106" t="inlineStr">
        <is>
          <t>RENDIMENTO</t>
        </is>
      </c>
      <c r="G186" s="99" t="inlineStr">
        <is>
          <t>INLG11</t>
        </is>
      </c>
    </row>
    <row r="187">
      <c r="A187" s="101" t="n">
        <v>2026</v>
      </c>
      <c r="B187" t="inlineStr">
        <is>
          <t>17/03/2026</t>
        </is>
      </c>
      <c r="C187" s="103">
        <f>IFERROR(IF(DIVIDENDOS[[#This Row],[Data Pagamento]]="","",EOMONTH(B187,0)),"")</f>
        <v/>
      </c>
      <c r="D187" s="104">
        <f>IFERROR(IF(DIVIDENDOS[[#This Row],[Data Pagamento]]="","",DIVIDENDOS[[#This Row],[Data Pagamento]]),"")</f>
        <v/>
      </c>
      <c r="E187" s="98" t="n">
        <v>2.4</v>
      </c>
      <c r="F187" s="106" t="inlineStr">
        <is>
          <t>RENDIMENTO</t>
        </is>
      </c>
      <c r="G187" s="99" t="inlineStr">
        <is>
          <t>IRIM11</t>
        </is>
      </c>
    </row>
    <row r="188">
      <c r="A188" s="101" t="n">
        <v>2026</v>
      </c>
      <c r="B188" t="inlineStr">
        <is>
          <t>19/02/2026</t>
        </is>
      </c>
      <c r="C188" s="103">
        <f>IFERROR(IF(DIVIDENDOS[[#This Row],[Data Pagamento]]="","",EOMONTH(B188,0)),"")</f>
        <v/>
      </c>
      <c r="D188" s="104">
        <f>IFERROR(IF(DIVIDENDOS[[#This Row],[Data Pagamento]]="","",DIVIDENDOS[[#This Row],[Data Pagamento]]),"")</f>
        <v/>
      </c>
      <c r="E188" s="168" t="n">
        <v>2.07</v>
      </c>
      <c r="F188" s="100" t="inlineStr">
        <is>
          <t>RENDIMENTO</t>
        </is>
      </c>
      <c r="G188" s="99" t="inlineStr">
        <is>
          <t>IRIM11</t>
        </is>
      </c>
    </row>
    <row r="189">
      <c r="A189" s="101" t="n">
        <v>2026</v>
      </c>
      <c r="B189" t="inlineStr">
        <is>
          <t>19/01/2026</t>
        </is>
      </c>
      <c r="C189" s="103">
        <f>IFERROR(IF(DIVIDENDOS[[#This Row],[Data Pagamento]]="","",EOMONTH(B189,0)),"")</f>
        <v/>
      </c>
      <c r="D189" s="104">
        <f>IFERROR(IF(DIVIDENDOS[[#This Row],[Data Pagamento]]="","",DIVIDENDOS[[#This Row],[Data Pagamento]]),"")</f>
        <v/>
      </c>
      <c r="E189" s="168" t="n">
        <v>2.67</v>
      </c>
      <c r="F189" s="106" t="inlineStr">
        <is>
          <t>RENDIMENTO</t>
        </is>
      </c>
      <c r="G189" s="99" t="inlineStr">
        <is>
          <t>IRIM11</t>
        </is>
      </c>
    </row>
    <row r="190">
      <c r="A190" s="101" t="n">
        <v>2026</v>
      </c>
      <c r="B190" t="inlineStr">
        <is>
          <t>25/02/2026</t>
        </is>
      </c>
      <c r="C190" s="103">
        <f>IFERROR(IF(DIVIDENDOS[[#This Row],[Data Pagamento]]="","",EOMONTH(B190,0)),"")</f>
        <v/>
      </c>
      <c r="D190" s="104">
        <f>IFERROR(IF(DIVIDENDOS[[#This Row],[Data Pagamento]]="","",DIVIDENDOS[[#This Row],[Data Pagamento]]),"")</f>
        <v/>
      </c>
      <c r="E190" s="168" t="n">
        <v>0.5</v>
      </c>
      <c r="F190" s="106" t="inlineStr">
        <is>
          <t>JUROS</t>
        </is>
      </c>
      <c r="G190" s="99" t="inlineStr">
        <is>
          <t>ISAE4</t>
        </is>
      </c>
    </row>
    <row r="191">
      <c r="A191" s="101" t="n">
        <v>2026</v>
      </c>
      <c r="B191" t="inlineStr">
        <is>
          <t>28/01/2026</t>
        </is>
      </c>
      <c r="C191" s="103">
        <f>IFERROR(IF(DIVIDENDOS[[#This Row],[Data Pagamento]]="","",EOMONTH(B191,0)),"")</f>
        <v/>
      </c>
      <c r="D191" s="104">
        <f>IFERROR(IF(DIVIDENDOS[[#This Row],[Data Pagamento]]="","",DIVIDENDOS[[#This Row],[Data Pagamento]]),"")</f>
        <v/>
      </c>
      <c r="E191" s="105" t="n">
        <v>0.5</v>
      </c>
      <c r="F191" s="106" t="inlineStr">
        <is>
          <t>JUROS</t>
        </is>
      </c>
      <c r="G191" s="99" t="inlineStr">
        <is>
          <t>ISAE4</t>
        </is>
      </c>
    </row>
    <row r="192">
      <c r="A192" s="101" t="n">
        <v>2026</v>
      </c>
      <c r="B192" t="inlineStr">
        <is>
          <t>02/03/2026</t>
        </is>
      </c>
      <c r="C192" s="103">
        <f>IFERROR(IF(DIVIDENDOS[[#This Row],[Data Pagamento]]="","",EOMONTH(B192,0)),"")</f>
        <v/>
      </c>
      <c r="D192" s="104">
        <f>IFERROR(IF(DIVIDENDOS[[#This Row],[Data Pagamento]]="","",DIVIDENDOS[[#This Row],[Data Pagamento]]),"")</f>
        <v/>
      </c>
      <c r="E192" s="105" t="n">
        <v>0.04</v>
      </c>
      <c r="F192" s="106" t="inlineStr">
        <is>
          <t>JUROS</t>
        </is>
      </c>
      <c r="G192" s="99" t="inlineStr">
        <is>
          <t>ITUB4</t>
        </is>
      </c>
    </row>
    <row r="193">
      <c r="A193" s="101" t="n">
        <v>2026</v>
      </c>
      <c r="B193" t="inlineStr">
        <is>
          <t>16/03/2026</t>
        </is>
      </c>
      <c r="C193" s="103">
        <f>IFERROR(IF(DIVIDENDOS[[#This Row],[Data Pagamento]]="","",EOMONTH(B193,0)),"")</f>
        <v/>
      </c>
      <c r="D193" s="104">
        <f>IFERROR(IF(DIVIDENDOS[[#This Row],[Data Pagamento]]="","",DIVIDENDOS[[#This Row],[Data Pagamento]]),"")</f>
        <v/>
      </c>
      <c r="E193" s="105" t="n">
        <v>1.4</v>
      </c>
      <c r="F193" s="106" t="inlineStr">
        <is>
          <t>RENDIMENTO</t>
        </is>
      </c>
      <c r="G193" s="99" t="inlineStr">
        <is>
          <t>KISU11</t>
        </is>
      </c>
    </row>
    <row r="194">
      <c r="A194" s="101" t="n">
        <v>2026</v>
      </c>
      <c r="B194" t="inlineStr">
        <is>
          <t>18/02/2026</t>
        </is>
      </c>
      <c r="C194" s="103">
        <f>IFERROR(IF(DIVIDENDOS[[#This Row],[Data Pagamento]]="","",EOMONTH(B194,0)),"")</f>
        <v/>
      </c>
      <c r="D194" s="104">
        <f>IFERROR(IF(DIVIDENDOS[[#This Row],[Data Pagamento]]="","",DIVIDENDOS[[#This Row],[Data Pagamento]]),"")</f>
        <v/>
      </c>
      <c r="E194" s="105" t="n">
        <v>1.4</v>
      </c>
      <c r="F194" s="106" t="inlineStr">
        <is>
          <t>RENDIMENTO</t>
        </is>
      </c>
      <c r="G194" s="99" t="inlineStr">
        <is>
          <t>KISU11</t>
        </is>
      </c>
    </row>
    <row r="195">
      <c r="A195" s="101" t="n">
        <v>2026</v>
      </c>
      <c r="B195" t="inlineStr">
        <is>
          <t>15/01/2026</t>
        </is>
      </c>
      <c r="C195" s="103">
        <f>IFERROR(IF(DIVIDENDOS[[#This Row],[Data Pagamento]]="","",EOMONTH(B195,0)),"")</f>
        <v/>
      </c>
      <c r="D195" s="104">
        <f>IFERROR(IF(DIVIDENDOS[[#This Row],[Data Pagamento]]="","",DIVIDENDOS[[#This Row],[Data Pagamento]]),"")</f>
        <v/>
      </c>
      <c r="E195" s="105" t="n">
        <v>1.4</v>
      </c>
      <c r="F195" s="106" t="inlineStr">
        <is>
          <t>RENDIMENTO</t>
        </is>
      </c>
      <c r="G195" s="99" t="inlineStr">
        <is>
          <t>KISU11</t>
        </is>
      </c>
    </row>
    <row r="196">
      <c r="A196" s="101" t="n">
        <v>2026</v>
      </c>
      <c r="B196" t="inlineStr">
        <is>
          <t>06/03/2026</t>
        </is>
      </c>
      <c r="C196" s="103">
        <f>IFERROR(IF(DIVIDENDOS[[#This Row],[Data Pagamento]]="","",EOMONTH(B196,0)),"")</f>
        <v/>
      </c>
      <c r="D196" s="104">
        <f>IFERROR(IF(DIVIDENDOS[[#This Row],[Data Pagamento]]="","",DIVIDENDOS[[#This Row],[Data Pagamento]]),"")</f>
        <v/>
      </c>
      <c r="E196" s="105" t="n">
        <v>6</v>
      </c>
      <c r="F196" s="106" t="inlineStr">
        <is>
          <t>RENDIMENTO</t>
        </is>
      </c>
      <c r="G196" s="99" t="inlineStr">
        <is>
          <t>LIFE11</t>
        </is>
      </c>
    </row>
    <row r="197">
      <c r="A197" s="101" t="n">
        <v>2026</v>
      </c>
      <c r="B197" t="inlineStr">
        <is>
          <t>06/02/2026</t>
        </is>
      </c>
      <c r="C197" s="103">
        <f>IFERROR(IF(DIVIDENDOS[[#This Row],[Data Pagamento]]="","",EOMONTH(B197,0)),"")</f>
        <v/>
      </c>
      <c r="D197" s="104">
        <f>IFERROR(IF(DIVIDENDOS[[#This Row],[Data Pagamento]]="","",DIVIDENDOS[[#This Row],[Data Pagamento]]),"")</f>
        <v/>
      </c>
      <c r="E197" s="105" t="n">
        <v>6</v>
      </c>
      <c r="F197" s="106" t="inlineStr">
        <is>
          <t>RENDIMENTO</t>
        </is>
      </c>
      <c r="G197" s="99" t="inlineStr">
        <is>
          <t>LIFE11</t>
        </is>
      </c>
    </row>
    <row r="198">
      <c r="A198" s="101" t="n">
        <v>2026</v>
      </c>
      <c r="B198" t="inlineStr">
        <is>
          <t>08/01/2026</t>
        </is>
      </c>
      <c r="C198" s="103">
        <f>IFERROR(IF(DIVIDENDOS[[#This Row],[Data Pagamento]]="","",EOMONTH(B198,0)),"")</f>
        <v/>
      </c>
      <c r="D198" s="104">
        <f>IFERROR(IF(DIVIDENDOS[[#This Row],[Data Pagamento]]="","",DIVIDENDOS[[#This Row],[Data Pagamento]]),"")</f>
        <v/>
      </c>
      <c r="E198" s="105" t="n">
        <v>6</v>
      </c>
      <c r="F198" s="106" t="inlineStr">
        <is>
          <t>RENDIMENTO</t>
        </is>
      </c>
      <c r="G198" s="99" t="inlineStr">
        <is>
          <t>LIFE11</t>
        </is>
      </c>
    </row>
    <row r="199">
      <c r="A199" s="101" t="n">
        <v>2026</v>
      </c>
      <c r="B199" t="inlineStr">
        <is>
          <t>18/03/2026</t>
        </is>
      </c>
      <c r="C199" s="103">
        <f>IFERROR(IF(DIVIDENDOS[[#This Row],[Data Pagamento]]="","",EOMONTH(B199,0)),"")</f>
        <v/>
      </c>
      <c r="D199" s="104">
        <f>IFERROR(IF(DIVIDENDOS[[#This Row],[Data Pagamento]]="","",DIVIDENDOS[[#This Row],[Data Pagamento]]),"")</f>
        <v/>
      </c>
      <c r="E199" s="98" t="n">
        <v>2</v>
      </c>
      <c r="F199" s="106" t="inlineStr">
        <is>
          <t>RENDIMENTO</t>
        </is>
      </c>
      <c r="G199" s="99" t="inlineStr">
        <is>
          <t>MCCI11</t>
        </is>
      </c>
    </row>
    <row r="200">
      <c r="A200" s="101" t="n">
        <v>2026</v>
      </c>
      <c r="B200" t="inlineStr">
        <is>
          <t>20/02/2026</t>
        </is>
      </c>
      <c r="C200" s="103">
        <f>IFERROR(IF(DIVIDENDOS[[#This Row],[Data Pagamento]]="","",EOMONTH(B200,0)),"")</f>
        <v/>
      </c>
      <c r="D200" s="104">
        <f>IFERROR(IF(DIVIDENDOS[[#This Row],[Data Pagamento]]="","",DIVIDENDOS[[#This Row],[Data Pagamento]]),"")</f>
        <v/>
      </c>
      <c r="E200" s="105" t="n">
        <v>2</v>
      </c>
      <c r="F200" s="106" t="inlineStr">
        <is>
          <t>RENDIMENTO</t>
        </is>
      </c>
      <c r="G200" s="99" t="inlineStr">
        <is>
          <t>MCCI11</t>
        </is>
      </c>
    </row>
    <row r="201">
      <c r="A201" s="101" t="n">
        <v>2026</v>
      </c>
      <c r="B201" t="inlineStr">
        <is>
          <t>20/01/2026</t>
        </is>
      </c>
      <c r="C201" s="103">
        <f>IFERROR(IF(DIVIDENDOS[[#This Row],[Data Pagamento]]="","",EOMONTH(B201,0)),"")</f>
        <v/>
      </c>
      <c r="D201" s="104">
        <f>IFERROR(IF(DIVIDENDOS[[#This Row],[Data Pagamento]]="","",DIVIDENDOS[[#This Row],[Data Pagamento]]),"")</f>
        <v/>
      </c>
      <c r="E201" s="105" t="n">
        <v>2</v>
      </c>
      <c r="F201" s="106" t="inlineStr">
        <is>
          <t>RENDIMENTO</t>
        </is>
      </c>
      <c r="G201" s="99" t="inlineStr">
        <is>
          <t>MCCI11</t>
        </is>
      </c>
    </row>
    <row r="202">
      <c r="A202" s="101" t="n">
        <v>2026</v>
      </c>
      <c r="B202" t="inlineStr">
        <is>
          <t>20/02/2026</t>
        </is>
      </c>
      <c r="C202" s="103">
        <f>IFERROR(IF(DIVIDENDOS[[#This Row],[Data Pagamento]]="","",EOMONTH(B202,0)),"")</f>
        <v/>
      </c>
      <c r="D202" s="104">
        <f>IFERROR(IF(DIVIDENDOS[[#This Row],[Data Pagamento]]="","",DIVIDENDOS[[#This Row],[Data Pagamento]]),"")</f>
        <v/>
      </c>
      <c r="E202" s="105" t="n">
        <v>14.15</v>
      </c>
      <c r="F202" s="106" t="inlineStr">
        <is>
          <t>JUROS</t>
        </is>
      </c>
      <c r="G202" s="99" t="inlineStr">
        <is>
          <t>PETR4</t>
        </is>
      </c>
    </row>
    <row r="203">
      <c r="A203" s="101" t="n">
        <v>2026</v>
      </c>
      <c r="B203" t="inlineStr">
        <is>
          <t>20/03/2026</t>
        </is>
      </c>
      <c r="C203" s="103">
        <f>IFERROR(IF(DIVIDENDOS[[#This Row],[Data Pagamento]]="","",EOMONTH(B203,0)),"")</f>
        <v/>
      </c>
      <c r="D203" s="104">
        <f>IFERROR(IF(DIVIDENDOS[[#This Row],[Data Pagamento]]="","",DIVIDENDOS[[#This Row],[Data Pagamento]]),"")</f>
        <v/>
      </c>
      <c r="E203" s="168" t="n">
        <v>8.890000000000001</v>
      </c>
      <c r="F203" s="106" t="inlineStr">
        <is>
          <t>RENDIMENTO</t>
        </is>
      </c>
      <c r="G203" s="100" t="inlineStr">
        <is>
          <t>PETR4</t>
        </is>
      </c>
    </row>
    <row r="204">
      <c r="A204" s="101" t="n">
        <v>2026</v>
      </c>
      <c r="B204" t="inlineStr">
        <is>
          <t>06/03/2026</t>
        </is>
      </c>
      <c r="C204" s="103">
        <f>IFERROR(IF(DIVIDENDOS[[#This Row],[Data Pagamento]]="","",EOMONTH(B204,0)),"")</f>
        <v/>
      </c>
      <c r="D204" s="104">
        <f>IFERROR(IF(DIVIDENDOS[[#This Row],[Data Pagamento]]="","",DIVIDENDOS[[#This Row],[Data Pagamento]]),"")</f>
        <v/>
      </c>
      <c r="E204" s="98" t="n">
        <v>2.4</v>
      </c>
      <c r="F204" s="106" t="inlineStr">
        <is>
          <t>RENDIMENTO</t>
        </is>
      </c>
      <c r="G204" s="99" t="inlineStr">
        <is>
          <t>RURA11</t>
        </is>
      </c>
    </row>
    <row r="205">
      <c r="A205" s="101" t="n">
        <v>2026</v>
      </c>
      <c r="B205" t="inlineStr">
        <is>
          <t>06/02/2026</t>
        </is>
      </c>
      <c r="C205" s="103">
        <f>IFERROR(IF(DIVIDENDOS[[#This Row],[Data Pagamento]]="","",EOMONTH(B205,0)),"")</f>
        <v/>
      </c>
      <c r="D205" s="104">
        <f>IFERROR(IF(DIVIDENDOS[[#This Row],[Data Pagamento]]="","",DIVIDENDOS[[#This Row],[Data Pagamento]]),"")</f>
        <v/>
      </c>
      <c r="E205" s="105" t="n">
        <v>2.4</v>
      </c>
      <c r="F205" s="106" t="inlineStr">
        <is>
          <t>RENDIMENTO</t>
        </is>
      </c>
      <c r="G205" s="99" t="inlineStr">
        <is>
          <t>RURA11</t>
        </is>
      </c>
    </row>
    <row r="206">
      <c r="A206" s="101" t="n">
        <v>2026</v>
      </c>
      <c r="B206" t="inlineStr">
        <is>
          <t>08/01/2026</t>
        </is>
      </c>
      <c r="C206" s="103">
        <f>IFERROR(IF(DIVIDENDOS[[#This Row],[Data Pagamento]]="","",EOMONTH(B206,0)),"")</f>
        <v/>
      </c>
      <c r="D206" s="104">
        <f>IFERROR(IF(DIVIDENDOS[[#This Row],[Data Pagamento]]="","",DIVIDENDOS[[#This Row],[Data Pagamento]]),"")</f>
        <v/>
      </c>
      <c r="E206" s="98" t="n">
        <v>1.1</v>
      </c>
      <c r="F206" s="106" t="inlineStr">
        <is>
          <t>RENDIMENTO</t>
        </is>
      </c>
      <c r="G206" s="99" t="inlineStr">
        <is>
          <t>RURA11</t>
        </is>
      </c>
    </row>
    <row r="207">
      <c r="A207" s="101" t="n">
        <v>2026</v>
      </c>
      <c r="B207" t="inlineStr">
        <is>
          <t>25/02/2026</t>
        </is>
      </c>
      <c r="C207" s="103">
        <f>IFERROR(IF(DIVIDENDOS[[#This Row],[Data Pagamento]]="","",EOMONTH(B207,0)),"")</f>
        <v/>
      </c>
      <c r="D207" s="104">
        <f>IFERROR(IF(DIVIDENDOS[[#This Row],[Data Pagamento]]="","",DIVIDENDOS[[#This Row],[Data Pagamento]]),"")</f>
        <v/>
      </c>
      <c r="E207" s="168" t="n">
        <v>2</v>
      </c>
      <c r="F207" s="106" t="inlineStr">
        <is>
          <t>RENDIMENTO</t>
        </is>
      </c>
      <c r="G207" s="100" t="inlineStr">
        <is>
          <t>SNAG11</t>
        </is>
      </c>
    </row>
    <row r="208">
      <c r="A208" s="101" t="n">
        <v>2026</v>
      </c>
      <c r="B208" t="inlineStr">
        <is>
          <t>23/01/2026</t>
        </is>
      </c>
      <c r="C208" s="103">
        <f>IFERROR(IF(DIVIDENDOS[[#This Row],[Data Pagamento]]="","",EOMONTH(B208,0)),"")</f>
        <v/>
      </c>
      <c r="D208" s="104">
        <f>IFERROR(IF(DIVIDENDOS[[#This Row],[Data Pagamento]]="","",DIVIDENDOS[[#This Row],[Data Pagamento]]),"")</f>
        <v/>
      </c>
      <c r="E208" s="105" t="n">
        <v>1.3</v>
      </c>
      <c r="F208" s="106" t="inlineStr">
        <is>
          <t>RENDIMENTO</t>
        </is>
      </c>
      <c r="G208" s="100" t="inlineStr">
        <is>
          <t>SNAG11</t>
        </is>
      </c>
    </row>
    <row r="209">
      <c r="A209" s="101" t="n">
        <v>2026</v>
      </c>
      <c r="B209" t="inlineStr">
        <is>
          <t>13/03/2026</t>
        </is>
      </c>
      <c r="C209" s="103">
        <f>IFERROR(IF(DIVIDENDOS[[#This Row],[Data Pagamento]]="","",EOMONTH(B209,0)),"")</f>
        <v/>
      </c>
      <c r="D209" s="104">
        <f>IFERROR(IF(DIVIDENDOS[[#This Row],[Data Pagamento]]="","",DIVIDENDOS[[#This Row],[Data Pagamento]]),"")</f>
        <v/>
      </c>
      <c r="E209" s="168" t="n">
        <v>3.2</v>
      </c>
      <c r="F209" s="106" t="inlineStr">
        <is>
          <t>RENDIMENTO</t>
        </is>
      </c>
      <c r="G209" s="100" t="inlineStr">
        <is>
          <t>TEPP11</t>
        </is>
      </c>
    </row>
    <row r="210">
      <c r="A210" s="101" t="n">
        <v>2026</v>
      </c>
      <c r="B210" t="inlineStr">
        <is>
          <t>13/02/2026</t>
        </is>
      </c>
      <c r="C210" s="103">
        <f>IFERROR(IF(DIVIDENDOS[[#This Row],[Data Pagamento]]="","",EOMONTH(B210,0)),"")</f>
        <v/>
      </c>
      <c r="D210" s="104">
        <f>IFERROR(IF(DIVIDENDOS[[#This Row],[Data Pagamento]]="","",DIVIDENDOS[[#This Row],[Data Pagamento]]),"")</f>
        <v/>
      </c>
      <c r="E210" s="98" t="n">
        <v>3</v>
      </c>
      <c r="F210" s="106" t="inlineStr">
        <is>
          <t>RENDIMENTO</t>
        </is>
      </c>
      <c r="G210" s="99" t="inlineStr">
        <is>
          <t>TEPP11</t>
        </is>
      </c>
    </row>
    <row r="211">
      <c r="A211" s="101" t="n">
        <v>2026</v>
      </c>
      <c r="B211" t="inlineStr">
        <is>
          <t>15/01/2026</t>
        </is>
      </c>
      <c r="C211" s="103">
        <f>IFERROR(IF(DIVIDENDOS[[#This Row],[Data Pagamento]]="","",EOMONTH(B211,0)),"")</f>
        <v/>
      </c>
      <c r="D211" s="104">
        <f>IFERROR(IF(DIVIDENDOS[[#This Row],[Data Pagamento]]="","",DIVIDENDOS[[#This Row],[Data Pagamento]]),"")</f>
        <v/>
      </c>
      <c r="E211" s="105" t="n">
        <v>3</v>
      </c>
      <c r="F211" s="106" t="inlineStr">
        <is>
          <t>RENDIMENTO</t>
        </is>
      </c>
      <c r="G211" s="99" t="inlineStr">
        <is>
          <t>TEPP11</t>
        </is>
      </c>
    </row>
    <row r="212">
      <c r="A212" s="101" t="n">
        <v>2026</v>
      </c>
      <c r="B212" t="inlineStr">
        <is>
          <t>13/03/2026</t>
        </is>
      </c>
      <c r="C212" s="103">
        <f>IFERROR(IF(DIVIDENDOS[[#This Row],[Data Pagamento]]="","",EOMONTH(B212,0)),"")</f>
        <v/>
      </c>
      <c r="D212" s="104">
        <f>IFERROR(IF(DIVIDENDOS[[#This Row],[Data Pagamento]]="","",DIVIDENDOS[[#This Row],[Data Pagamento]]),"")</f>
        <v/>
      </c>
      <c r="E212" s="105" t="n">
        <v>7.44</v>
      </c>
      <c r="F212" s="106" t="inlineStr">
        <is>
          <t>RENDIMENTO</t>
        </is>
      </c>
      <c r="G212" s="99" t="inlineStr">
        <is>
          <t>TRXF11</t>
        </is>
      </c>
    </row>
    <row r="213">
      <c r="A213" s="101" t="n">
        <v>2026</v>
      </c>
      <c r="B213" t="inlineStr">
        <is>
          <t>13/02/2026</t>
        </is>
      </c>
      <c r="C213" s="103">
        <f>IFERROR(IF(DIVIDENDOS[[#This Row],[Data Pagamento]]="","",EOMONTH(B213,0)),"")</f>
        <v/>
      </c>
      <c r="D213" s="104">
        <f>IFERROR(IF(DIVIDENDOS[[#This Row],[Data Pagamento]]="","",DIVIDENDOS[[#This Row],[Data Pagamento]]),"")</f>
        <v/>
      </c>
      <c r="E213" s="168" t="n">
        <v>7.44</v>
      </c>
      <c r="F213" s="106" t="inlineStr">
        <is>
          <t>RENDIMENTO</t>
        </is>
      </c>
      <c r="G213" s="99" t="inlineStr">
        <is>
          <t>TRXF11</t>
        </is>
      </c>
    </row>
    <row r="214">
      <c r="A214" s="101" t="n">
        <v>2026</v>
      </c>
      <c r="B214" t="inlineStr">
        <is>
          <t>15/01/2026</t>
        </is>
      </c>
      <c r="C214" s="103">
        <f>IFERROR(IF(DIVIDENDOS[[#This Row],[Data Pagamento]]="","",EOMONTH(B214,0)),"")</f>
        <v/>
      </c>
      <c r="D214" s="104">
        <f>IFERROR(IF(DIVIDENDOS[[#This Row],[Data Pagamento]]="","",DIVIDENDOS[[#This Row],[Data Pagamento]]),"")</f>
        <v/>
      </c>
      <c r="E214" s="98" t="n">
        <v>3</v>
      </c>
      <c r="F214" s="106" t="inlineStr">
        <is>
          <t>RENDIMENTO</t>
        </is>
      </c>
      <c r="G214" s="99" t="inlineStr">
        <is>
          <t>TRXF11</t>
        </is>
      </c>
    </row>
    <row r="215">
      <c r="A215" s="101" t="n">
        <v>2026</v>
      </c>
      <c r="B215" t="inlineStr">
        <is>
          <t>04/03/2026</t>
        </is>
      </c>
      <c r="C215" s="103">
        <f>IFERROR(IF(DIVIDENDOS[[#This Row],[Data Pagamento]]="","",EOMONTH(B215,0)),"")</f>
        <v/>
      </c>
      <c r="D215" s="104">
        <f>IFERROR(IF(DIVIDENDOS[[#This Row],[Data Pagamento]]="","",DIVIDENDOS[[#This Row],[Data Pagamento]]),"")</f>
        <v/>
      </c>
      <c r="E215" s="105" t="n">
        <v>6.28</v>
      </c>
      <c r="F215" s="106" t="inlineStr">
        <is>
          <t>JUROS</t>
        </is>
      </c>
      <c r="G215" s="99" t="inlineStr">
        <is>
          <t>VALE3</t>
        </is>
      </c>
    </row>
    <row r="216">
      <c r="A216" s="101" t="n">
        <v>2026</v>
      </c>
      <c r="B216" t="inlineStr">
        <is>
          <t>07/01/2026</t>
        </is>
      </c>
      <c r="C216" s="103">
        <f>IFERROR(IF(DIVIDENDOS[[#This Row],[Data Pagamento]]="","",EOMONTH(B216,0)),"")</f>
        <v/>
      </c>
      <c r="D216" s="104">
        <f>IFERROR(IF(DIVIDENDOS[[#This Row],[Data Pagamento]]="","",DIVIDENDOS[[#This Row],[Data Pagamento]]),"")</f>
        <v/>
      </c>
      <c r="E216" s="168" t="n">
        <v>4.98</v>
      </c>
      <c r="F216" s="106" t="inlineStr">
        <is>
          <t>RENDIMENTO</t>
        </is>
      </c>
      <c r="G216" s="99" t="inlineStr">
        <is>
          <t>VALE3</t>
        </is>
      </c>
    </row>
    <row r="217">
      <c r="A217" s="101" t="n">
        <v>2026</v>
      </c>
      <c r="B217" t="inlineStr">
        <is>
          <t>06/03/2026</t>
        </is>
      </c>
      <c r="C217" s="103">
        <f>IFERROR(IF(DIVIDENDOS[[#This Row],[Data Pagamento]]="","",EOMONTH(B217,0)),"")</f>
        <v/>
      </c>
      <c r="D217" s="104">
        <f>IFERROR(IF(DIVIDENDOS[[#This Row],[Data Pagamento]]="","",DIVIDENDOS[[#This Row],[Data Pagamento]]),"")</f>
        <v/>
      </c>
      <c r="E217" s="105" t="n">
        <v>2.64</v>
      </c>
      <c r="F217" s="106" t="inlineStr">
        <is>
          <t>RENDIMENTO</t>
        </is>
      </c>
      <c r="G217" s="99" t="inlineStr">
        <is>
          <t>VGRI11</t>
        </is>
      </c>
    </row>
    <row r="218">
      <c r="A218" s="101" t="n">
        <v>2026</v>
      </c>
      <c r="B218" t="inlineStr">
        <is>
          <t>06/02/2026</t>
        </is>
      </c>
      <c r="C218" s="103">
        <f>IFERROR(IF(DIVIDENDOS[[#This Row],[Data Pagamento]]="","",EOMONTH(B218,0)),"")</f>
        <v/>
      </c>
      <c r="D218" s="104">
        <f>IFERROR(IF(DIVIDENDOS[[#This Row],[Data Pagamento]]="","",DIVIDENDOS[[#This Row],[Data Pagamento]]),"")</f>
        <v/>
      </c>
      <c r="E218" s="105" t="n">
        <v>2.64</v>
      </c>
      <c r="F218" s="106" t="inlineStr">
        <is>
          <t>RENDIMENTO</t>
        </is>
      </c>
      <c r="G218" s="99" t="inlineStr">
        <is>
          <t>VGRI11</t>
        </is>
      </c>
    </row>
    <row r="219">
      <c r="A219" s="101" t="n">
        <v>2026</v>
      </c>
      <c r="B219" t="inlineStr">
        <is>
          <t>08/01/2026</t>
        </is>
      </c>
      <c r="C219" s="103">
        <f>IFERROR(IF(DIVIDENDOS[[#This Row],[Data Pagamento]]="","",EOMONTH(B219,0)),"")</f>
        <v/>
      </c>
      <c r="D219" s="104">
        <f>IFERROR(IF(DIVIDENDOS[[#This Row],[Data Pagamento]]="","",DIVIDENDOS[[#This Row],[Data Pagamento]]),"")</f>
        <v/>
      </c>
      <c r="E219" s="105" t="n">
        <v>2.64</v>
      </c>
      <c r="F219" s="106" t="inlineStr">
        <is>
          <t>RENDIMENTO</t>
        </is>
      </c>
      <c r="G219" s="99" t="inlineStr">
        <is>
          <t>VGRI11</t>
        </is>
      </c>
    </row>
    <row r="220">
      <c r="A220" s="101" t="n">
        <v>2026</v>
      </c>
      <c r="B220" t="inlineStr">
        <is>
          <t>13/03/2026</t>
        </is>
      </c>
      <c r="C220" s="103">
        <f>IFERROR(IF(DIVIDENDOS[[#This Row],[Data Pagamento]]="","",EOMONTH(B220,0)),"")</f>
        <v/>
      </c>
      <c r="D220" s="104">
        <f>IFERROR(IF(DIVIDENDOS[[#This Row],[Data Pagamento]]="","",DIVIDENDOS[[#This Row],[Data Pagamento]]),"")</f>
        <v/>
      </c>
      <c r="E220" s="168" t="n">
        <v>1.64</v>
      </c>
      <c r="F220" s="100" t="inlineStr">
        <is>
          <t>RENDIMENTO</t>
        </is>
      </c>
      <c r="G220" s="99" t="inlineStr">
        <is>
          <t>VINO11</t>
        </is>
      </c>
    </row>
    <row r="221">
      <c r="A221" s="101" t="n">
        <v>2026</v>
      </c>
      <c r="B221" t="inlineStr">
        <is>
          <t>13/02/2026</t>
        </is>
      </c>
      <c r="C221" s="103">
        <f>IFERROR(IF(DIVIDENDOS[[#This Row],[Data Pagamento]]="","",EOMONTH(B221,0)),"")</f>
        <v/>
      </c>
      <c r="D221" s="104">
        <f>IFERROR(IF(DIVIDENDOS[[#This Row],[Data Pagamento]]="","",DIVIDENDOS[[#This Row],[Data Pagamento]]),"")</f>
        <v/>
      </c>
      <c r="E221" s="168" t="n">
        <v>1.84</v>
      </c>
      <c r="F221" s="100" t="inlineStr">
        <is>
          <t>RENDIMENTO</t>
        </is>
      </c>
      <c r="G221" s="99" t="inlineStr">
        <is>
          <t>VINO11</t>
        </is>
      </c>
    </row>
    <row r="222">
      <c r="A222" s="101" t="n">
        <v>2026</v>
      </c>
      <c r="B222" t="inlineStr">
        <is>
          <t>15/01/2026</t>
        </is>
      </c>
      <c r="C222" s="103">
        <f>IFERROR(IF(DIVIDENDOS[[#This Row],[Data Pagamento]]="","",EOMONTH(B222,0)),"")</f>
        <v/>
      </c>
      <c r="D222" s="104">
        <f>IFERROR(IF(DIVIDENDOS[[#This Row],[Data Pagamento]]="","",DIVIDENDOS[[#This Row],[Data Pagamento]]),"")</f>
        <v/>
      </c>
      <c r="E222" s="105" t="n">
        <v>2.05</v>
      </c>
      <c r="F222" s="106" t="inlineStr">
        <is>
          <t>RENDIMENTO</t>
        </is>
      </c>
      <c r="G222" s="99" t="inlineStr">
        <is>
          <t>VINO11</t>
        </is>
      </c>
    </row>
    <row r="223">
      <c r="A223" s="101" t="n">
        <v>2026</v>
      </c>
      <c r="B223" t="inlineStr">
        <is>
          <t>25/02/2026</t>
        </is>
      </c>
      <c r="C223" s="103">
        <f>IFERROR(IF(DIVIDENDOS[[#This Row],[Data Pagamento]]="","",EOMONTH(B223,0)),"")</f>
        <v/>
      </c>
      <c r="D223" s="104">
        <f>IFERROR(IF(DIVIDENDOS[[#This Row],[Data Pagamento]]="","",DIVIDENDOS[[#This Row],[Data Pagamento]]),"")</f>
        <v/>
      </c>
      <c r="E223" s="105" t="n">
        <v>1.84</v>
      </c>
      <c r="F223" s="106" t="inlineStr">
        <is>
          <t>RENDIMENTO</t>
        </is>
      </c>
      <c r="G223" s="99" t="inlineStr">
        <is>
          <t>XPML11</t>
        </is>
      </c>
    </row>
    <row r="224">
      <c r="A224" s="101" t="n">
        <v>2026</v>
      </c>
      <c r="B224" t="inlineStr">
        <is>
          <t>23/01/2026</t>
        </is>
      </c>
      <c r="C224" s="103">
        <f>IFERROR(IF(DIVIDENDOS[[#This Row],[Data Pagamento]]="","",EOMONTH(B224,0)),"")</f>
        <v/>
      </c>
      <c r="D224" s="104">
        <f>IFERROR(IF(DIVIDENDOS[[#This Row],[Data Pagamento]]="","",DIVIDENDOS[[#This Row],[Data Pagamento]]),"")</f>
        <v/>
      </c>
      <c r="E224" s="105" t="n">
        <v>1.84</v>
      </c>
      <c r="F224" s="106" t="inlineStr">
        <is>
          <t>RENDIMENTO</t>
        </is>
      </c>
      <c r="G224" s="99" t="inlineStr">
        <is>
          <t>XPML11</t>
        </is>
      </c>
    </row>
    <row r="225">
      <c r="A225" s="101" t="n">
        <v>2026</v>
      </c>
      <c r="C225" s="103">
        <f>IFERROR(IF(DIVIDENDOS[[#This Row],[Data Pagamento]]="","",EOMONTH(B225,0)),"")</f>
        <v/>
      </c>
      <c r="D225" s="104">
        <f>IFERROR(IF(DIVIDENDOS[[#This Row],[Data Pagamento]]="","",DIVIDENDOS[[#This Row],[Data Pagamento]]),"")</f>
        <v/>
      </c>
      <c r="E225" s="105" t="n"/>
      <c r="F225" s="106" t="n"/>
      <c r="G225" s="99" t="n"/>
    </row>
    <row r="226">
      <c r="A226" s="101" t="n">
        <v>2026</v>
      </c>
      <c r="C226" s="103">
        <f>IFERROR(IF(DIVIDENDOS[[#This Row],[Data Pagamento]]="","",EOMONTH(B226,0)),"")</f>
        <v/>
      </c>
      <c r="D226" s="104">
        <f>IFERROR(IF(DIVIDENDOS[[#This Row],[Data Pagamento]]="","",DIVIDENDOS[[#This Row],[Data Pagamento]]),"")</f>
        <v/>
      </c>
      <c r="E226" s="105" t="n"/>
      <c r="F226" s="106" t="n"/>
      <c r="G226" s="99" t="n"/>
    </row>
    <row r="227">
      <c r="A227" s="101">
        <f>YEAR(DIVIDENDOS[[#This Row],[Data Pagamento]])</f>
        <v/>
      </c>
      <c r="C227" s="103">
        <f>IFERROR(IF(DIVIDENDOS[[#This Row],[Data Pagamento]]="","",EOMONTH(B227,0)),"")</f>
        <v/>
      </c>
      <c r="D227" s="104">
        <f>IFERROR(IF(DIVIDENDOS[[#This Row],[Data Pagamento]]="","",DIVIDENDOS[[#This Row],[Data Pagamento]]),"")</f>
        <v/>
      </c>
      <c r="E227" s="105" t="n"/>
      <c r="F227" s="106" t="n"/>
      <c r="G227" s="99" t="n"/>
    </row>
    <row r="228">
      <c r="A228" s="101" t="n">
        <v>2026</v>
      </c>
      <c r="C228" s="103">
        <f>IFERROR(IF(DIVIDENDOS[[#This Row],[Data Pagamento]]="","",EOMONTH(B228,0)),"")</f>
        <v/>
      </c>
      <c r="D228" s="104">
        <f>IFERROR(IF(DIVIDENDOS[[#This Row],[Data Pagamento]]="","",DIVIDENDOS[[#This Row],[Data Pagamento]]),"")</f>
        <v/>
      </c>
      <c r="E228" s="105" t="n"/>
      <c r="F228" s="106" t="n"/>
      <c r="G228" s="99" t="n"/>
    </row>
    <row r="229">
      <c r="A229" s="101" t="n">
        <v>2026</v>
      </c>
      <c r="C229" s="103">
        <f>IFERROR(IF(DIVIDENDOS[[#This Row],[Data Pagamento]]="","",EOMONTH(B229,0)),"")</f>
        <v/>
      </c>
      <c r="D229" s="104">
        <f>IFERROR(IF(DIVIDENDOS[[#This Row],[Data Pagamento]]="","",DIVIDENDOS[[#This Row],[Data Pagamento]]),"")</f>
        <v/>
      </c>
      <c r="E229" s="105" t="n"/>
      <c r="F229" s="106" t="n"/>
      <c r="G229" s="99" t="n"/>
    </row>
    <row r="230">
      <c r="A230" s="101">
        <f>YEAR(DIVIDENDOS[[#This Row],[Data Pagamento]])</f>
        <v/>
      </c>
      <c r="C230" s="103">
        <f>IFERROR(IF(DIVIDENDOS[[#This Row],[Data Pagamento]]="","",EOMONTH(B230,0)),"")</f>
        <v/>
      </c>
      <c r="D230" s="104">
        <f>IFERROR(IF(DIVIDENDOS[[#This Row],[Data Pagamento]]="","",DIVIDENDOS[[#This Row],[Data Pagamento]]),"")</f>
        <v/>
      </c>
      <c r="E230" s="105" t="n"/>
      <c r="F230" s="106" t="n"/>
      <c r="G230" s="99" t="n"/>
    </row>
    <row r="231">
      <c r="A231" s="101" t="n">
        <v>2026</v>
      </c>
      <c r="C231" s="103">
        <f>IFERROR(IF(DIVIDENDOS[[#This Row],[Data Pagamento]]="","",EOMONTH(B231,0)),"")</f>
        <v/>
      </c>
      <c r="D231" s="104">
        <f>IFERROR(IF(DIVIDENDOS[[#This Row],[Data Pagamento]]="","",DIVIDENDOS[[#This Row],[Data Pagamento]]),"")</f>
        <v/>
      </c>
      <c r="E231" s="105" t="n"/>
      <c r="F231" s="106" t="n"/>
      <c r="G231" s="99" t="n"/>
    </row>
    <row r="232">
      <c r="A232" s="101">
        <f>YEAR(DIVIDENDOS[[#This Row],[Data Pagamento]])</f>
        <v/>
      </c>
      <c r="C232" s="103">
        <f>IFERROR(IF(DIVIDENDOS[[#This Row],[Data Pagamento]]="","",EOMONTH(B232,0)),"")</f>
        <v/>
      </c>
      <c r="D232" s="104">
        <f>IFERROR(IF(DIVIDENDOS[[#This Row],[Data Pagamento]]="","",DIVIDENDOS[[#This Row],[Data Pagamento]]),"")</f>
        <v/>
      </c>
      <c r="E232" s="105" t="n"/>
      <c r="F232" s="106" t="n"/>
      <c r="G232" s="99" t="n"/>
    </row>
    <row r="233">
      <c r="A233" s="101">
        <f>YEAR(DIVIDENDOS[[#This Row],[Data Pagamento]])</f>
        <v/>
      </c>
      <c r="C233" s="103">
        <f>IFERROR(IF(DIVIDENDOS[[#This Row],[Data Pagamento]]="","",EOMONTH(B233,0)),"")</f>
        <v/>
      </c>
      <c r="D233" s="104">
        <f>IFERROR(IF(DIVIDENDOS[[#This Row],[Data Pagamento]]="","",DIVIDENDOS[[#This Row],[Data Pagamento]]),"")</f>
        <v/>
      </c>
      <c r="E233" s="98" t="n"/>
      <c r="F233" s="106" t="n"/>
      <c r="G233" s="99" t="n"/>
    </row>
    <row r="234">
      <c r="A234" s="101">
        <f>YEAR(DIVIDENDOS[[#This Row],[Data Pagamento]])</f>
        <v/>
      </c>
      <c r="C234" s="103">
        <f>IFERROR(IF(DIVIDENDOS[[#This Row],[Data Pagamento]]="","",EOMONTH(B234,0)),"")</f>
        <v/>
      </c>
      <c r="D234" s="104">
        <f>IFERROR(IF(DIVIDENDOS[[#This Row],[Data Pagamento]]="","",DIVIDENDOS[[#This Row],[Data Pagamento]]),"")</f>
        <v/>
      </c>
      <c r="E234" s="98" t="n"/>
      <c r="F234" s="106" t="n"/>
      <c r="G234" s="99" t="n"/>
    </row>
    <row r="235">
      <c r="A235" s="101">
        <f>YEAR(DIVIDENDOS[[#This Row],[Data Pagamento]])</f>
        <v/>
      </c>
      <c r="C235" s="103">
        <f>IFERROR(IF(DIVIDENDOS[[#This Row],[Data Pagamento]]="","",EOMONTH(B235,0)),"")</f>
        <v/>
      </c>
      <c r="D235" s="104">
        <f>IFERROR(IF(DIVIDENDOS[[#This Row],[Data Pagamento]]="","",DIVIDENDOS[[#This Row],[Data Pagamento]]),"")</f>
        <v/>
      </c>
      <c r="E235" s="105" t="n"/>
      <c r="F235" s="106" t="n"/>
      <c r="G235" s="99" t="n"/>
    </row>
    <row r="236">
      <c r="A236" s="101">
        <f>YEAR(DIVIDENDOS[[#This Row],[Data Pagamento]])</f>
        <v/>
      </c>
      <c r="C236" s="103">
        <f>IFERROR(IF(DIVIDENDOS[[#This Row],[Data Pagamento]]="","",EOMONTH(B236,0)),"")</f>
        <v/>
      </c>
      <c r="D236" s="104">
        <f>IFERROR(IF(DIVIDENDOS[[#This Row],[Data Pagamento]]="","",DIVIDENDOS[[#This Row],[Data Pagamento]]),"")</f>
        <v/>
      </c>
      <c r="E236" s="105" t="n"/>
      <c r="F236" s="106" t="n"/>
    </row>
    <row r="237">
      <c r="A237" s="101">
        <f>YEAR(DIVIDENDOS[[#This Row],[Data Pagamento]])</f>
        <v/>
      </c>
      <c r="C237" s="103">
        <f>IFERROR(IF(DIVIDENDOS[[#This Row],[Data Pagamento]]="","",EOMONTH(B237,0)),"")</f>
        <v/>
      </c>
      <c r="D237" s="104">
        <f>IFERROR(IF(DIVIDENDOS[[#This Row],[Data Pagamento]]="","",DIVIDENDOS[[#This Row],[Data Pagamento]]),"")</f>
        <v/>
      </c>
      <c r="E237" s="105" t="n"/>
      <c r="F237" s="106" t="n"/>
      <c r="G237" s="99" t="n"/>
    </row>
    <row r="238">
      <c r="A238" s="101">
        <f>YEAR(DIVIDENDOS[[#This Row],[Data Pagamento]])</f>
        <v/>
      </c>
      <c r="C238" s="103">
        <f>IFERROR(IF(DIVIDENDOS[[#This Row],[Data Pagamento]]="","",EOMONTH(B238,0)),"")</f>
        <v/>
      </c>
      <c r="D238" s="104">
        <f>IFERROR(IF(DIVIDENDOS[[#This Row],[Data Pagamento]]="","",DIVIDENDOS[[#This Row],[Data Pagamento]]),"")</f>
        <v/>
      </c>
      <c r="E238" s="169" t="n"/>
      <c r="G238" s="99" t="n"/>
    </row>
    <row r="239">
      <c r="A239" s="101">
        <f>YEAR(DIVIDENDOS[[#This Row],[Data Pagamento]])</f>
        <v/>
      </c>
      <c r="C239" s="103">
        <f>IFERROR(IF(DIVIDENDOS[[#This Row],[Data Pagamento]]="","",EOMONTH(B239,0)),"")</f>
        <v/>
      </c>
      <c r="D239" s="104">
        <f>IFERROR(IF(DIVIDENDOS[[#This Row],[Data Pagamento]]="","",DIVIDENDOS[[#This Row],[Data Pagamento]]),"")</f>
        <v/>
      </c>
      <c r="E239" s="105" t="n"/>
      <c r="F239" s="106" t="n"/>
      <c r="G239" s="99" t="n"/>
    </row>
    <row r="240">
      <c r="A240" s="101">
        <f>YEAR(DIVIDENDOS[[#This Row],[Data Pagamento]])</f>
        <v/>
      </c>
      <c r="C240" s="103">
        <f>IFERROR(IF(DIVIDENDOS[[#This Row],[Data Pagamento]]="","",EOMONTH(B240,0)),"")</f>
        <v/>
      </c>
      <c r="D240" s="104">
        <f>IFERROR(IF(DIVIDENDOS[[#This Row],[Data Pagamento]]="","",DIVIDENDOS[[#This Row],[Data Pagamento]]),"")</f>
        <v/>
      </c>
      <c r="E240" s="105" t="n"/>
      <c r="F240" s="106" t="n"/>
      <c r="G240" s="99" t="n"/>
    </row>
    <row r="241">
      <c r="A241" s="101">
        <f>YEAR(DIVIDENDOS[[#This Row],[Data Pagamento]])</f>
        <v/>
      </c>
      <c r="C241" s="103">
        <f>IFERROR(IF(DIVIDENDOS[[#This Row],[Data Pagamento]]="","",EOMONTH(B241,0)),"")</f>
        <v/>
      </c>
      <c r="D241" s="104">
        <f>IFERROR(IF(DIVIDENDOS[[#This Row],[Data Pagamento]]="","",DIVIDENDOS[[#This Row],[Data Pagamento]]),"")</f>
        <v/>
      </c>
      <c r="E241" s="105" t="n"/>
      <c r="F241" s="106" t="n"/>
      <c r="G241" s="99" t="n"/>
    </row>
    <row r="242">
      <c r="A242" s="101">
        <f>YEAR(DIVIDENDOS[[#This Row],[Data Pagamento]])</f>
        <v/>
      </c>
      <c r="C242" s="103">
        <f>IFERROR(IF(DIVIDENDOS[[#This Row],[Data Pagamento]]="","",EOMONTH(B242,0)),"")</f>
        <v/>
      </c>
      <c r="D242" s="104">
        <f>IFERROR(IF(DIVIDENDOS[[#This Row],[Data Pagamento]]="","",DIVIDENDOS[[#This Row],[Data Pagamento]]),"")</f>
        <v/>
      </c>
      <c r="E242" s="105" t="n"/>
      <c r="F242" s="106" t="n"/>
      <c r="G242" s="99" t="n"/>
    </row>
    <row r="243">
      <c r="A243" s="101">
        <f>YEAR(DIVIDENDOS[[#This Row],[Data Pagamento]])</f>
        <v/>
      </c>
      <c r="C243" s="103">
        <f>IFERROR(IF(DIVIDENDOS[[#This Row],[Data Pagamento]]="","",EOMONTH(B243,0)),"")</f>
        <v/>
      </c>
      <c r="D243" s="104">
        <f>IFERROR(IF(DIVIDENDOS[[#This Row],[Data Pagamento]]="","",DIVIDENDOS[[#This Row],[Data Pagamento]]),"")</f>
        <v/>
      </c>
      <c r="E243" s="105" t="n"/>
      <c r="F243" s="106" t="n"/>
      <c r="G243" s="99" t="n"/>
    </row>
    <row r="244">
      <c r="A244" s="101">
        <f>YEAR(DIVIDENDOS[[#This Row],[Data Pagamento]])</f>
        <v/>
      </c>
      <c r="C244" s="103">
        <f>IFERROR(IF(DIVIDENDOS[[#This Row],[Data Pagamento]]="","",EOMONTH(B244,0)),"")</f>
        <v/>
      </c>
      <c r="D244" s="104">
        <f>IFERROR(IF(DIVIDENDOS[[#This Row],[Data Pagamento]]="","",DIVIDENDOS[[#This Row],[Data Pagamento]]),"")</f>
        <v/>
      </c>
      <c r="E244" s="105" t="n"/>
      <c r="F244" s="106" t="n"/>
      <c r="G244" s="99" t="n"/>
    </row>
    <row r="245">
      <c r="A245" s="101">
        <f>YEAR(DIVIDENDOS[[#This Row],[Data Pagamento]])</f>
        <v/>
      </c>
      <c r="C245" s="103">
        <f>IFERROR(IF(DIVIDENDOS[[#This Row],[Data Pagamento]]="","",EOMONTH(B245,0)),"")</f>
        <v/>
      </c>
      <c r="D245" s="104">
        <f>IFERROR(IF(DIVIDENDOS[[#This Row],[Data Pagamento]]="","",DIVIDENDOS[[#This Row],[Data Pagamento]]),"")</f>
        <v/>
      </c>
      <c r="E245" s="105" t="n"/>
      <c r="F245" s="106" t="n"/>
      <c r="G245" s="99" t="n"/>
    </row>
    <row r="246">
      <c r="A246" s="101">
        <f>YEAR(DIVIDENDOS[[#This Row],[Data Pagamento]])</f>
        <v/>
      </c>
      <c r="C246" s="103">
        <f>IFERROR(IF(DIVIDENDOS[[#This Row],[Data Pagamento]]="","",EOMONTH(B246,0)),"")</f>
        <v/>
      </c>
      <c r="D246" s="104">
        <f>IFERROR(IF(DIVIDENDOS[[#This Row],[Data Pagamento]]="","",DIVIDENDOS[[#This Row],[Data Pagamento]]),"")</f>
        <v/>
      </c>
      <c r="E246" s="105" t="n"/>
      <c r="F246" s="106" t="n"/>
      <c r="G246" s="99" t="n"/>
    </row>
    <row r="247">
      <c r="A247" s="101">
        <f>YEAR(DIVIDENDOS[[#This Row],[Data Pagamento]])</f>
        <v/>
      </c>
      <c r="C247" s="103">
        <f>IFERROR(IF(DIVIDENDOS[[#This Row],[Data Pagamento]]="","",EOMONTH(B247,0)),"")</f>
        <v/>
      </c>
      <c r="D247" s="104">
        <f>IFERROR(IF(DIVIDENDOS[[#This Row],[Data Pagamento]]="","",DIVIDENDOS[[#This Row],[Data Pagamento]]),"")</f>
        <v/>
      </c>
      <c r="E247" s="105" t="n"/>
      <c r="F247" s="106" t="n"/>
      <c r="G247" s="99" t="n"/>
    </row>
    <row r="248">
      <c r="A248" s="101">
        <f>YEAR(DIVIDENDOS[[#This Row],[Data Pagamento]])</f>
        <v/>
      </c>
      <c r="C248" s="103">
        <f>IFERROR(IF(DIVIDENDOS[[#This Row],[Data Pagamento]]="","",EOMONTH(B248,0)),"")</f>
        <v/>
      </c>
      <c r="D248" s="104">
        <f>IFERROR(IF(DIVIDENDOS[[#This Row],[Data Pagamento]]="","",DIVIDENDOS[[#This Row],[Data Pagamento]]),"")</f>
        <v/>
      </c>
      <c r="E248" s="105" t="n"/>
      <c r="F248" s="106" t="n"/>
      <c r="G248" s="99" t="n"/>
    </row>
    <row r="249">
      <c r="A249" s="101">
        <f>YEAR(DIVIDENDOS[[#This Row],[Data Pagamento]])</f>
        <v/>
      </c>
      <c r="C249" s="103">
        <f>IFERROR(IF(DIVIDENDOS[[#This Row],[Data Pagamento]]="","",EOMONTH(B249,0)),"")</f>
        <v/>
      </c>
      <c r="D249" s="104">
        <f>IFERROR(IF(DIVIDENDOS[[#This Row],[Data Pagamento]]="","",DIVIDENDOS[[#This Row],[Data Pagamento]]),"")</f>
        <v/>
      </c>
      <c r="E249" s="105" t="n"/>
      <c r="F249" s="106" t="n"/>
      <c r="G249" s="99" t="n"/>
    </row>
    <row r="250">
      <c r="A250" s="101">
        <f>YEAR(DIVIDENDOS[[#This Row],[Data Pagamento]])</f>
        <v/>
      </c>
      <c r="C250" s="103">
        <f>IFERROR(IF(DIVIDENDOS[[#This Row],[Data Pagamento]]="","",EOMONTH(B250,0)),"")</f>
        <v/>
      </c>
      <c r="D250" s="104">
        <f>IFERROR(IF(DIVIDENDOS[[#This Row],[Data Pagamento]]="","",DIVIDENDOS[[#This Row],[Data Pagamento]]),"")</f>
        <v/>
      </c>
      <c r="E250" s="105" t="n"/>
      <c r="F250" s="106" t="n"/>
      <c r="G250" s="99" t="n"/>
    </row>
    <row r="251">
      <c r="A251" s="101">
        <f>YEAR(DIVIDENDOS[[#This Row],[Data Pagamento]])</f>
        <v/>
      </c>
      <c r="C251" s="103">
        <f>IFERROR(IF(DIVIDENDOS[[#This Row],[Data Pagamento]]="","",EOMONTH(B251,0)),"")</f>
        <v/>
      </c>
      <c r="D251" s="104">
        <f>IFERROR(IF(DIVIDENDOS[[#This Row],[Data Pagamento]]="","",DIVIDENDOS[[#This Row],[Data Pagamento]]),"")</f>
        <v/>
      </c>
      <c r="E251" s="105" t="n"/>
      <c r="F251" s="106" t="n"/>
      <c r="G251" s="99" t="n"/>
    </row>
    <row r="252">
      <c r="A252" s="101">
        <f>YEAR(DIVIDENDOS[[#This Row],[Data Pagamento]])</f>
        <v/>
      </c>
      <c r="C252" s="103">
        <f>IFERROR(IF(DIVIDENDOS[[#This Row],[Data Pagamento]]="","",EOMONTH(B252,0)),"")</f>
        <v/>
      </c>
      <c r="D252" s="104">
        <f>IFERROR(IF(DIVIDENDOS[[#This Row],[Data Pagamento]]="","",DIVIDENDOS[[#This Row],[Data Pagamento]]),"")</f>
        <v/>
      </c>
      <c r="E252" s="105" t="n"/>
      <c r="F252" s="106" t="n"/>
      <c r="G252" s="99" t="n"/>
    </row>
    <row r="253">
      <c r="A253" s="101">
        <f>YEAR(DIVIDENDOS[[#This Row],[Data Pagamento]])</f>
        <v/>
      </c>
      <c r="C253" s="103">
        <f>IFERROR(IF(DIVIDENDOS[[#This Row],[Data Pagamento]]="","",EOMONTH(B253,0)),"")</f>
        <v/>
      </c>
      <c r="D253" s="104">
        <f>IFERROR(IF(DIVIDENDOS[[#This Row],[Data Pagamento]]="","",DIVIDENDOS[[#This Row],[Data Pagamento]]),"")</f>
        <v/>
      </c>
      <c r="E253" s="105" t="n"/>
      <c r="F253" s="106" t="n"/>
      <c r="G253" s="99" t="n"/>
    </row>
    <row r="254">
      <c r="A254" s="101">
        <f>YEAR(DIVIDENDOS[[#This Row],[Data Pagamento]])</f>
        <v/>
      </c>
      <c r="C254" s="103">
        <f>IFERROR(IF(DIVIDENDOS[[#This Row],[Data Pagamento]]="","",EOMONTH(B254,0)),"")</f>
        <v/>
      </c>
      <c r="D254" s="104">
        <f>IFERROR(IF(DIVIDENDOS[[#This Row],[Data Pagamento]]="","",DIVIDENDOS[[#This Row],[Data Pagamento]]),"")</f>
        <v/>
      </c>
      <c r="E254" s="105" t="n"/>
      <c r="F254" s="106" t="n"/>
      <c r="G254" s="99" t="n"/>
    </row>
    <row r="255">
      <c r="A255" s="101">
        <f>YEAR(DIVIDENDOS[[#This Row],[Data Pagamento]])</f>
        <v/>
      </c>
      <c r="C255" s="103">
        <f>IFERROR(IF(DIVIDENDOS[[#This Row],[Data Pagamento]]="","",EOMONTH(B255,0)),"")</f>
        <v/>
      </c>
      <c r="D255" s="104">
        <f>IFERROR(IF(DIVIDENDOS[[#This Row],[Data Pagamento]]="","",DIVIDENDOS[[#This Row],[Data Pagamento]]),"")</f>
        <v/>
      </c>
      <c r="E255" s="105" t="n"/>
      <c r="F255" s="106" t="n"/>
      <c r="G255" s="99" t="n"/>
    </row>
    <row r="256">
      <c r="A256" s="101">
        <f>YEAR(DIVIDENDOS[[#This Row],[Data Pagamento]])</f>
        <v/>
      </c>
      <c r="C256" s="103">
        <f>IFERROR(IF(DIVIDENDOS[[#This Row],[Data Pagamento]]="","",EOMONTH(B256,0)),"")</f>
        <v/>
      </c>
      <c r="D256" s="104">
        <f>IFERROR(IF(DIVIDENDOS[[#This Row],[Data Pagamento]]="","",DIVIDENDOS[[#This Row],[Data Pagamento]]),"")</f>
        <v/>
      </c>
      <c r="E256" s="105" t="n"/>
      <c r="F256" s="106" t="n"/>
      <c r="G256" s="99" t="n"/>
    </row>
    <row r="257">
      <c r="A257" s="101">
        <f>YEAR(DIVIDENDOS[[#This Row],[Data Pagamento]])</f>
        <v/>
      </c>
      <c r="C257" s="103">
        <f>IFERROR(IF(DIVIDENDOS[[#This Row],[Data Pagamento]]="","",EOMONTH(B257,0)),"")</f>
        <v/>
      </c>
      <c r="D257" s="104">
        <f>IFERROR(IF(DIVIDENDOS[[#This Row],[Data Pagamento]]="","",DIVIDENDOS[[#This Row],[Data Pagamento]]),"")</f>
        <v/>
      </c>
      <c r="E257" s="105" t="n"/>
      <c r="F257" s="106" t="n"/>
      <c r="G257" s="99" t="n"/>
    </row>
    <row r="258">
      <c r="A258" s="101">
        <f>YEAR(DIVIDENDOS[[#This Row],[Data Pagamento]])</f>
        <v/>
      </c>
      <c r="C258" s="103">
        <f>IFERROR(IF(DIVIDENDOS[[#This Row],[Data Pagamento]]="","",EOMONTH(B258,0)),"")</f>
        <v/>
      </c>
      <c r="D258" s="104">
        <f>IFERROR(IF(DIVIDENDOS[[#This Row],[Data Pagamento]]="","",DIVIDENDOS[[#This Row],[Data Pagamento]]),"")</f>
        <v/>
      </c>
      <c r="E258" s="105" t="n"/>
      <c r="F258" s="106" t="n"/>
      <c r="G258" s="99" t="n"/>
    </row>
    <row r="259">
      <c r="A259" s="101">
        <f>YEAR(DIVIDENDOS[[#This Row],[Data Pagamento]])</f>
        <v/>
      </c>
      <c r="C259" s="103">
        <f>IFERROR(IF(DIVIDENDOS[[#This Row],[Data Pagamento]]="","",EOMONTH(B259,0)),"")</f>
        <v/>
      </c>
      <c r="D259" s="104">
        <f>IFERROR(IF(DIVIDENDOS[[#This Row],[Data Pagamento]]="","",DIVIDENDOS[[#This Row],[Data Pagamento]]),"")</f>
        <v/>
      </c>
      <c r="E259" s="105" t="n"/>
      <c r="F259" s="106" t="n"/>
      <c r="G259" s="99" t="n"/>
    </row>
    <row r="260">
      <c r="A260" s="101">
        <f>YEAR(DIVIDENDOS[[#This Row],[Data Pagamento]])</f>
        <v/>
      </c>
      <c r="C260" s="103">
        <f>IFERROR(IF(DIVIDENDOS[[#This Row],[Data Pagamento]]="","",EOMONTH(B260,0)),"")</f>
        <v/>
      </c>
      <c r="D260" s="104">
        <f>IFERROR(IF(DIVIDENDOS[[#This Row],[Data Pagamento]]="","",DIVIDENDOS[[#This Row],[Data Pagamento]]),"")</f>
        <v/>
      </c>
      <c r="E260" s="105" t="n"/>
      <c r="F260" s="106" t="n"/>
      <c r="G260" s="99" t="n"/>
    </row>
    <row r="261">
      <c r="A261" s="101">
        <f>YEAR(DIVIDENDOS[[#This Row],[Data Pagamento]])</f>
        <v/>
      </c>
      <c r="C261" s="103">
        <f>IFERROR(IF(DIVIDENDOS[[#This Row],[Data Pagamento]]="","",EOMONTH(B261,0)),"")</f>
        <v/>
      </c>
      <c r="D261" s="104">
        <f>IFERROR(IF(DIVIDENDOS[[#This Row],[Data Pagamento]]="","",DIVIDENDOS[[#This Row],[Data Pagamento]]),"")</f>
        <v/>
      </c>
      <c r="E261" s="105" t="n"/>
      <c r="F261" s="106" t="n"/>
      <c r="G261" s="99" t="n"/>
    </row>
    <row r="262">
      <c r="A262" s="101">
        <f>YEAR(DIVIDENDOS[[#This Row],[Data Pagamento]])</f>
        <v/>
      </c>
      <c r="C262" s="103">
        <f>IFERROR(IF(DIVIDENDOS[[#This Row],[Data Pagamento]]="","",EOMONTH(B262,0)),"")</f>
        <v/>
      </c>
      <c r="D262" s="104">
        <f>IFERROR(IF(DIVIDENDOS[[#This Row],[Data Pagamento]]="","",DIVIDENDOS[[#This Row],[Data Pagamento]]),"")</f>
        <v/>
      </c>
      <c r="E262" s="105" t="n"/>
      <c r="F262" s="106" t="n"/>
      <c r="G262" s="99" t="n"/>
    </row>
    <row r="263">
      <c r="A263" s="101">
        <f>YEAR(DIVIDENDOS[[#This Row],[Data Pagamento]])</f>
        <v/>
      </c>
      <c r="C263" s="103">
        <f>IFERROR(IF(DIVIDENDOS[[#This Row],[Data Pagamento]]="","",EOMONTH(B263,0)),"")</f>
        <v/>
      </c>
      <c r="D263" s="104">
        <f>IFERROR(IF(DIVIDENDOS[[#This Row],[Data Pagamento]]="","",DIVIDENDOS[[#This Row],[Data Pagamento]]),"")</f>
        <v/>
      </c>
      <c r="E263" s="105" t="n"/>
      <c r="F263" s="106" t="n"/>
      <c r="G263" s="99" t="n"/>
    </row>
    <row r="264">
      <c r="A264" s="101">
        <f>YEAR(DIVIDENDOS[[#This Row],[Data Pagamento]])</f>
        <v/>
      </c>
      <c r="C264" s="103">
        <f>IFERROR(IF(DIVIDENDOS[[#This Row],[Data Pagamento]]="","",EOMONTH(B264,0)),"")</f>
        <v/>
      </c>
      <c r="D264" s="104">
        <f>IFERROR(IF(DIVIDENDOS[[#This Row],[Data Pagamento]]="","",DIVIDENDOS[[#This Row],[Data Pagamento]]),"")</f>
        <v/>
      </c>
      <c r="E264" s="105" t="n"/>
      <c r="F264" s="106" t="n"/>
      <c r="G264" s="99" t="n"/>
    </row>
    <row r="265">
      <c r="A265" s="101">
        <f>YEAR(DIVIDENDOS[[#This Row],[Data Pagamento]])</f>
        <v/>
      </c>
      <c r="C265" s="103">
        <f>IFERROR(IF(DIVIDENDOS[[#This Row],[Data Pagamento]]="","",EOMONTH(B265,0)),"")</f>
        <v/>
      </c>
      <c r="D265" s="104">
        <f>IFERROR(IF(DIVIDENDOS[[#This Row],[Data Pagamento]]="","",DIVIDENDOS[[#This Row],[Data Pagamento]]),"")</f>
        <v/>
      </c>
      <c r="E265" s="105" t="n"/>
      <c r="F265" s="106" t="n"/>
      <c r="G265" s="99" t="n"/>
    </row>
    <row r="266">
      <c r="A266" s="101">
        <f>YEAR(DIVIDENDOS[[#This Row],[Data Pagamento]])</f>
        <v/>
      </c>
      <c r="C266" s="103">
        <f>IFERROR(IF(DIVIDENDOS[[#This Row],[Data Pagamento]]="","",EOMONTH(B266,0)),"")</f>
        <v/>
      </c>
      <c r="D266" s="104">
        <f>IFERROR(IF(DIVIDENDOS[[#This Row],[Data Pagamento]]="","",DIVIDENDOS[[#This Row],[Data Pagamento]]),"")</f>
        <v/>
      </c>
      <c r="E266" s="105" t="n"/>
      <c r="F266" s="106" t="n"/>
      <c r="G266" s="99" t="n"/>
    </row>
    <row r="267">
      <c r="A267" s="101">
        <f>YEAR(DIVIDENDOS[[#This Row],[Data Pagamento]])</f>
        <v/>
      </c>
      <c r="C267" s="103">
        <f>IFERROR(IF(DIVIDENDOS[[#This Row],[Data Pagamento]]="","",EOMONTH(B267,0)),"")</f>
        <v/>
      </c>
      <c r="D267" s="104">
        <f>IFERROR(IF(DIVIDENDOS[[#This Row],[Data Pagamento]]="","",DIVIDENDOS[[#This Row],[Data Pagamento]]),"")</f>
        <v/>
      </c>
      <c r="E267" s="105" t="n"/>
      <c r="F267" s="106" t="n"/>
      <c r="G267" s="99" t="n"/>
    </row>
    <row r="268">
      <c r="A268" s="101">
        <f>YEAR(DIVIDENDOS[[#This Row],[Data Pagamento]])</f>
        <v/>
      </c>
      <c r="C268" s="103">
        <f>IFERROR(IF(DIVIDENDOS[[#This Row],[Data Pagamento]]="","",EOMONTH(B268,0)),"")</f>
        <v/>
      </c>
      <c r="D268" s="104">
        <f>IFERROR(IF(DIVIDENDOS[[#This Row],[Data Pagamento]]="","",DIVIDENDOS[[#This Row],[Data Pagamento]]),"")</f>
        <v/>
      </c>
      <c r="E268" s="105" t="n"/>
      <c r="F268" s="106" t="n"/>
      <c r="G268" s="99" t="n"/>
    </row>
    <row r="269">
      <c r="A269" s="101">
        <f>YEAR(DIVIDENDOS[[#This Row],[Data Pagamento]])</f>
        <v/>
      </c>
      <c r="C269" s="103">
        <f>IFERROR(IF(DIVIDENDOS[[#This Row],[Data Pagamento]]="","",EOMONTH(B269,0)),"")</f>
        <v/>
      </c>
      <c r="D269" s="104">
        <f>IFERROR(IF(DIVIDENDOS[[#This Row],[Data Pagamento]]="","",DIVIDENDOS[[#This Row],[Data Pagamento]]),"")</f>
        <v/>
      </c>
      <c r="E269" s="105" t="n"/>
      <c r="F269" s="106" t="n"/>
      <c r="G269" s="99" t="n"/>
    </row>
    <row r="270">
      <c r="A270" s="101">
        <f>YEAR(DIVIDENDOS[[#This Row],[Data Pagamento]])</f>
        <v/>
      </c>
      <c r="C270" s="103">
        <f>IFERROR(IF(DIVIDENDOS[[#This Row],[Data Pagamento]]="","",EOMONTH(B270,0)),"")</f>
        <v/>
      </c>
      <c r="D270" s="104">
        <f>IFERROR(IF(DIVIDENDOS[[#This Row],[Data Pagamento]]="","",DIVIDENDOS[[#This Row],[Data Pagamento]]),"")</f>
        <v/>
      </c>
      <c r="E270" s="105" t="n"/>
      <c r="F270" s="106" t="n"/>
      <c r="G270" s="99" t="n"/>
    </row>
    <row r="271">
      <c r="A271" s="101">
        <f>YEAR(DIVIDENDOS[[#This Row],[Data Pagamento]])</f>
        <v/>
      </c>
      <c r="C271" s="103">
        <f>IFERROR(IF(DIVIDENDOS[[#This Row],[Data Pagamento]]="","",EOMONTH(B271,0)),"")</f>
        <v/>
      </c>
      <c r="D271" s="104">
        <f>IFERROR(IF(DIVIDENDOS[[#This Row],[Data Pagamento]]="","",DIVIDENDOS[[#This Row],[Data Pagamento]]),"")</f>
        <v/>
      </c>
      <c r="E271" s="105" t="n"/>
      <c r="F271" s="106" t="n"/>
      <c r="G271" s="99" t="n"/>
    </row>
    <row r="272">
      <c r="A272" s="101">
        <f>YEAR(DIVIDENDOS[[#This Row],[Data Pagamento]])</f>
        <v/>
      </c>
      <c r="C272" s="103">
        <f>IFERROR(IF(DIVIDENDOS[[#This Row],[Data Pagamento]]="","",EOMONTH(B272,0)),"")</f>
        <v/>
      </c>
      <c r="D272" s="104">
        <f>IFERROR(IF(DIVIDENDOS[[#This Row],[Data Pagamento]]="","",DIVIDENDOS[[#This Row],[Data Pagamento]]),"")</f>
        <v/>
      </c>
      <c r="E272" s="105" t="n"/>
      <c r="F272" s="106" t="n"/>
      <c r="G272" s="99" t="n"/>
    </row>
    <row r="273">
      <c r="A273" s="101">
        <f>YEAR(DIVIDENDOS[[#This Row],[Data Pagamento]])</f>
        <v/>
      </c>
      <c r="C273" s="103">
        <f>IFERROR(IF(DIVIDENDOS[[#This Row],[Data Pagamento]]="","",EOMONTH(B273,0)),"")</f>
        <v/>
      </c>
      <c r="D273" s="104">
        <f>IFERROR(IF(DIVIDENDOS[[#This Row],[Data Pagamento]]="","",DIVIDENDOS[[#This Row],[Data Pagamento]]),"")</f>
        <v/>
      </c>
      <c r="E273" s="105" t="n"/>
      <c r="F273" s="106" t="n"/>
      <c r="G273" s="99" t="n"/>
    </row>
    <row r="274">
      <c r="A274" s="101">
        <f>YEAR(DIVIDENDOS[[#This Row],[Data Pagamento]])</f>
        <v/>
      </c>
      <c r="C274" s="103">
        <f>IFERROR(IF(DIVIDENDOS[[#This Row],[Data Pagamento]]="","",EOMONTH(B274,0)),"")</f>
        <v/>
      </c>
      <c r="D274" s="104">
        <f>IFERROR(IF(DIVIDENDOS[[#This Row],[Data Pagamento]]="","",DIVIDENDOS[[#This Row],[Data Pagamento]]),"")</f>
        <v/>
      </c>
      <c r="E274" s="105" t="n"/>
      <c r="F274" s="106" t="n"/>
      <c r="G274" s="99" t="n"/>
    </row>
    <row r="275">
      <c r="A275" s="101">
        <f>YEAR(DIVIDENDOS[[#This Row],[Data Pagamento]])</f>
        <v/>
      </c>
      <c r="C275" s="103">
        <f>IFERROR(IF(DIVIDENDOS[[#This Row],[Data Pagamento]]="","",EOMONTH(B275,0)),"")</f>
        <v/>
      </c>
      <c r="D275" s="104">
        <f>IFERROR(IF(DIVIDENDOS[[#This Row],[Data Pagamento]]="","",DIVIDENDOS[[#This Row],[Data Pagamento]]),"")</f>
        <v/>
      </c>
      <c r="E275" s="105" t="n"/>
      <c r="F275" s="106" t="n"/>
      <c r="G275" s="99" t="n"/>
    </row>
    <row r="276">
      <c r="A276" s="101">
        <f>YEAR(DIVIDENDOS[[#This Row],[Data Pagamento]])</f>
        <v/>
      </c>
      <c r="C276" s="103">
        <f>IFERROR(IF(DIVIDENDOS[[#This Row],[Data Pagamento]]="","",EOMONTH(B276,0)),"")</f>
        <v/>
      </c>
      <c r="D276" s="104">
        <f>IFERROR(IF(DIVIDENDOS[[#This Row],[Data Pagamento]]="","",DIVIDENDOS[[#This Row],[Data Pagamento]]),"")</f>
        <v/>
      </c>
      <c r="E276" s="105" t="n"/>
      <c r="F276" s="106" t="n"/>
      <c r="G276" s="99" t="n"/>
    </row>
    <row r="277">
      <c r="A277" s="101">
        <f>YEAR(DIVIDENDOS[[#This Row],[Data Pagamento]])</f>
        <v/>
      </c>
      <c r="C277" s="103">
        <f>IFERROR(IF(DIVIDENDOS[[#This Row],[Data Pagamento]]="","",EOMONTH(B277,0)),"")</f>
        <v/>
      </c>
      <c r="D277" s="104">
        <f>IFERROR(IF(DIVIDENDOS[[#This Row],[Data Pagamento]]="","",DIVIDENDOS[[#This Row],[Data Pagamento]]),"")</f>
        <v/>
      </c>
      <c r="E277" s="105" t="n"/>
      <c r="F277" s="106" t="n"/>
    </row>
    <row r="278">
      <c r="A278" s="101">
        <f>YEAR(DIVIDENDOS[[#This Row],[Data Pagamento]])</f>
        <v/>
      </c>
      <c r="C278" s="103">
        <f>IFERROR(IF(DIVIDENDOS[[#This Row],[Data Pagamento]]="","",EOMONTH(B278,0)),"")</f>
        <v/>
      </c>
      <c r="D278" s="104">
        <f>IFERROR(IF(DIVIDENDOS[[#This Row],[Data Pagamento]]="","",DIVIDENDOS[[#This Row],[Data Pagamento]]),"")</f>
        <v/>
      </c>
      <c r="E278" s="105" t="n"/>
      <c r="F278" s="106" t="n"/>
    </row>
    <row r="279">
      <c r="A279" s="101">
        <f>YEAR(DIVIDENDOS[[#This Row],[Data Pagamento]])</f>
        <v/>
      </c>
      <c r="C279" s="103">
        <f>IFERROR(IF(DIVIDENDOS[[#This Row],[Data Pagamento]]="","",EOMONTH(B279,0)),"")</f>
        <v/>
      </c>
      <c r="D279" s="104">
        <f>IFERROR(IF(DIVIDENDOS[[#This Row],[Data Pagamento]]="","",DIVIDENDOS[[#This Row],[Data Pagamento]]),"")</f>
        <v/>
      </c>
      <c r="E279" s="105" t="n"/>
      <c r="F279" s="106" t="n"/>
    </row>
    <row r="280">
      <c r="A280" s="101">
        <f>YEAR(DIVIDENDOS[[#This Row],[Data Pagamento]])</f>
        <v/>
      </c>
      <c r="C280" s="103">
        <f>IFERROR(IF(DIVIDENDOS[[#This Row],[Data Pagamento]]="","",EOMONTH(B280,0)),"")</f>
        <v/>
      </c>
      <c r="D280" s="104">
        <f>IFERROR(IF(DIVIDENDOS[[#This Row],[Data Pagamento]]="","",DIVIDENDOS[[#This Row],[Data Pagamento]]),"")</f>
        <v/>
      </c>
      <c r="E280" s="105" t="n"/>
      <c r="F280" s="106" t="n"/>
      <c r="G280" s="99" t="n"/>
    </row>
    <row r="281">
      <c r="A281" s="101">
        <f>YEAR(DIVIDENDOS[[#This Row],[Data Pagamento]])</f>
        <v/>
      </c>
      <c r="C281" s="103">
        <f>IFERROR(IF(DIVIDENDOS[[#This Row],[Data Pagamento]]="","",EOMONTH(B281,0)),"")</f>
        <v/>
      </c>
      <c r="D281" s="104">
        <f>IFERROR(IF(DIVIDENDOS[[#This Row],[Data Pagamento]]="","",DIVIDENDOS[[#This Row],[Data Pagamento]]),"")</f>
        <v/>
      </c>
      <c r="E281" s="105" t="n"/>
      <c r="F281" s="106" t="n"/>
      <c r="G281" s="99" t="n"/>
    </row>
    <row r="282">
      <c r="A282" s="101">
        <f>YEAR(DIVIDENDOS[[#This Row],[Data Pagamento]])</f>
        <v/>
      </c>
      <c r="C282" s="103">
        <f>IFERROR(IF(DIVIDENDOS[[#This Row],[Data Pagamento]]="","",EOMONTH(B282,0)),"")</f>
        <v/>
      </c>
      <c r="D282" s="104">
        <f>IFERROR(IF(DIVIDENDOS[[#This Row],[Data Pagamento]]="","",DIVIDENDOS[[#This Row],[Data Pagamento]]),"")</f>
        <v/>
      </c>
      <c r="E282" s="105" t="n"/>
      <c r="F282" s="106" t="n"/>
      <c r="G282" s="99" t="n"/>
    </row>
    <row r="283">
      <c r="A283" s="101">
        <f>YEAR(DIVIDENDOS[[#This Row],[Data Pagamento]])</f>
        <v/>
      </c>
      <c r="C283" s="103">
        <f>IFERROR(IF(DIVIDENDOS[[#This Row],[Data Pagamento]]="","",EOMONTH(B283,0)),"")</f>
        <v/>
      </c>
      <c r="D283" s="104">
        <f>IFERROR(IF(DIVIDENDOS[[#This Row],[Data Pagamento]]="","",DIVIDENDOS[[#This Row],[Data Pagamento]]),"")</f>
        <v/>
      </c>
      <c r="E283" s="105" t="n"/>
      <c r="F283" s="106" t="n"/>
    </row>
    <row r="284">
      <c r="A284" s="101">
        <f>YEAR(DIVIDENDOS[[#This Row],[Data Pagamento]])</f>
        <v/>
      </c>
      <c r="C284" s="103">
        <f>IFERROR(IF(DIVIDENDOS[[#This Row],[Data Pagamento]]="","",EOMONTH(B284,0)),"")</f>
        <v/>
      </c>
      <c r="D284" s="104">
        <f>IFERROR(IF(DIVIDENDOS[[#This Row],[Data Pagamento]]="","",DIVIDENDOS[[#This Row],[Data Pagamento]]),"")</f>
        <v/>
      </c>
      <c r="E284" s="105" t="n"/>
      <c r="F284" s="106" t="n"/>
    </row>
    <row r="285">
      <c r="A285" s="101">
        <f>YEAR(DIVIDENDOS[[#This Row],[Data Pagamento]])</f>
        <v/>
      </c>
      <c r="C285" s="103">
        <f>IFERROR(IF(DIVIDENDOS[[#This Row],[Data Pagamento]]="","",EOMONTH(B285,0)),"")</f>
        <v/>
      </c>
      <c r="D285" s="104">
        <f>IFERROR(IF(DIVIDENDOS[[#This Row],[Data Pagamento]]="","",DIVIDENDOS[[#This Row],[Data Pagamento]]),"")</f>
        <v/>
      </c>
      <c r="E285" s="105" t="n"/>
      <c r="F285" s="106" t="n"/>
    </row>
    <row r="286">
      <c r="A286" s="101">
        <f>YEAR(DIVIDENDOS[[#This Row],[Data Pagamento]])</f>
        <v/>
      </c>
      <c r="C286" s="103">
        <f>IFERROR(IF(DIVIDENDOS[[#This Row],[Data Pagamento]]="","",EOMONTH(B286,0)),"")</f>
        <v/>
      </c>
      <c r="D286" s="104">
        <f>IFERROR(IF(DIVIDENDOS[[#This Row],[Data Pagamento]]="","",DIVIDENDOS[[#This Row],[Data Pagamento]]),"")</f>
        <v/>
      </c>
      <c r="E286" s="105" t="n"/>
      <c r="F286" s="106" t="n"/>
    </row>
    <row r="287">
      <c r="A287" s="101">
        <f>YEAR(DIVIDENDOS[[#This Row],[Data Pagamento]])</f>
        <v/>
      </c>
      <c r="C287" s="103">
        <f>IFERROR(IF(DIVIDENDOS[[#This Row],[Data Pagamento]]="","",EOMONTH(B287,0)),"")</f>
        <v/>
      </c>
      <c r="D287" s="104">
        <f>IFERROR(IF(DIVIDENDOS[[#This Row],[Data Pagamento]]="","",DIVIDENDOS[[#This Row],[Data Pagamento]]),"")</f>
        <v/>
      </c>
      <c r="E287" s="105" t="n"/>
      <c r="F287" s="106" t="n"/>
    </row>
    <row r="288">
      <c r="A288" s="101">
        <f>YEAR(DIVIDENDOS[[#This Row],[Data Pagamento]])</f>
        <v/>
      </c>
      <c r="C288" s="103">
        <f>IFERROR(IF(DIVIDENDOS[[#This Row],[Data Pagamento]]="","",EOMONTH(B288,0)),"")</f>
        <v/>
      </c>
      <c r="D288" s="104">
        <f>IFERROR(IF(DIVIDENDOS[[#This Row],[Data Pagamento]]="","",DIVIDENDOS[[#This Row],[Data Pagamento]]),"")</f>
        <v/>
      </c>
      <c r="E288" s="105" t="n"/>
      <c r="F288" s="106" t="n"/>
    </row>
    <row r="289">
      <c r="A289" s="101">
        <f>YEAR(DIVIDENDOS[[#This Row],[Data Pagamento]])</f>
        <v/>
      </c>
      <c r="C289" s="103">
        <f>IFERROR(IF(DIVIDENDOS[[#This Row],[Data Pagamento]]="","",EOMONTH(B289,0)),"")</f>
        <v/>
      </c>
      <c r="D289" s="104">
        <f>IFERROR(IF(DIVIDENDOS[[#This Row],[Data Pagamento]]="","",DIVIDENDOS[[#This Row],[Data Pagamento]]),"")</f>
        <v/>
      </c>
      <c r="E289" s="105" t="n"/>
      <c r="F289" s="106" t="n"/>
    </row>
    <row r="290">
      <c r="A290" s="101">
        <f>YEAR(DIVIDENDOS[[#This Row],[Data Pagamento]])</f>
        <v/>
      </c>
      <c r="C290" s="103">
        <f>IFERROR(IF(DIVIDENDOS[[#This Row],[Data Pagamento]]="","",EOMONTH(B290,0)),"")</f>
        <v/>
      </c>
      <c r="D290" s="104">
        <f>IFERROR(IF(DIVIDENDOS[[#This Row],[Data Pagamento]]="","",DIVIDENDOS[[#This Row],[Data Pagamento]]),"")</f>
        <v/>
      </c>
      <c r="E290" s="105" t="n"/>
      <c r="F290" s="106" t="n"/>
    </row>
    <row r="291">
      <c r="A291" s="101">
        <f>YEAR(DIVIDENDOS[[#This Row],[Data Pagamento]])</f>
        <v/>
      </c>
      <c r="C291" s="103">
        <f>IFERROR(IF(DIVIDENDOS[[#This Row],[Data Pagamento]]="","",EOMONTH(B291,0)),"")</f>
        <v/>
      </c>
      <c r="D291" s="104">
        <f>IFERROR(IF(DIVIDENDOS[[#This Row],[Data Pagamento]]="","",DIVIDENDOS[[#This Row],[Data Pagamento]]),"")</f>
        <v/>
      </c>
      <c r="E291" s="105" t="n"/>
      <c r="F291" s="106" t="n"/>
    </row>
    <row r="292">
      <c r="A292" s="101">
        <f>YEAR(DIVIDENDOS[[#This Row],[Data Pagamento]])</f>
        <v/>
      </c>
      <c r="C292" s="103">
        <f>IFERROR(IF(DIVIDENDOS[[#This Row],[Data Pagamento]]="","",EOMONTH(B292,0)),"")</f>
        <v/>
      </c>
      <c r="D292" s="104">
        <f>IFERROR(IF(DIVIDENDOS[[#This Row],[Data Pagamento]]="","",DIVIDENDOS[[#This Row],[Data Pagamento]]),"")</f>
        <v/>
      </c>
      <c r="E292" s="105" t="n"/>
      <c r="F292" s="106" t="n"/>
    </row>
    <row r="293">
      <c r="A293" s="101">
        <f>YEAR(DIVIDENDOS[[#This Row],[Data Pagamento]])</f>
        <v/>
      </c>
      <c r="C293" s="103">
        <f>IFERROR(IF(DIVIDENDOS[[#This Row],[Data Pagamento]]="","",EOMONTH(B293,0)),"")</f>
        <v/>
      </c>
      <c r="D293" s="104">
        <f>IFERROR(IF(DIVIDENDOS[[#This Row],[Data Pagamento]]="","",DIVIDENDOS[[#This Row],[Data Pagamento]]),"")</f>
        <v/>
      </c>
      <c r="E293" s="105" t="n"/>
      <c r="F293" s="106" t="n"/>
    </row>
    <row r="294">
      <c r="A294" s="101">
        <f>YEAR(DIVIDENDOS[[#This Row],[Data Pagamento]])</f>
        <v/>
      </c>
      <c r="C294" s="103">
        <f>IFERROR(IF(DIVIDENDOS[[#This Row],[Data Pagamento]]="","",EOMONTH(B294,0)),"")</f>
        <v/>
      </c>
      <c r="D294" s="104">
        <f>IFERROR(IF(DIVIDENDOS[[#This Row],[Data Pagamento]]="","",DIVIDENDOS[[#This Row],[Data Pagamento]]),"")</f>
        <v/>
      </c>
      <c r="E294" s="105" t="n"/>
      <c r="F294" s="106" t="n"/>
    </row>
    <row r="295">
      <c r="A295" s="101">
        <f>YEAR(DIVIDENDOS[[#This Row],[Data Pagamento]])</f>
        <v/>
      </c>
      <c r="C295" s="103">
        <f>IFERROR(IF(DIVIDENDOS[[#This Row],[Data Pagamento]]="","",EOMONTH(B295,0)),"")</f>
        <v/>
      </c>
      <c r="D295" s="104">
        <f>IFERROR(IF(DIVIDENDOS[[#This Row],[Data Pagamento]]="","",DIVIDENDOS[[#This Row],[Data Pagamento]]),"")</f>
        <v/>
      </c>
      <c r="E295" s="105" t="n"/>
      <c r="F295" s="106" t="n"/>
    </row>
    <row r="296">
      <c r="A296" s="101">
        <f>YEAR(DIVIDENDOS[[#This Row],[Data Pagamento]])</f>
        <v/>
      </c>
      <c r="C296" s="103">
        <f>IFERROR(IF(DIVIDENDOS[[#This Row],[Data Pagamento]]="","",EOMONTH(B296,0)),"")</f>
        <v/>
      </c>
      <c r="D296" s="104">
        <f>IFERROR(IF(DIVIDENDOS[[#This Row],[Data Pagamento]]="","",DIVIDENDOS[[#This Row],[Data Pagamento]]),"")</f>
        <v/>
      </c>
      <c r="E296" s="105" t="n"/>
      <c r="F296" s="106" t="n"/>
    </row>
    <row r="297">
      <c r="A297" s="101">
        <f>YEAR(DIVIDENDOS[[#This Row],[Data Pagamento]])</f>
        <v/>
      </c>
      <c r="C297" s="103">
        <f>IFERROR(IF(DIVIDENDOS[[#This Row],[Data Pagamento]]="","",EOMONTH(B297,0)),"")</f>
        <v/>
      </c>
      <c r="D297" s="104">
        <f>IFERROR(IF(DIVIDENDOS[[#This Row],[Data Pagamento]]="","",DIVIDENDOS[[#This Row],[Data Pagamento]]),"")</f>
        <v/>
      </c>
      <c r="E297" s="105" t="n"/>
      <c r="F297" s="106" t="n"/>
    </row>
    <row r="298">
      <c r="A298" s="101">
        <f>YEAR(DIVIDENDOS[[#This Row],[Data Pagamento]])</f>
        <v/>
      </c>
      <c r="C298" s="103">
        <f>IFERROR(IF(DIVIDENDOS[[#This Row],[Data Pagamento]]="","",EOMONTH(B298,0)),"")</f>
        <v/>
      </c>
      <c r="D298" s="104">
        <f>IFERROR(IF(DIVIDENDOS[[#This Row],[Data Pagamento]]="","",DIVIDENDOS[[#This Row],[Data Pagamento]]),"")</f>
        <v/>
      </c>
      <c r="E298" s="105" t="n"/>
      <c r="F298" s="106" t="n"/>
    </row>
    <row r="299">
      <c r="A299" s="101">
        <f>YEAR(DIVIDENDOS[[#This Row],[Data Pagamento]])</f>
        <v/>
      </c>
      <c r="C299" s="103">
        <f>IFERROR(IF(DIVIDENDOS[[#This Row],[Data Pagamento]]="","",EOMONTH(B299,0)),"")</f>
        <v/>
      </c>
      <c r="D299" s="104">
        <f>IFERROR(IF(DIVIDENDOS[[#This Row],[Data Pagamento]]="","",DIVIDENDOS[[#This Row],[Data Pagamento]]),"")</f>
        <v/>
      </c>
      <c r="E299" s="105" t="n"/>
      <c r="F299" s="106" t="n"/>
    </row>
    <row r="300">
      <c r="A300" s="101">
        <f>YEAR(DIVIDENDOS[[#This Row],[Data Pagamento]])</f>
        <v/>
      </c>
      <c r="C300" s="103">
        <f>IFERROR(IF(DIVIDENDOS[[#This Row],[Data Pagamento]]="","",EOMONTH(B300,0)),"")</f>
        <v/>
      </c>
      <c r="D300" s="104">
        <f>IFERROR(IF(DIVIDENDOS[[#This Row],[Data Pagamento]]="","",DIVIDENDOS[[#This Row],[Data Pagamento]]),"")</f>
        <v/>
      </c>
      <c r="E300" s="105" t="n"/>
      <c r="F300" s="106" t="n"/>
    </row>
    <row r="301">
      <c r="A301" s="101">
        <f>YEAR(DIVIDENDOS[[#This Row],[Data Pagamento]])</f>
        <v/>
      </c>
      <c r="C301" s="103">
        <f>IFERROR(IF(DIVIDENDOS[[#This Row],[Data Pagamento]]="","",EOMONTH(B301,0)),"")</f>
        <v/>
      </c>
      <c r="D301" s="104">
        <f>IFERROR(IF(DIVIDENDOS[[#This Row],[Data Pagamento]]="","",DIVIDENDOS[[#This Row],[Data Pagamento]]),"")</f>
        <v/>
      </c>
      <c r="E301" s="105" t="n"/>
      <c r="F301" s="106" t="n"/>
      <c r="G301" s="99" t="n"/>
    </row>
    <row r="302">
      <c r="A302" s="101">
        <f>YEAR(DIVIDENDOS[[#This Row],[Data Pagamento]])</f>
        <v/>
      </c>
      <c r="C302" s="103">
        <f>IFERROR(IF(DIVIDENDOS[[#This Row],[Data Pagamento]]="","",EOMONTH(B302,0)),"")</f>
        <v/>
      </c>
      <c r="D302" s="104">
        <f>IFERROR(IF(DIVIDENDOS[[#This Row],[Data Pagamento]]="","",DIVIDENDOS[[#This Row],[Data Pagamento]]),"")</f>
        <v/>
      </c>
      <c r="E302" s="105" t="n"/>
      <c r="F302" s="106" t="n"/>
    </row>
    <row r="303">
      <c r="A303" s="101">
        <f>YEAR(DIVIDENDOS[[#This Row],[Data Pagamento]])</f>
        <v/>
      </c>
      <c r="C303" s="103">
        <f>IFERROR(IF(DIVIDENDOS[[#This Row],[Data Pagamento]]="","",EOMONTH(B303,0)),"")</f>
        <v/>
      </c>
      <c r="D303" s="104">
        <f>IFERROR(IF(DIVIDENDOS[[#This Row],[Data Pagamento]]="","",DIVIDENDOS[[#This Row],[Data Pagamento]]),"")</f>
        <v/>
      </c>
      <c r="E303" s="105" t="n"/>
      <c r="F303" s="106" t="n"/>
      <c r="G303" s="99" t="n"/>
    </row>
    <row r="304">
      <c r="A304" s="101">
        <f>YEAR(DIVIDENDOS[[#This Row],[Data Pagamento]])</f>
        <v/>
      </c>
      <c r="C304" s="103">
        <f>IFERROR(IF(DIVIDENDOS[[#This Row],[Data Pagamento]]="","",EOMONTH(B304,0)),"")</f>
        <v/>
      </c>
      <c r="D304" s="104">
        <f>IFERROR(IF(DIVIDENDOS[[#This Row],[Data Pagamento]]="","",DIVIDENDOS[[#This Row],[Data Pagamento]]),"")</f>
        <v/>
      </c>
      <c r="E304" s="105" t="n"/>
      <c r="F304" s="106" t="n"/>
    </row>
    <row r="305">
      <c r="A305" s="101">
        <f>YEAR(DIVIDENDOS[[#This Row],[Data Pagamento]])</f>
        <v/>
      </c>
      <c r="C305" s="103">
        <f>IFERROR(IF(DIVIDENDOS[[#This Row],[Data Pagamento]]="","",EOMONTH(B305,0)),"")</f>
        <v/>
      </c>
      <c r="D305" s="104">
        <f>IFERROR(IF(DIVIDENDOS[[#This Row],[Data Pagamento]]="","",DIVIDENDOS[[#This Row],[Data Pagamento]]),"")</f>
        <v/>
      </c>
      <c r="E305" s="105" t="n"/>
      <c r="F305" s="106" t="n"/>
    </row>
    <row r="306">
      <c r="A306" s="101">
        <f>YEAR(DIVIDENDOS[[#This Row],[Data Pagamento]])</f>
        <v/>
      </c>
      <c r="C306" s="103">
        <f>IFERROR(IF(DIVIDENDOS[[#This Row],[Data Pagamento]]="","",EOMONTH(B306,0)),"")</f>
        <v/>
      </c>
      <c r="D306" s="104">
        <f>IFERROR(IF(DIVIDENDOS[[#This Row],[Data Pagamento]]="","",DIVIDENDOS[[#This Row],[Data Pagamento]]),"")</f>
        <v/>
      </c>
      <c r="E306" s="105" t="n"/>
      <c r="F306" s="106" t="n"/>
    </row>
    <row r="307">
      <c r="A307" s="101">
        <f>YEAR(DIVIDENDOS[[#This Row],[Data Pagamento]])</f>
        <v/>
      </c>
      <c r="C307" s="103">
        <f>IFERROR(IF(DIVIDENDOS[[#This Row],[Data Pagamento]]="","",EOMONTH(B307,0)),"")</f>
        <v/>
      </c>
      <c r="D307" s="104">
        <f>IFERROR(IF(DIVIDENDOS[[#This Row],[Data Pagamento]]="","",DIVIDENDOS[[#This Row],[Data Pagamento]]),"")</f>
        <v/>
      </c>
      <c r="E307" s="105" t="n"/>
      <c r="F307" s="106" t="n"/>
    </row>
    <row r="308">
      <c r="A308" s="101">
        <f>YEAR(DIVIDENDOS[[#This Row],[Data Pagamento]])</f>
        <v/>
      </c>
      <c r="C308" s="103">
        <f>IFERROR(IF(DIVIDENDOS[[#This Row],[Data Pagamento]]="","",EOMONTH(B308,0)),"")</f>
        <v/>
      </c>
      <c r="D308" s="104">
        <f>IFERROR(IF(DIVIDENDOS[[#This Row],[Data Pagamento]]="","",DIVIDENDOS[[#This Row],[Data Pagamento]]),"")</f>
        <v/>
      </c>
      <c r="E308" s="105" t="n"/>
      <c r="F308" s="106" t="n"/>
    </row>
    <row r="309">
      <c r="A309" s="101">
        <f>YEAR(DIVIDENDOS[[#This Row],[Data Pagamento]])</f>
        <v/>
      </c>
      <c r="C309" s="103">
        <f>IFERROR(IF(DIVIDENDOS[[#This Row],[Data Pagamento]]="","",EOMONTH(B309,0)),"")</f>
        <v/>
      </c>
      <c r="D309" s="104">
        <f>IFERROR(IF(DIVIDENDOS[[#This Row],[Data Pagamento]]="","",DIVIDENDOS[[#This Row],[Data Pagamento]]),"")</f>
        <v/>
      </c>
      <c r="E309" s="105" t="n"/>
      <c r="F309" s="106" t="n"/>
    </row>
    <row r="310">
      <c r="A310" s="101">
        <f>YEAR(DIVIDENDOS[[#This Row],[Data Pagamento]])</f>
        <v/>
      </c>
      <c r="C310" s="103">
        <f>IFERROR(IF(DIVIDENDOS[[#This Row],[Data Pagamento]]="","",EOMONTH(B310,0)),"")</f>
        <v/>
      </c>
      <c r="D310" s="104">
        <f>IFERROR(IF(DIVIDENDOS[[#This Row],[Data Pagamento]]="","",DIVIDENDOS[[#This Row],[Data Pagamento]]),"")</f>
        <v/>
      </c>
      <c r="E310" s="105" t="n"/>
      <c r="F310" s="106" t="n"/>
    </row>
    <row r="311">
      <c r="A311" s="101">
        <f>YEAR(DIVIDENDOS[[#This Row],[Data Pagamento]])</f>
        <v/>
      </c>
      <c r="C311" s="103">
        <f>IFERROR(IF(DIVIDENDOS[[#This Row],[Data Pagamento]]="","",EOMONTH(B311,0)),"")</f>
        <v/>
      </c>
      <c r="D311" s="104">
        <f>IFERROR(IF(DIVIDENDOS[[#This Row],[Data Pagamento]]="","",DIVIDENDOS[[#This Row],[Data Pagamento]]),"")</f>
        <v/>
      </c>
      <c r="E311" s="105" t="n"/>
      <c r="F311" s="106" t="n"/>
    </row>
    <row r="312">
      <c r="A312" s="101">
        <f>YEAR(DIVIDENDOS[[#This Row],[Data Pagamento]])</f>
        <v/>
      </c>
      <c r="C312" s="103">
        <f>IFERROR(IF(DIVIDENDOS[[#This Row],[Data Pagamento]]="","",EOMONTH(B312,0)),"")</f>
        <v/>
      </c>
      <c r="D312" s="104">
        <f>IFERROR(IF(DIVIDENDOS[[#This Row],[Data Pagamento]]="","",DIVIDENDOS[[#This Row],[Data Pagamento]]),"")</f>
        <v/>
      </c>
      <c r="E312" s="105" t="n"/>
      <c r="F312" s="106" t="n"/>
    </row>
    <row r="313">
      <c r="A313" s="101">
        <f>YEAR(DIVIDENDOS[[#This Row],[Data Pagamento]])</f>
        <v/>
      </c>
      <c r="C313" s="103">
        <f>IFERROR(IF(DIVIDENDOS[[#This Row],[Data Pagamento]]="","",EOMONTH(B313,0)),"")</f>
        <v/>
      </c>
      <c r="D313" s="104">
        <f>IFERROR(IF(DIVIDENDOS[[#This Row],[Data Pagamento]]="","",DIVIDENDOS[[#This Row],[Data Pagamento]]),"")</f>
        <v/>
      </c>
      <c r="E313" s="105" t="n"/>
      <c r="F313" s="106" t="n"/>
    </row>
    <row r="314">
      <c r="A314" s="101">
        <f>YEAR(DIVIDENDOS[[#This Row],[Data Pagamento]])</f>
        <v/>
      </c>
      <c r="C314" s="103">
        <f>IFERROR(IF(DIVIDENDOS[[#This Row],[Data Pagamento]]="","",EOMONTH(B314,0)),"")</f>
        <v/>
      </c>
      <c r="D314" s="104">
        <f>IFERROR(IF(DIVIDENDOS[[#This Row],[Data Pagamento]]="","",DIVIDENDOS[[#This Row],[Data Pagamento]]),"")</f>
        <v/>
      </c>
      <c r="E314" s="105" t="n"/>
      <c r="F314" s="106" t="n"/>
    </row>
    <row r="315">
      <c r="A315" s="101">
        <f>YEAR(DIVIDENDOS[[#This Row],[Data Pagamento]])</f>
        <v/>
      </c>
      <c r="C315" s="103">
        <f>IFERROR(IF(DIVIDENDOS[[#This Row],[Data Pagamento]]="","",EOMONTH(B315,0)),"")</f>
        <v/>
      </c>
      <c r="D315" s="104">
        <f>IFERROR(IF(DIVIDENDOS[[#This Row],[Data Pagamento]]="","",DIVIDENDOS[[#This Row],[Data Pagamento]]),"")</f>
        <v/>
      </c>
      <c r="E315" s="105" t="n"/>
      <c r="F315" s="106" t="n"/>
    </row>
    <row r="316">
      <c r="A316" s="101">
        <f>YEAR(DIVIDENDOS[[#This Row],[Data Pagamento]])</f>
        <v/>
      </c>
      <c r="C316" s="103">
        <f>IFERROR(IF(DIVIDENDOS[[#This Row],[Data Pagamento]]="","",EOMONTH(B316,0)),"")</f>
        <v/>
      </c>
      <c r="D316" s="104">
        <f>IFERROR(IF(DIVIDENDOS[[#This Row],[Data Pagamento]]="","",DIVIDENDOS[[#This Row],[Data Pagamento]]),"")</f>
        <v/>
      </c>
      <c r="E316" s="105" t="n"/>
      <c r="F316" s="106" t="n"/>
    </row>
    <row r="317">
      <c r="A317" s="101">
        <f>YEAR(DIVIDENDOS[[#This Row],[Data Pagamento]])</f>
        <v/>
      </c>
      <c r="C317" s="103">
        <f>IFERROR(IF(DIVIDENDOS[[#This Row],[Data Pagamento]]="","",EOMONTH(B317,0)),"")</f>
        <v/>
      </c>
      <c r="D317" s="104">
        <f>IFERROR(IF(DIVIDENDOS[[#This Row],[Data Pagamento]]="","",DIVIDENDOS[[#This Row],[Data Pagamento]]),"")</f>
        <v/>
      </c>
      <c r="E317" s="105" t="n"/>
      <c r="F317" s="106" t="n"/>
    </row>
    <row r="318">
      <c r="A318" s="101">
        <f>YEAR(DIVIDENDOS[[#This Row],[Data Pagamento]])</f>
        <v/>
      </c>
      <c r="C318" s="103">
        <f>IFERROR(IF(DIVIDENDOS[[#This Row],[Data Pagamento]]="","",EOMONTH(B318,0)),"")</f>
        <v/>
      </c>
      <c r="D318" s="104">
        <f>IFERROR(IF(DIVIDENDOS[[#This Row],[Data Pagamento]]="","",DIVIDENDOS[[#This Row],[Data Pagamento]]),"")</f>
        <v/>
      </c>
      <c r="E318" s="105" t="n"/>
      <c r="F318" s="106" t="n"/>
    </row>
    <row r="319">
      <c r="A319" s="101">
        <f>YEAR(DIVIDENDOS[[#This Row],[Data Pagamento]])</f>
        <v/>
      </c>
      <c r="C319" s="103">
        <f>IFERROR(IF(DIVIDENDOS[[#This Row],[Data Pagamento]]="","",EOMONTH(B319,0)),"")</f>
        <v/>
      </c>
      <c r="D319" s="104">
        <f>IFERROR(IF(DIVIDENDOS[[#This Row],[Data Pagamento]]="","",DIVIDENDOS[[#This Row],[Data Pagamento]]),"")</f>
        <v/>
      </c>
      <c r="E319" s="105" t="n"/>
      <c r="F319" s="106" t="n"/>
    </row>
    <row r="320">
      <c r="A320" s="101">
        <f>YEAR(DIVIDENDOS[[#This Row],[Data Pagamento]])</f>
        <v/>
      </c>
      <c r="C320" s="103">
        <f>IFERROR(IF(DIVIDENDOS[[#This Row],[Data Pagamento]]="","",EOMONTH(B320,0)),"")</f>
        <v/>
      </c>
      <c r="D320" s="104">
        <f>IFERROR(IF(DIVIDENDOS[[#This Row],[Data Pagamento]]="","",DIVIDENDOS[[#This Row],[Data Pagamento]]),"")</f>
        <v/>
      </c>
      <c r="E320" s="105" t="n"/>
      <c r="F320" s="106" t="n"/>
    </row>
    <row r="321">
      <c r="A321" s="101">
        <f>YEAR(DIVIDENDOS[[#This Row],[Data Pagamento]])</f>
        <v/>
      </c>
      <c r="C321" s="103">
        <f>IFERROR(IF(DIVIDENDOS[[#This Row],[Data Pagamento]]="","",EOMONTH(B321,0)),"")</f>
        <v/>
      </c>
      <c r="D321" s="104">
        <f>IFERROR(IF(DIVIDENDOS[[#This Row],[Data Pagamento]]="","",DIVIDENDOS[[#This Row],[Data Pagamento]]),"")</f>
        <v/>
      </c>
      <c r="E321" s="105" t="n"/>
      <c r="F321" s="106" t="n"/>
    </row>
    <row r="322">
      <c r="A322" s="101">
        <f>YEAR(DIVIDENDOS[[#This Row],[Data Pagamento]])</f>
        <v/>
      </c>
      <c r="C322" s="103">
        <f>IFERROR(IF(DIVIDENDOS[[#This Row],[Data Pagamento]]="","",EOMONTH(B322,0)),"")</f>
        <v/>
      </c>
      <c r="D322" s="104">
        <f>IFERROR(IF(DIVIDENDOS[[#This Row],[Data Pagamento]]="","",DIVIDENDOS[[#This Row],[Data Pagamento]]),"")</f>
        <v/>
      </c>
      <c r="E322" s="105" t="n"/>
      <c r="F322" s="106" t="n"/>
    </row>
    <row r="323">
      <c r="A323" s="101">
        <f>YEAR(DIVIDENDOS[[#This Row],[Data Pagamento]])</f>
        <v/>
      </c>
      <c r="C323" s="103">
        <f>IFERROR(IF(DIVIDENDOS[[#This Row],[Data Pagamento]]="","",EOMONTH(B323,0)),"")</f>
        <v/>
      </c>
      <c r="D323" s="104">
        <f>IFERROR(IF(DIVIDENDOS[[#This Row],[Data Pagamento]]="","",DIVIDENDOS[[#This Row],[Data Pagamento]]),"")</f>
        <v/>
      </c>
      <c r="E323" s="105" t="n"/>
      <c r="F323" s="106" t="n"/>
    </row>
    <row r="324">
      <c r="A324" s="101">
        <f>YEAR(DIVIDENDOS[[#This Row],[Data Pagamento]])</f>
        <v/>
      </c>
      <c r="C324" s="103">
        <f>IFERROR(IF(DIVIDENDOS[[#This Row],[Data Pagamento]]="","",EOMONTH(B324,0)),"")</f>
        <v/>
      </c>
      <c r="D324" s="104">
        <f>IFERROR(IF(DIVIDENDOS[[#This Row],[Data Pagamento]]="","",DIVIDENDOS[[#This Row],[Data Pagamento]]),"")</f>
        <v/>
      </c>
      <c r="E324" s="105" t="n"/>
      <c r="F324" s="106" t="n"/>
    </row>
    <row r="325">
      <c r="A325" s="101">
        <f>YEAR(DIVIDENDOS[[#This Row],[Data Pagamento]])</f>
        <v/>
      </c>
      <c r="C325" s="103">
        <f>IFERROR(IF(DIVIDENDOS[[#This Row],[Data Pagamento]]="","",EOMONTH(B325,0)),"")</f>
        <v/>
      </c>
      <c r="D325" s="104">
        <f>IFERROR(IF(DIVIDENDOS[[#This Row],[Data Pagamento]]="","",DIVIDENDOS[[#This Row],[Data Pagamento]]),"")</f>
        <v/>
      </c>
      <c r="E325" s="105" t="n"/>
      <c r="F325" s="106" t="n"/>
    </row>
    <row r="326">
      <c r="A326" s="101">
        <f>YEAR(DIVIDENDOS[[#This Row],[Data Pagamento]])</f>
        <v/>
      </c>
      <c r="C326" s="103">
        <f>IFERROR(IF(DIVIDENDOS[[#This Row],[Data Pagamento]]="","",EOMONTH(B326,0)),"")</f>
        <v/>
      </c>
      <c r="D326" s="104">
        <f>IFERROR(IF(DIVIDENDOS[[#This Row],[Data Pagamento]]="","",DIVIDENDOS[[#This Row],[Data Pagamento]]),"")</f>
        <v/>
      </c>
      <c r="E326" s="105" t="n"/>
      <c r="F326" s="106" t="n"/>
    </row>
    <row r="327">
      <c r="A327" s="101">
        <f>YEAR(DIVIDENDOS[[#This Row],[Data Pagamento]])</f>
        <v/>
      </c>
      <c r="C327" s="103">
        <f>IFERROR(IF(DIVIDENDOS[[#This Row],[Data Pagamento]]="","",EOMONTH(B327,0)),"")</f>
        <v/>
      </c>
      <c r="D327" s="104">
        <f>IFERROR(IF(DIVIDENDOS[[#This Row],[Data Pagamento]]="","",DIVIDENDOS[[#This Row],[Data Pagamento]]),"")</f>
        <v/>
      </c>
      <c r="E327" s="105" t="n"/>
      <c r="F327" s="106" t="n"/>
    </row>
    <row r="328">
      <c r="A328" s="101">
        <f>YEAR(DIVIDENDOS[[#This Row],[Data Pagamento]])</f>
        <v/>
      </c>
      <c r="C328" s="103">
        <f>IFERROR(IF(DIVIDENDOS[[#This Row],[Data Pagamento]]="","",EOMONTH(B328,0)),"")</f>
        <v/>
      </c>
      <c r="D328" s="104">
        <f>IFERROR(IF(DIVIDENDOS[[#This Row],[Data Pagamento]]="","",DIVIDENDOS[[#This Row],[Data Pagamento]]),"")</f>
        <v/>
      </c>
      <c r="E328" s="105" t="n"/>
      <c r="F328" s="106" t="n"/>
    </row>
    <row r="329">
      <c r="A329" s="101">
        <f>YEAR(DIVIDENDOS[[#This Row],[Data Pagamento]])</f>
        <v/>
      </c>
      <c r="C329" s="103">
        <f>IFERROR(IF(DIVIDENDOS[[#This Row],[Data Pagamento]]="","",EOMONTH(B329,0)),"")</f>
        <v/>
      </c>
      <c r="D329" s="104">
        <f>IFERROR(IF(DIVIDENDOS[[#This Row],[Data Pagamento]]="","",DIVIDENDOS[[#This Row],[Data Pagamento]]),"")</f>
        <v/>
      </c>
      <c r="E329" s="105" t="n"/>
      <c r="F329" s="106" t="n"/>
    </row>
    <row r="330">
      <c r="A330" s="101">
        <f>YEAR(DIVIDENDOS[[#This Row],[Data Pagamento]])</f>
        <v/>
      </c>
      <c r="C330" s="103">
        <f>IFERROR(IF(DIVIDENDOS[[#This Row],[Data Pagamento]]="","",EOMONTH(B330,0)),"")</f>
        <v/>
      </c>
      <c r="D330" s="104">
        <f>IFERROR(IF(DIVIDENDOS[[#This Row],[Data Pagamento]]="","",DIVIDENDOS[[#This Row],[Data Pagamento]]),"")</f>
        <v/>
      </c>
      <c r="E330" s="105" t="n"/>
      <c r="F330" s="106" t="n"/>
    </row>
    <row r="331">
      <c r="A331" s="101">
        <f>YEAR(DIVIDENDOS[[#This Row],[Data Pagamento]])</f>
        <v/>
      </c>
      <c r="C331" s="103">
        <f>IFERROR(IF(DIVIDENDOS[[#This Row],[Data Pagamento]]="","",EOMONTH(B331,0)),"")</f>
        <v/>
      </c>
      <c r="D331" s="104">
        <f>IFERROR(IF(DIVIDENDOS[[#This Row],[Data Pagamento]]="","",DIVIDENDOS[[#This Row],[Data Pagamento]]),"")</f>
        <v/>
      </c>
      <c r="E331" s="105" t="n"/>
      <c r="F331" s="106" t="n"/>
    </row>
    <row r="332">
      <c r="A332" s="101">
        <f>YEAR(DIVIDENDOS[[#This Row],[Data Pagamento]])</f>
        <v/>
      </c>
      <c r="C332" s="103">
        <f>IFERROR(IF(DIVIDENDOS[[#This Row],[Data Pagamento]]="","",EOMONTH(B332,0)),"")</f>
        <v/>
      </c>
      <c r="D332" s="104">
        <f>IFERROR(IF(DIVIDENDOS[[#This Row],[Data Pagamento]]="","",DIVIDENDOS[[#This Row],[Data Pagamento]]),"")</f>
        <v/>
      </c>
      <c r="E332" s="105" t="n"/>
      <c r="F332" s="106" t="n"/>
    </row>
    <row r="333">
      <c r="A333" s="101">
        <f>YEAR(DIVIDENDOS[[#This Row],[Data Pagamento]])</f>
        <v/>
      </c>
      <c r="C333" s="103">
        <f>IFERROR(IF(DIVIDENDOS[[#This Row],[Data Pagamento]]="","",EOMONTH(B333,0)),"")</f>
        <v/>
      </c>
      <c r="D333" s="104">
        <f>IFERROR(IF(DIVIDENDOS[[#This Row],[Data Pagamento]]="","",DIVIDENDOS[[#This Row],[Data Pagamento]]),"")</f>
        <v/>
      </c>
      <c r="E333" s="105" t="n"/>
      <c r="F333" s="106" t="n"/>
    </row>
    <row r="334">
      <c r="A334" s="101">
        <f>YEAR(DIVIDENDOS[[#This Row],[Data Pagamento]])</f>
        <v/>
      </c>
      <c r="C334" s="103">
        <f>IFERROR(IF(DIVIDENDOS[[#This Row],[Data Pagamento]]="","",EOMONTH(B334,0)),"")</f>
        <v/>
      </c>
      <c r="D334" s="104">
        <f>IFERROR(IF(DIVIDENDOS[[#This Row],[Data Pagamento]]="","",DIVIDENDOS[[#This Row],[Data Pagamento]]),"")</f>
        <v/>
      </c>
      <c r="E334" s="105" t="n"/>
      <c r="F334" s="106" t="n"/>
    </row>
    <row r="335">
      <c r="A335" s="101">
        <f>YEAR(DIVIDENDOS[[#This Row],[Data Pagamento]])</f>
        <v/>
      </c>
      <c r="C335" s="103">
        <f>IFERROR(IF(DIVIDENDOS[[#This Row],[Data Pagamento]]="","",EOMONTH(B335,0)),"")</f>
        <v/>
      </c>
      <c r="D335" s="104">
        <f>IFERROR(IF(DIVIDENDOS[[#This Row],[Data Pagamento]]="","",DIVIDENDOS[[#This Row],[Data Pagamento]]),"")</f>
        <v/>
      </c>
      <c r="E335" s="105" t="n"/>
      <c r="F335" s="106" t="n"/>
    </row>
    <row r="336">
      <c r="A336" s="101">
        <f>YEAR(DIVIDENDOS[[#This Row],[Data Pagamento]])</f>
        <v/>
      </c>
      <c r="C336" s="103">
        <f>IFERROR(IF(DIVIDENDOS[[#This Row],[Data Pagamento]]="","",EOMONTH(B336,0)),"")</f>
        <v/>
      </c>
      <c r="D336" s="104">
        <f>IFERROR(IF(DIVIDENDOS[[#This Row],[Data Pagamento]]="","",DIVIDENDOS[[#This Row],[Data Pagamento]]),"")</f>
        <v/>
      </c>
      <c r="E336" s="105" t="n"/>
      <c r="F336" s="106" t="n"/>
    </row>
    <row r="337">
      <c r="A337" s="101">
        <f>YEAR(DIVIDENDOS[[#This Row],[Data Pagamento]])</f>
        <v/>
      </c>
      <c r="C337" s="103">
        <f>IFERROR(IF(DIVIDENDOS[[#This Row],[Data Pagamento]]="","",EOMONTH(B337,0)),"")</f>
        <v/>
      </c>
      <c r="D337" s="104">
        <f>IFERROR(IF(DIVIDENDOS[[#This Row],[Data Pagamento]]="","",DIVIDENDOS[[#This Row],[Data Pagamento]]),"")</f>
        <v/>
      </c>
      <c r="E337" s="105" t="n"/>
      <c r="F337" s="106" t="n"/>
    </row>
    <row r="338">
      <c r="A338" s="101">
        <f>YEAR(DIVIDENDOS[[#This Row],[Data Pagamento]])</f>
        <v/>
      </c>
      <c r="C338" s="103">
        <f>IFERROR(IF(DIVIDENDOS[[#This Row],[Data Pagamento]]="","",EOMONTH(B338,0)),"")</f>
        <v/>
      </c>
      <c r="D338" s="104">
        <f>IFERROR(IF(DIVIDENDOS[[#This Row],[Data Pagamento]]="","",DIVIDENDOS[[#This Row],[Data Pagamento]]),"")</f>
        <v/>
      </c>
      <c r="E338" s="105" t="n"/>
      <c r="F338" s="106" t="n"/>
    </row>
    <row r="339">
      <c r="A339" s="101">
        <f>YEAR(DIVIDENDOS[[#This Row],[Data Pagamento]])</f>
        <v/>
      </c>
      <c r="C339" s="103">
        <f>IFERROR(IF(DIVIDENDOS[[#This Row],[Data Pagamento]]="","",EOMONTH(B339,0)),"")</f>
        <v/>
      </c>
      <c r="D339" s="104">
        <f>IFERROR(IF(DIVIDENDOS[[#This Row],[Data Pagamento]]="","",DIVIDENDOS[[#This Row],[Data Pagamento]]),"")</f>
        <v/>
      </c>
      <c r="E339" s="105" t="n"/>
      <c r="F339" s="106" t="n"/>
    </row>
    <row r="340">
      <c r="A340" s="101">
        <f>YEAR(DIVIDENDOS[[#This Row],[Data Pagamento]])</f>
        <v/>
      </c>
      <c r="C340" s="103">
        <f>IFERROR(IF(DIVIDENDOS[[#This Row],[Data Pagamento]]="","",EOMONTH(B340,0)),"")</f>
        <v/>
      </c>
      <c r="D340" s="104">
        <f>IFERROR(IF(DIVIDENDOS[[#This Row],[Data Pagamento]]="","",DIVIDENDOS[[#This Row],[Data Pagamento]]),"")</f>
        <v/>
      </c>
      <c r="E340" s="105" t="n"/>
      <c r="F340" s="106" t="n"/>
    </row>
    <row r="341">
      <c r="A341" s="101">
        <f>YEAR(DIVIDENDOS[[#This Row],[Data Pagamento]])</f>
        <v/>
      </c>
      <c r="C341" s="103">
        <f>IFERROR(IF(DIVIDENDOS[[#This Row],[Data Pagamento]]="","",EOMONTH(B341,0)),"")</f>
        <v/>
      </c>
      <c r="D341" s="104">
        <f>IFERROR(IF(DIVIDENDOS[[#This Row],[Data Pagamento]]="","",DIVIDENDOS[[#This Row],[Data Pagamento]]),"")</f>
        <v/>
      </c>
      <c r="E341" s="105" t="n"/>
      <c r="F341" s="106" t="n"/>
    </row>
    <row r="342">
      <c r="A342" s="101">
        <f>YEAR(DIVIDENDOS[[#This Row],[Data Pagamento]])</f>
        <v/>
      </c>
      <c r="C342" s="103">
        <f>IFERROR(IF(DIVIDENDOS[[#This Row],[Data Pagamento]]="","",EOMONTH(B342,0)),"")</f>
        <v/>
      </c>
      <c r="D342" s="104">
        <f>IFERROR(IF(DIVIDENDOS[[#This Row],[Data Pagamento]]="","",DIVIDENDOS[[#This Row],[Data Pagamento]]),"")</f>
        <v/>
      </c>
      <c r="E342" s="105" t="n"/>
      <c r="F342" s="106" t="n"/>
    </row>
    <row r="343">
      <c r="A343" s="101">
        <f>YEAR(DIVIDENDOS[[#This Row],[Data Pagamento]])</f>
        <v/>
      </c>
      <c r="C343" s="103">
        <f>IFERROR(IF(DIVIDENDOS[[#This Row],[Data Pagamento]]="","",EOMONTH(B343,0)),"")</f>
        <v/>
      </c>
      <c r="D343" s="104">
        <f>IFERROR(IF(DIVIDENDOS[[#This Row],[Data Pagamento]]="","",DIVIDENDOS[[#This Row],[Data Pagamento]]),"")</f>
        <v/>
      </c>
      <c r="E343" s="105" t="n"/>
      <c r="F343" s="106" t="n"/>
    </row>
    <row r="344">
      <c r="A344" s="101">
        <f>YEAR(DIVIDENDOS[[#This Row],[Data Pagamento]])</f>
        <v/>
      </c>
      <c r="C344" s="103">
        <f>IFERROR(IF(DIVIDENDOS[[#This Row],[Data Pagamento]]="","",EOMONTH(B344,0)),"")</f>
        <v/>
      </c>
      <c r="D344" s="104">
        <f>IFERROR(IF(DIVIDENDOS[[#This Row],[Data Pagamento]]="","",DIVIDENDOS[[#This Row],[Data Pagamento]]),"")</f>
        <v/>
      </c>
      <c r="E344" s="105" t="n"/>
      <c r="F344" s="106" t="n"/>
    </row>
    <row r="345">
      <c r="A345" s="101">
        <f>YEAR(DIVIDENDOS[[#This Row],[Data Pagamento]])</f>
        <v/>
      </c>
      <c r="C345" s="103">
        <f>IFERROR(IF(DIVIDENDOS[[#This Row],[Data Pagamento]]="","",EOMONTH(B345,0)),"")</f>
        <v/>
      </c>
      <c r="D345" s="104">
        <f>IFERROR(IF(DIVIDENDOS[[#This Row],[Data Pagamento]]="","",DIVIDENDOS[[#This Row],[Data Pagamento]]),"")</f>
        <v/>
      </c>
      <c r="E345" s="105" t="n"/>
      <c r="F345" s="106" t="n"/>
    </row>
    <row r="346">
      <c r="A346" s="101">
        <f>YEAR(DIVIDENDOS[[#This Row],[Data Pagamento]])</f>
        <v/>
      </c>
      <c r="C346" s="103">
        <f>IFERROR(IF(DIVIDENDOS[[#This Row],[Data Pagamento]]="","",EOMONTH(B346,0)),"")</f>
        <v/>
      </c>
      <c r="D346" s="104">
        <f>IFERROR(IF(DIVIDENDOS[[#This Row],[Data Pagamento]]="","",DIVIDENDOS[[#This Row],[Data Pagamento]]),"")</f>
        <v/>
      </c>
      <c r="E346" s="105" t="n"/>
      <c r="F346" s="106" t="n"/>
    </row>
    <row r="347">
      <c r="A347" s="101">
        <f>YEAR(DIVIDENDOS[[#This Row],[Data Pagamento]])</f>
        <v/>
      </c>
      <c r="C347" s="103">
        <f>IFERROR(IF(DIVIDENDOS[[#This Row],[Data Pagamento]]="","",EOMONTH(B347,0)),"")</f>
        <v/>
      </c>
      <c r="D347" s="104">
        <f>IFERROR(IF(DIVIDENDOS[[#This Row],[Data Pagamento]]="","",DIVIDENDOS[[#This Row],[Data Pagamento]]),"")</f>
        <v/>
      </c>
      <c r="E347" s="105" t="n"/>
      <c r="F347" s="106" t="n"/>
    </row>
    <row r="348">
      <c r="A348" s="101">
        <f>YEAR(DIVIDENDOS[[#This Row],[Data Pagamento]])</f>
        <v/>
      </c>
      <c r="C348" s="103">
        <f>IFERROR(IF(DIVIDENDOS[[#This Row],[Data Pagamento]]="","",EOMONTH(B348,0)),"")</f>
        <v/>
      </c>
      <c r="D348" s="104">
        <f>IFERROR(IF(DIVIDENDOS[[#This Row],[Data Pagamento]]="","",DIVIDENDOS[[#This Row],[Data Pagamento]]),"")</f>
        <v/>
      </c>
      <c r="E348" s="105" t="n"/>
      <c r="F348" s="106" t="n"/>
    </row>
    <row r="349">
      <c r="A349" s="101">
        <f>YEAR(DIVIDENDOS[[#This Row],[Data Pagamento]])</f>
        <v/>
      </c>
      <c r="C349" s="103">
        <f>IFERROR(IF(DIVIDENDOS[[#This Row],[Data Pagamento]]="","",EOMONTH(B349,0)),"")</f>
        <v/>
      </c>
      <c r="D349" s="104">
        <f>IFERROR(IF(DIVIDENDOS[[#This Row],[Data Pagamento]]="","",DIVIDENDOS[[#This Row],[Data Pagamento]]),"")</f>
        <v/>
      </c>
      <c r="E349" s="105" t="n"/>
      <c r="F349" s="106" t="n"/>
    </row>
    <row r="350">
      <c r="A350" s="101">
        <f>YEAR(DIVIDENDOS[[#This Row],[Data Pagamento]])</f>
        <v/>
      </c>
      <c r="C350" s="103">
        <f>IFERROR(IF(DIVIDENDOS[[#This Row],[Data Pagamento]]="","",EOMONTH(B350,0)),"")</f>
        <v/>
      </c>
      <c r="D350" s="104">
        <f>IFERROR(IF(DIVIDENDOS[[#This Row],[Data Pagamento]]="","",DIVIDENDOS[[#This Row],[Data Pagamento]]),"")</f>
        <v/>
      </c>
      <c r="E350" s="105" t="n"/>
      <c r="F350" s="106" t="n"/>
    </row>
    <row r="351">
      <c r="A351" s="101">
        <f>YEAR(DIVIDENDOS[[#This Row],[Data Pagamento]])</f>
        <v/>
      </c>
      <c r="C351" s="103">
        <f>IFERROR(IF(DIVIDENDOS[[#This Row],[Data Pagamento]]="","",EOMONTH(B351,0)),"")</f>
        <v/>
      </c>
      <c r="D351" s="104">
        <f>IFERROR(IF(DIVIDENDOS[[#This Row],[Data Pagamento]]="","",DIVIDENDOS[[#This Row],[Data Pagamento]]),"")</f>
        <v/>
      </c>
      <c r="E351" s="105" t="n"/>
      <c r="F351" s="106" t="n"/>
    </row>
    <row r="352">
      <c r="A352" s="101">
        <f>YEAR(DIVIDENDOS[[#This Row],[Data Pagamento]])</f>
        <v/>
      </c>
      <c r="C352" s="103">
        <f>IFERROR(IF(DIVIDENDOS[[#This Row],[Data Pagamento]]="","",EOMONTH(B352,0)),"")</f>
        <v/>
      </c>
      <c r="D352" s="104">
        <f>IFERROR(IF(DIVIDENDOS[[#This Row],[Data Pagamento]]="","",DIVIDENDOS[[#This Row],[Data Pagamento]]),"")</f>
        <v/>
      </c>
      <c r="E352" s="105" t="n"/>
      <c r="F352" s="106" t="n"/>
    </row>
    <row r="353">
      <c r="A353" s="101">
        <f>YEAR(DIVIDENDOS[[#This Row],[Data Pagamento]])</f>
        <v/>
      </c>
      <c r="C353" s="103">
        <f>IFERROR(IF(DIVIDENDOS[[#This Row],[Data Pagamento]]="","",EOMONTH(B353,0)),"")</f>
        <v/>
      </c>
      <c r="D353" s="104">
        <f>IFERROR(IF(DIVIDENDOS[[#This Row],[Data Pagamento]]="","",DIVIDENDOS[[#This Row],[Data Pagamento]]),"")</f>
        <v/>
      </c>
      <c r="E353" s="105" t="n"/>
      <c r="F353" s="106" t="n"/>
    </row>
    <row r="354">
      <c r="A354" s="101">
        <f>YEAR(DIVIDENDOS[[#This Row],[Data Pagamento]])</f>
        <v/>
      </c>
      <c r="C354" s="103">
        <f>IFERROR(IF(DIVIDENDOS[[#This Row],[Data Pagamento]]="","",EOMONTH(B354,0)),"")</f>
        <v/>
      </c>
      <c r="D354" s="104">
        <f>IFERROR(IF(DIVIDENDOS[[#This Row],[Data Pagamento]]="","",DIVIDENDOS[[#This Row],[Data Pagamento]]),"")</f>
        <v/>
      </c>
      <c r="E354" s="105" t="n"/>
      <c r="F354" s="106" t="n"/>
    </row>
    <row r="355">
      <c r="A355" s="101">
        <f>YEAR(DIVIDENDOS[[#This Row],[Data Pagamento]])</f>
        <v/>
      </c>
      <c r="C355" s="103">
        <f>IFERROR(IF(DIVIDENDOS[[#This Row],[Data Pagamento]]="","",EOMONTH(B355,0)),"")</f>
        <v/>
      </c>
      <c r="D355" s="104">
        <f>IFERROR(IF(DIVIDENDOS[[#This Row],[Data Pagamento]]="","",DIVIDENDOS[[#This Row],[Data Pagamento]]),"")</f>
        <v/>
      </c>
      <c r="E355" s="105" t="n"/>
      <c r="F355" s="106" t="n"/>
    </row>
    <row r="356">
      <c r="A356" s="101">
        <f>YEAR(DIVIDENDOS[[#This Row],[Data Pagamento]])</f>
        <v/>
      </c>
      <c r="C356" s="103">
        <f>IFERROR(IF(DIVIDENDOS[[#This Row],[Data Pagamento]]="","",EOMONTH(B356,0)),"")</f>
        <v/>
      </c>
      <c r="D356" s="104">
        <f>IFERROR(IF(DIVIDENDOS[[#This Row],[Data Pagamento]]="","",DIVIDENDOS[[#This Row],[Data Pagamento]]),"")</f>
        <v/>
      </c>
      <c r="E356" s="105" t="n"/>
      <c r="F356" s="106" t="n"/>
    </row>
    <row r="357">
      <c r="A357" s="101">
        <f>YEAR(DIVIDENDOS[[#This Row],[Data Pagamento]])</f>
        <v/>
      </c>
      <c r="C357" s="103">
        <f>IFERROR(IF(DIVIDENDOS[[#This Row],[Data Pagamento]]="","",EOMONTH(B357,0)),"")</f>
        <v/>
      </c>
      <c r="D357" s="104">
        <f>IFERROR(IF(DIVIDENDOS[[#This Row],[Data Pagamento]]="","",DIVIDENDOS[[#This Row],[Data Pagamento]]),"")</f>
        <v/>
      </c>
      <c r="E357" s="105" t="n"/>
      <c r="F357" s="106" t="n"/>
    </row>
    <row r="358">
      <c r="A358" s="101">
        <f>YEAR(DIVIDENDOS[[#This Row],[Data Pagamento]])</f>
        <v/>
      </c>
      <c r="C358" s="103">
        <f>IFERROR(IF(DIVIDENDOS[[#This Row],[Data Pagamento]]="","",EOMONTH(B358,0)),"")</f>
        <v/>
      </c>
      <c r="D358" s="104">
        <f>IFERROR(IF(DIVIDENDOS[[#This Row],[Data Pagamento]]="","",DIVIDENDOS[[#This Row],[Data Pagamento]]),"")</f>
        <v/>
      </c>
      <c r="E358" s="105" t="n"/>
      <c r="F358" s="106" t="n"/>
    </row>
    <row r="359">
      <c r="A359" s="101">
        <f>YEAR(DIVIDENDOS[[#This Row],[Data Pagamento]])</f>
        <v/>
      </c>
      <c r="C359" s="103">
        <f>IFERROR(IF(DIVIDENDOS[[#This Row],[Data Pagamento]]="","",EOMONTH(B359,0)),"")</f>
        <v/>
      </c>
      <c r="D359" s="104">
        <f>IFERROR(IF(DIVIDENDOS[[#This Row],[Data Pagamento]]="","",DIVIDENDOS[[#This Row],[Data Pagamento]]),"")</f>
        <v/>
      </c>
      <c r="E359" s="105" t="n"/>
      <c r="F359" s="106" t="n"/>
    </row>
    <row r="360">
      <c r="A360" s="101">
        <f>YEAR(DIVIDENDOS[[#This Row],[Data Pagamento]])</f>
        <v/>
      </c>
      <c r="C360" s="103">
        <f>IFERROR(IF(DIVIDENDOS[[#This Row],[Data Pagamento]]="","",EOMONTH(B360,0)),"")</f>
        <v/>
      </c>
      <c r="D360" s="104">
        <f>IFERROR(IF(DIVIDENDOS[[#This Row],[Data Pagamento]]="","",DIVIDENDOS[[#This Row],[Data Pagamento]]),"")</f>
        <v/>
      </c>
      <c r="E360" s="105" t="n"/>
      <c r="F360" s="106" t="n"/>
    </row>
    <row r="361">
      <c r="A361" s="101">
        <f>YEAR(DIVIDENDOS[[#This Row],[Data Pagamento]])</f>
        <v/>
      </c>
      <c r="C361" s="103">
        <f>IFERROR(IF(DIVIDENDOS[[#This Row],[Data Pagamento]]="","",EOMONTH(B361,0)),"")</f>
        <v/>
      </c>
      <c r="D361" s="104">
        <f>IFERROR(IF(DIVIDENDOS[[#This Row],[Data Pagamento]]="","",DIVIDENDOS[[#This Row],[Data Pagamento]]),"")</f>
        <v/>
      </c>
      <c r="E361" s="105" t="n"/>
      <c r="F361" s="106" t="n"/>
    </row>
    <row r="362">
      <c r="A362" s="101">
        <f>YEAR(DIVIDENDOS[[#This Row],[Data Pagamento]])</f>
        <v/>
      </c>
      <c r="C362" s="103">
        <f>IFERROR(IF(DIVIDENDOS[[#This Row],[Data Pagamento]]="","",EOMONTH(B362,0)),"")</f>
        <v/>
      </c>
      <c r="D362" s="104">
        <f>IFERROR(IF(DIVIDENDOS[[#This Row],[Data Pagamento]]="","",DIVIDENDOS[[#This Row],[Data Pagamento]]),"")</f>
        <v/>
      </c>
      <c r="E362" s="105" t="n"/>
      <c r="F362" s="106" t="n"/>
    </row>
    <row r="363">
      <c r="A363" s="101">
        <f>YEAR(DIVIDENDOS[[#This Row],[Data Pagamento]])</f>
        <v/>
      </c>
      <c r="C363" s="103">
        <f>IFERROR(IF(DIVIDENDOS[[#This Row],[Data Pagamento]]="","",EOMONTH(B363,0)),"")</f>
        <v/>
      </c>
      <c r="D363" s="104">
        <f>IFERROR(IF(DIVIDENDOS[[#This Row],[Data Pagamento]]="","",DIVIDENDOS[[#This Row],[Data Pagamento]]),"")</f>
        <v/>
      </c>
      <c r="E363" s="105" t="n"/>
      <c r="F363" s="106" t="n"/>
    </row>
    <row r="364">
      <c r="A364" s="101">
        <f>YEAR(DIVIDENDOS[[#This Row],[Data Pagamento]])</f>
        <v/>
      </c>
      <c r="C364" s="103">
        <f>IFERROR(IF(DIVIDENDOS[[#This Row],[Data Pagamento]]="","",EOMONTH(B364,0)),"")</f>
        <v/>
      </c>
      <c r="D364" s="104">
        <f>IFERROR(IF(DIVIDENDOS[[#This Row],[Data Pagamento]]="","",DIVIDENDOS[[#This Row],[Data Pagamento]]),"")</f>
        <v/>
      </c>
      <c r="E364" s="105" t="n"/>
      <c r="F364" s="106" t="n"/>
    </row>
    <row r="365">
      <c r="A365" s="101">
        <f>YEAR(DIVIDENDOS[[#This Row],[Data Pagamento]])</f>
        <v/>
      </c>
      <c r="C365" s="103">
        <f>IFERROR(IF(DIVIDENDOS[[#This Row],[Data Pagamento]]="","",EOMONTH(B365,0)),"")</f>
        <v/>
      </c>
      <c r="D365" s="104">
        <f>IFERROR(IF(DIVIDENDOS[[#This Row],[Data Pagamento]]="","",DIVIDENDOS[[#This Row],[Data Pagamento]]),"")</f>
        <v/>
      </c>
      <c r="E365" s="105" t="n"/>
      <c r="F365" s="106" t="n"/>
    </row>
    <row r="366">
      <c r="A366" s="101">
        <f>YEAR(DIVIDENDOS[[#This Row],[Data Pagamento]])</f>
        <v/>
      </c>
      <c r="C366" s="103">
        <f>IFERROR(IF(DIVIDENDOS[[#This Row],[Data Pagamento]]="","",EOMONTH(B366,0)),"")</f>
        <v/>
      </c>
      <c r="D366" s="104">
        <f>IFERROR(IF(DIVIDENDOS[[#This Row],[Data Pagamento]]="","",DIVIDENDOS[[#This Row],[Data Pagamento]]),"")</f>
        <v/>
      </c>
      <c r="E366" s="105" t="n"/>
      <c r="F366" s="106" t="n"/>
    </row>
    <row r="367">
      <c r="A367" s="101">
        <f>YEAR(DIVIDENDOS[[#This Row],[Data Pagamento]])</f>
        <v/>
      </c>
      <c r="C367" s="103">
        <f>IFERROR(IF(DIVIDENDOS[[#This Row],[Data Pagamento]]="","",EOMONTH(B367,0)),"")</f>
        <v/>
      </c>
      <c r="D367" s="104">
        <f>IFERROR(IF(DIVIDENDOS[[#This Row],[Data Pagamento]]="","",DIVIDENDOS[[#This Row],[Data Pagamento]]),"")</f>
        <v/>
      </c>
      <c r="E367" s="105" t="n"/>
      <c r="F367" s="106" t="n"/>
    </row>
    <row r="368">
      <c r="A368" s="101">
        <f>YEAR(DIVIDENDOS[[#This Row],[Data Pagamento]])</f>
        <v/>
      </c>
      <c r="C368" s="103">
        <f>IFERROR(IF(DIVIDENDOS[[#This Row],[Data Pagamento]]="","",EOMONTH(B368,0)),"")</f>
        <v/>
      </c>
      <c r="D368" s="104">
        <f>IFERROR(IF(DIVIDENDOS[[#This Row],[Data Pagamento]]="","",DIVIDENDOS[[#This Row],[Data Pagamento]]),"")</f>
        <v/>
      </c>
      <c r="E368" s="105" t="n"/>
      <c r="F368" s="106" t="n"/>
    </row>
    <row r="369">
      <c r="A369" s="101">
        <f>YEAR(DIVIDENDOS[[#This Row],[Data Pagamento]])</f>
        <v/>
      </c>
      <c r="C369" s="103">
        <f>IFERROR(IF(DIVIDENDOS[[#This Row],[Data Pagamento]]="","",EOMONTH(B369,0)),"")</f>
        <v/>
      </c>
      <c r="D369" s="104">
        <f>IFERROR(IF(DIVIDENDOS[[#This Row],[Data Pagamento]]="","",DIVIDENDOS[[#This Row],[Data Pagamento]]),"")</f>
        <v/>
      </c>
      <c r="E369" s="105" t="n"/>
      <c r="F369" s="106" t="n"/>
    </row>
    <row r="370">
      <c r="A370" s="101">
        <f>YEAR(DIVIDENDOS[[#This Row],[Data Pagamento]])</f>
        <v/>
      </c>
      <c r="C370" s="103">
        <f>IFERROR(IF(DIVIDENDOS[[#This Row],[Data Pagamento]]="","",EOMONTH(B370,0)),"")</f>
        <v/>
      </c>
      <c r="D370" s="104">
        <f>IFERROR(IF(DIVIDENDOS[[#This Row],[Data Pagamento]]="","",DIVIDENDOS[[#This Row],[Data Pagamento]]),"")</f>
        <v/>
      </c>
      <c r="E370" s="105" t="n"/>
      <c r="F370" s="106" t="n"/>
    </row>
    <row r="371">
      <c r="A371" s="101">
        <f>YEAR(DIVIDENDOS[[#This Row],[Data Pagamento]])</f>
        <v/>
      </c>
      <c r="C371" s="103">
        <f>IFERROR(IF(DIVIDENDOS[[#This Row],[Data Pagamento]]="","",EOMONTH(B371,0)),"")</f>
        <v/>
      </c>
      <c r="D371" s="104">
        <f>IFERROR(IF(DIVIDENDOS[[#This Row],[Data Pagamento]]="","",DIVIDENDOS[[#This Row],[Data Pagamento]]),"")</f>
        <v/>
      </c>
      <c r="E371" s="105" t="n"/>
      <c r="F371" s="106" t="n"/>
    </row>
    <row r="372">
      <c r="A372" s="101">
        <f>YEAR(DIVIDENDOS[[#This Row],[Data Pagamento]])</f>
        <v/>
      </c>
      <c r="C372" s="103">
        <f>IFERROR(IF(DIVIDENDOS[[#This Row],[Data Pagamento]]="","",EOMONTH(B372,0)),"")</f>
        <v/>
      </c>
      <c r="D372" s="104">
        <f>IFERROR(IF(DIVIDENDOS[[#This Row],[Data Pagamento]]="","",DIVIDENDOS[[#This Row],[Data Pagamento]]),"")</f>
        <v/>
      </c>
      <c r="E372" s="105" t="n"/>
      <c r="F372" s="106" t="n"/>
    </row>
    <row r="373">
      <c r="A373" s="101">
        <f>YEAR(DIVIDENDOS[[#This Row],[Data Pagamento]])</f>
        <v/>
      </c>
      <c r="C373" s="103">
        <f>IFERROR(IF(DIVIDENDOS[[#This Row],[Data Pagamento]]="","",EOMONTH(B373,0)),"")</f>
        <v/>
      </c>
      <c r="D373" s="104">
        <f>IFERROR(IF(DIVIDENDOS[[#This Row],[Data Pagamento]]="","",DIVIDENDOS[[#This Row],[Data Pagamento]]),"")</f>
        <v/>
      </c>
      <c r="E373" s="105" t="n"/>
      <c r="F373" s="106" t="n"/>
    </row>
    <row r="374">
      <c r="A374" s="101">
        <f>YEAR(DIVIDENDOS[[#This Row],[Data Pagamento]])</f>
        <v/>
      </c>
      <c r="C374" s="103">
        <f>IFERROR(IF(DIVIDENDOS[[#This Row],[Data Pagamento]]="","",EOMONTH(B374,0)),"")</f>
        <v/>
      </c>
      <c r="D374" s="104">
        <f>IFERROR(IF(DIVIDENDOS[[#This Row],[Data Pagamento]]="","",DIVIDENDOS[[#This Row],[Data Pagamento]]),"")</f>
        <v/>
      </c>
      <c r="E374" s="105" t="n"/>
      <c r="F374" s="106" t="n"/>
    </row>
    <row r="375">
      <c r="A375" s="101">
        <f>YEAR(DIVIDENDOS[[#This Row],[Data Pagamento]])</f>
        <v/>
      </c>
      <c r="C375" s="103">
        <f>IFERROR(IF(DIVIDENDOS[[#This Row],[Data Pagamento]]="","",EOMONTH(B375,0)),"")</f>
        <v/>
      </c>
      <c r="D375" s="104">
        <f>IFERROR(IF(DIVIDENDOS[[#This Row],[Data Pagamento]]="","",DIVIDENDOS[[#This Row],[Data Pagamento]]),"")</f>
        <v/>
      </c>
      <c r="E375" s="105" t="n"/>
      <c r="F375" s="106" t="n"/>
    </row>
    <row r="376">
      <c r="A376" s="101">
        <f>YEAR(DIVIDENDOS[[#This Row],[Data Pagamento]])</f>
        <v/>
      </c>
      <c r="C376" s="103">
        <f>IFERROR(IF(DIVIDENDOS[[#This Row],[Data Pagamento]]="","",EOMONTH(B376,0)),"")</f>
        <v/>
      </c>
      <c r="D376" s="104">
        <f>IFERROR(IF(DIVIDENDOS[[#This Row],[Data Pagamento]]="","",DIVIDENDOS[[#This Row],[Data Pagamento]]),"")</f>
        <v/>
      </c>
      <c r="E376" s="105" t="n"/>
      <c r="F376" s="106" t="n"/>
    </row>
    <row r="377">
      <c r="A377" s="101">
        <f>YEAR(DIVIDENDOS[[#This Row],[Data Pagamento]])</f>
        <v/>
      </c>
      <c r="C377" s="103">
        <f>IFERROR(IF(DIVIDENDOS[[#This Row],[Data Pagamento]]="","",EOMONTH(B377,0)),"")</f>
        <v/>
      </c>
      <c r="D377" s="104">
        <f>IFERROR(IF(DIVIDENDOS[[#This Row],[Data Pagamento]]="","",DIVIDENDOS[[#This Row],[Data Pagamento]]),"")</f>
        <v/>
      </c>
      <c r="E377" s="105" t="n"/>
      <c r="F377" s="106" t="n"/>
    </row>
    <row r="378">
      <c r="A378" s="101">
        <f>YEAR(DIVIDENDOS[[#This Row],[Data Pagamento]])</f>
        <v/>
      </c>
      <c r="C378" s="103">
        <f>IFERROR(IF(DIVIDENDOS[[#This Row],[Data Pagamento]]="","",EOMONTH(B378,0)),"")</f>
        <v/>
      </c>
      <c r="D378" s="104">
        <f>IFERROR(IF(DIVIDENDOS[[#This Row],[Data Pagamento]]="","",DIVIDENDOS[[#This Row],[Data Pagamento]]),"")</f>
        <v/>
      </c>
      <c r="E378" s="105" t="n"/>
      <c r="F378" s="106" t="n"/>
    </row>
    <row r="379">
      <c r="A379" s="101">
        <f>YEAR(DIVIDENDOS[[#This Row],[Data Pagamento]])</f>
        <v/>
      </c>
      <c r="C379" s="103">
        <f>IFERROR(IF(DIVIDENDOS[[#This Row],[Data Pagamento]]="","",EOMONTH(B379,0)),"")</f>
        <v/>
      </c>
      <c r="D379" s="104">
        <f>IFERROR(IF(DIVIDENDOS[[#This Row],[Data Pagamento]]="","",DIVIDENDOS[[#This Row],[Data Pagamento]]),"")</f>
        <v/>
      </c>
      <c r="E379" s="105" t="n"/>
      <c r="F379" s="106" t="n"/>
    </row>
    <row r="380">
      <c r="A380" s="101">
        <f>YEAR(DIVIDENDOS[[#This Row],[Data Pagamento]])</f>
        <v/>
      </c>
      <c r="C380" s="103">
        <f>IFERROR(IF(DIVIDENDOS[[#This Row],[Data Pagamento]]="","",EOMONTH(B380,0)),"")</f>
        <v/>
      </c>
      <c r="D380" s="104">
        <f>IFERROR(IF(DIVIDENDOS[[#This Row],[Data Pagamento]]="","",DIVIDENDOS[[#This Row],[Data Pagamento]]),"")</f>
        <v/>
      </c>
      <c r="E380" s="105" t="n"/>
      <c r="F380" s="106" t="n"/>
    </row>
    <row r="381">
      <c r="A381" s="101">
        <f>YEAR(DIVIDENDOS[[#This Row],[Data Pagamento]])</f>
        <v/>
      </c>
      <c r="C381" s="103">
        <f>IFERROR(IF(DIVIDENDOS[[#This Row],[Data Pagamento]]="","",EOMONTH(B381,0)),"")</f>
        <v/>
      </c>
      <c r="D381" s="104">
        <f>IFERROR(IF(DIVIDENDOS[[#This Row],[Data Pagamento]]="","",DIVIDENDOS[[#This Row],[Data Pagamento]]),"")</f>
        <v/>
      </c>
      <c r="E381" s="105" t="n"/>
      <c r="F381" s="106" t="n"/>
    </row>
    <row r="382">
      <c r="A382" s="101">
        <f>YEAR(DIVIDENDOS[[#This Row],[Data Pagamento]])</f>
        <v/>
      </c>
      <c r="C382" s="103">
        <f>IFERROR(IF(DIVIDENDOS[[#This Row],[Data Pagamento]]="","",EOMONTH(B382,0)),"")</f>
        <v/>
      </c>
      <c r="D382" s="104">
        <f>IFERROR(IF(DIVIDENDOS[[#This Row],[Data Pagamento]]="","",DIVIDENDOS[[#This Row],[Data Pagamento]]),"")</f>
        <v/>
      </c>
      <c r="E382" s="105" t="n"/>
      <c r="F382" s="106" t="n"/>
    </row>
    <row r="383">
      <c r="A383" s="101">
        <f>YEAR(DIVIDENDOS[[#This Row],[Data Pagamento]])</f>
        <v/>
      </c>
      <c r="C383" s="103">
        <f>IFERROR(IF(DIVIDENDOS[[#This Row],[Data Pagamento]]="","",EOMONTH(B383,0)),"")</f>
        <v/>
      </c>
      <c r="D383" s="104">
        <f>IFERROR(IF(DIVIDENDOS[[#This Row],[Data Pagamento]]="","",DIVIDENDOS[[#This Row],[Data Pagamento]]),"")</f>
        <v/>
      </c>
      <c r="E383" s="105" t="n"/>
      <c r="F383" s="106" t="n"/>
    </row>
    <row r="384">
      <c r="A384" s="101">
        <f>YEAR(DIVIDENDOS[[#This Row],[Data Pagamento]])</f>
        <v/>
      </c>
      <c r="C384" s="103">
        <f>IFERROR(IF(DIVIDENDOS[[#This Row],[Data Pagamento]]="","",EOMONTH(B384,0)),"")</f>
        <v/>
      </c>
      <c r="D384" s="104">
        <f>IFERROR(IF(DIVIDENDOS[[#This Row],[Data Pagamento]]="","",DIVIDENDOS[[#This Row],[Data Pagamento]]),"")</f>
        <v/>
      </c>
      <c r="E384" s="105" t="n"/>
      <c r="F384" s="106" t="n"/>
    </row>
    <row r="385">
      <c r="A385" s="101">
        <f>YEAR(DIVIDENDOS[[#This Row],[Data Pagamento]])</f>
        <v/>
      </c>
      <c r="C385" s="103">
        <f>IFERROR(IF(DIVIDENDOS[[#This Row],[Data Pagamento]]="","",EOMONTH(B385,0)),"")</f>
        <v/>
      </c>
      <c r="D385" s="104">
        <f>IFERROR(IF(DIVIDENDOS[[#This Row],[Data Pagamento]]="","",DIVIDENDOS[[#This Row],[Data Pagamento]]),"")</f>
        <v/>
      </c>
      <c r="E385" s="105" t="n"/>
      <c r="F385" s="106" t="n"/>
    </row>
    <row r="386">
      <c r="A386" s="101">
        <f>YEAR(DIVIDENDOS[[#This Row],[Data Pagamento]])</f>
        <v/>
      </c>
      <c r="C386" s="103">
        <f>IFERROR(IF(DIVIDENDOS[[#This Row],[Data Pagamento]]="","",EOMONTH(B386,0)),"")</f>
        <v/>
      </c>
      <c r="D386" s="104">
        <f>IFERROR(IF(DIVIDENDOS[[#This Row],[Data Pagamento]]="","",DIVIDENDOS[[#This Row],[Data Pagamento]]),"")</f>
        <v/>
      </c>
      <c r="E386" s="105" t="n"/>
      <c r="F386" s="106" t="n"/>
    </row>
    <row r="387">
      <c r="A387" s="101">
        <f>YEAR(DIVIDENDOS[[#This Row],[Data Pagamento]])</f>
        <v/>
      </c>
      <c r="C387" s="103">
        <f>IFERROR(IF(DIVIDENDOS[[#This Row],[Data Pagamento]]="","",EOMONTH(B387,0)),"")</f>
        <v/>
      </c>
      <c r="D387" s="104">
        <f>IFERROR(IF(DIVIDENDOS[[#This Row],[Data Pagamento]]="","",DIVIDENDOS[[#This Row],[Data Pagamento]]),"")</f>
        <v/>
      </c>
      <c r="E387" s="105" t="n"/>
      <c r="F387" s="106" t="n"/>
    </row>
    <row r="388">
      <c r="A388" s="101">
        <f>YEAR(DIVIDENDOS[[#This Row],[Data Pagamento]])</f>
        <v/>
      </c>
      <c r="C388" s="103">
        <f>IFERROR(IF(DIVIDENDOS[[#This Row],[Data Pagamento]]="","",EOMONTH(B388,0)),"")</f>
        <v/>
      </c>
      <c r="D388" s="104">
        <f>IFERROR(IF(DIVIDENDOS[[#This Row],[Data Pagamento]]="","",DIVIDENDOS[[#This Row],[Data Pagamento]]),"")</f>
        <v/>
      </c>
      <c r="E388" s="105" t="n"/>
      <c r="F388" s="106" t="n"/>
    </row>
    <row r="389">
      <c r="A389" s="101">
        <f>YEAR(DIVIDENDOS[[#This Row],[Data Pagamento]])</f>
        <v/>
      </c>
      <c r="C389" s="103">
        <f>IFERROR(IF(DIVIDENDOS[[#This Row],[Data Pagamento]]="","",EOMONTH(B389,0)),"")</f>
        <v/>
      </c>
      <c r="D389" s="104">
        <f>IFERROR(IF(DIVIDENDOS[[#This Row],[Data Pagamento]]="","",DIVIDENDOS[[#This Row],[Data Pagamento]]),"")</f>
        <v/>
      </c>
      <c r="E389" s="105" t="n"/>
      <c r="F389" s="106" t="n"/>
    </row>
    <row r="390">
      <c r="A390" s="101">
        <f>YEAR(DIVIDENDOS[[#This Row],[Data Pagamento]])</f>
        <v/>
      </c>
      <c r="C390" s="103">
        <f>IFERROR(IF(DIVIDENDOS[[#This Row],[Data Pagamento]]="","",EOMONTH(B390,0)),"")</f>
        <v/>
      </c>
      <c r="D390" s="104">
        <f>IFERROR(IF(DIVIDENDOS[[#This Row],[Data Pagamento]]="","",DIVIDENDOS[[#This Row],[Data Pagamento]]),"")</f>
        <v/>
      </c>
      <c r="E390" s="105" t="n"/>
      <c r="F390" s="106" t="n"/>
    </row>
    <row r="391">
      <c r="A391" s="101">
        <f>YEAR(DIVIDENDOS[[#This Row],[Data Pagamento]])</f>
        <v/>
      </c>
      <c r="C391" s="103">
        <f>IFERROR(IF(DIVIDENDOS[[#This Row],[Data Pagamento]]="","",EOMONTH(B391,0)),"")</f>
        <v/>
      </c>
      <c r="D391" s="104">
        <f>IFERROR(IF(DIVIDENDOS[[#This Row],[Data Pagamento]]="","",DIVIDENDOS[[#This Row],[Data Pagamento]]),"")</f>
        <v/>
      </c>
      <c r="E391" s="105" t="n"/>
      <c r="F391" s="106" t="n"/>
    </row>
    <row r="392">
      <c r="A392" s="101">
        <f>YEAR(DIVIDENDOS[[#This Row],[Data Pagamento]])</f>
        <v/>
      </c>
      <c r="C392" s="103">
        <f>IFERROR(IF(DIVIDENDOS[[#This Row],[Data Pagamento]]="","",EOMONTH(B392,0)),"")</f>
        <v/>
      </c>
      <c r="D392" s="104">
        <f>IFERROR(IF(DIVIDENDOS[[#This Row],[Data Pagamento]]="","",DIVIDENDOS[[#This Row],[Data Pagamento]]),"")</f>
        <v/>
      </c>
      <c r="E392" s="105" t="n"/>
      <c r="F392" s="106" t="n"/>
    </row>
    <row r="393">
      <c r="A393" s="101">
        <f>YEAR(DIVIDENDOS[[#This Row],[Data Pagamento]])</f>
        <v/>
      </c>
      <c r="C393" s="103">
        <f>IFERROR(IF(DIVIDENDOS[[#This Row],[Data Pagamento]]="","",EOMONTH(B393,0)),"")</f>
        <v/>
      </c>
      <c r="D393" s="104">
        <f>IFERROR(IF(DIVIDENDOS[[#This Row],[Data Pagamento]]="","",DIVIDENDOS[[#This Row],[Data Pagamento]]),"")</f>
        <v/>
      </c>
      <c r="E393" s="105" t="n"/>
      <c r="F393" s="106" t="n"/>
    </row>
    <row r="394">
      <c r="A394" s="101">
        <f>YEAR(DIVIDENDOS[[#This Row],[Data Pagamento]])</f>
        <v/>
      </c>
      <c r="C394" s="103">
        <f>IFERROR(IF(DIVIDENDOS[[#This Row],[Data Pagamento]]="","",EOMONTH(B394,0)),"")</f>
        <v/>
      </c>
      <c r="D394" s="104">
        <f>IFERROR(IF(DIVIDENDOS[[#This Row],[Data Pagamento]]="","",DIVIDENDOS[[#This Row],[Data Pagamento]]),"")</f>
        <v/>
      </c>
      <c r="E394" s="105" t="n"/>
      <c r="F394" s="106" t="n"/>
    </row>
    <row r="395">
      <c r="A395" s="101">
        <f>YEAR(DIVIDENDOS[[#This Row],[Data Pagamento]])</f>
        <v/>
      </c>
      <c r="C395" s="103">
        <f>IFERROR(IF(DIVIDENDOS[[#This Row],[Data Pagamento]]="","",EOMONTH(B395,0)),"")</f>
        <v/>
      </c>
      <c r="D395" s="104">
        <f>IFERROR(IF(DIVIDENDOS[[#This Row],[Data Pagamento]]="","",DIVIDENDOS[[#This Row],[Data Pagamento]]),"")</f>
        <v/>
      </c>
      <c r="E395" s="105" t="n"/>
      <c r="F395" s="106" t="n"/>
    </row>
    <row r="396">
      <c r="A396" s="101">
        <f>YEAR(DIVIDENDOS[[#This Row],[Data Pagamento]])</f>
        <v/>
      </c>
      <c r="C396" s="103">
        <f>IFERROR(IF(DIVIDENDOS[[#This Row],[Data Pagamento]]="","",EOMONTH(B396,0)),"")</f>
        <v/>
      </c>
      <c r="D396" s="104">
        <f>IFERROR(IF(DIVIDENDOS[[#This Row],[Data Pagamento]]="","",DIVIDENDOS[[#This Row],[Data Pagamento]]),"")</f>
        <v/>
      </c>
      <c r="E396" s="105" t="n"/>
      <c r="F396" s="106" t="n"/>
    </row>
    <row r="397">
      <c r="A397" s="101">
        <f>YEAR(DIVIDENDOS[[#This Row],[Data Pagamento]])</f>
        <v/>
      </c>
      <c r="C397" s="103">
        <f>IFERROR(IF(DIVIDENDOS[[#This Row],[Data Pagamento]]="","",EOMONTH(B397,0)),"")</f>
        <v/>
      </c>
      <c r="D397" s="104">
        <f>IFERROR(IF(DIVIDENDOS[[#This Row],[Data Pagamento]]="","",DIVIDENDOS[[#This Row],[Data Pagamento]]),"")</f>
        <v/>
      </c>
      <c r="E397" s="105" t="n"/>
      <c r="F397" s="106" t="n"/>
    </row>
    <row r="398">
      <c r="A398" s="101">
        <f>YEAR(DIVIDENDOS[[#This Row],[Data Pagamento]])</f>
        <v/>
      </c>
      <c r="C398" s="103">
        <f>IFERROR(IF(DIVIDENDOS[[#This Row],[Data Pagamento]]="","",EOMONTH(B398,0)),"")</f>
        <v/>
      </c>
      <c r="D398" s="104">
        <f>IFERROR(IF(DIVIDENDOS[[#This Row],[Data Pagamento]]="","",DIVIDENDOS[[#This Row],[Data Pagamento]]),"")</f>
        <v/>
      </c>
      <c r="E398" s="105" t="n"/>
      <c r="F398" s="106" t="n"/>
    </row>
    <row r="399">
      <c r="A399" s="101">
        <f>YEAR(DIVIDENDOS[[#This Row],[Data Pagamento]])</f>
        <v/>
      </c>
      <c r="C399" s="103">
        <f>IFERROR(IF(DIVIDENDOS[[#This Row],[Data Pagamento]]="","",EOMONTH(B399,0)),"")</f>
        <v/>
      </c>
      <c r="D399" s="104">
        <f>IFERROR(IF(DIVIDENDOS[[#This Row],[Data Pagamento]]="","",DIVIDENDOS[[#This Row],[Data Pagamento]]),"")</f>
        <v/>
      </c>
      <c r="E399" s="105" t="n"/>
      <c r="F399" s="106" t="n"/>
    </row>
    <row r="400">
      <c r="A400" s="101">
        <f>YEAR(DIVIDENDOS[[#This Row],[Data Pagamento]])</f>
        <v/>
      </c>
      <c r="C400" s="103">
        <f>IFERROR(IF(DIVIDENDOS[[#This Row],[Data Pagamento]]="","",EOMONTH(B400,0)),"")</f>
        <v/>
      </c>
      <c r="D400" s="104">
        <f>IFERROR(IF(DIVIDENDOS[[#This Row],[Data Pagamento]]="","",DIVIDENDOS[[#This Row],[Data Pagamento]]),"")</f>
        <v/>
      </c>
      <c r="E400" s="105" t="n"/>
      <c r="F400" s="106" t="n"/>
    </row>
    <row r="401">
      <c r="A401" s="101">
        <f>YEAR(DIVIDENDOS[[#This Row],[Data Pagamento]])</f>
        <v/>
      </c>
      <c r="C401" s="103">
        <f>IFERROR(IF(DIVIDENDOS[[#This Row],[Data Pagamento]]="","",EOMONTH(B401,0)),"")</f>
        <v/>
      </c>
      <c r="D401" s="104">
        <f>IFERROR(IF(DIVIDENDOS[[#This Row],[Data Pagamento]]="","",DIVIDENDOS[[#This Row],[Data Pagamento]]),"")</f>
        <v/>
      </c>
      <c r="E401" s="105" t="n"/>
      <c r="F401" s="106" t="n"/>
    </row>
    <row r="402">
      <c r="A402" s="101">
        <f>YEAR(DIVIDENDOS[[#This Row],[Data Pagamento]])</f>
        <v/>
      </c>
      <c r="C402" s="103">
        <f>IFERROR(IF(DIVIDENDOS[[#This Row],[Data Pagamento]]="","",EOMONTH(B402,0)),"")</f>
        <v/>
      </c>
      <c r="D402" s="104">
        <f>IFERROR(IF(DIVIDENDOS[[#This Row],[Data Pagamento]]="","",DIVIDENDOS[[#This Row],[Data Pagamento]]),"")</f>
        <v/>
      </c>
      <c r="E402" s="105" t="n"/>
      <c r="F402" s="106" t="n"/>
    </row>
    <row r="403">
      <c r="A403" s="101">
        <f>YEAR(DIVIDENDOS[[#This Row],[Data Pagamento]])</f>
        <v/>
      </c>
      <c r="C403" s="103">
        <f>IFERROR(IF(DIVIDENDOS[[#This Row],[Data Pagamento]]="","",EOMONTH(B403,0)),"")</f>
        <v/>
      </c>
      <c r="D403" s="104">
        <f>IFERROR(IF(DIVIDENDOS[[#This Row],[Data Pagamento]]="","",DIVIDENDOS[[#This Row],[Data Pagamento]]),"")</f>
        <v/>
      </c>
      <c r="E403" s="105" t="n"/>
      <c r="F403" s="106" t="n"/>
    </row>
    <row r="404">
      <c r="A404" s="101">
        <f>YEAR(DIVIDENDOS[[#This Row],[Data Pagamento]])</f>
        <v/>
      </c>
      <c r="C404" s="103">
        <f>IFERROR(IF(DIVIDENDOS[[#This Row],[Data Pagamento]]="","",EOMONTH(B404,0)),"")</f>
        <v/>
      </c>
      <c r="D404" s="104">
        <f>IFERROR(IF(DIVIDENDOS[[#This Row],[Data Pagamento]]="","",DIVIDENDOS[[#This Row],[Data Pagamento]]),"")</f>
        <v/>
      </c>
      <c r="E404" s="105" t="n"/>
      <c r="F404" s="106" t="n"/>
    </row>
    <row r="405">
      <c r="A405" s="101">
        <f>YEAR(DIVIDENDOS[[#This Row],[Data Pagamento]])</f>
        <v/>
      </c>
      <c r="C405" s="103">
        <f>IFERROR(IF(DIVIDENDOS[[#This Row],[Data Pagamento]]="","",EOMONTH(B405,0)),"")</f>
        <v/>
      </c>
      <c r="D405" s="104">
        <f>IFERROR(IF(DIVIDENDOS[[#This Row],[Data Pagamento]]="","",DIVIDENDOS[[#This Row],[Data Pagamento]]),"")</f>
        <v/>
      </c>
      <c r="E405" s="105" t="n"/>
      <c r="F405" s="106" t="n"/>
    </row>
    <row r="406">
      <c r="A406" s="101">
        <f>YEAR(DIVIDENDOS[[#This Row],[Data Pagamento]])</f>
        <v/>
      </c>
      <c r="C406" s="103">
        <f>IFERROR(IF(DIVIDENDOS[[#This Row],[Data Pagamento]]="","",EOMONTH(B406,0)),"")</f>
        <v/>
      </c>
      <c r="D406" s="104">
        <f>IFERROR(IF(DIVIDENDOS[[#This Row],[Data Pagamento]]="","",DIVIDENDOS[[#This Row],[Data Pagamento]]),"")</f>
        <v/>
      </c>
      <c r="E406" s="105" t="n"/>
      <c r="F406" s="106" t="n"/>
    </row>
    <row r="407">
      <c r="A407" s="101">
        <f>YEAR(DIVIDENDOS[[#This Row],[Data Pagamento]])</f>
        <v/>
      </c>
      <c r="C407" s="103">
        <f>IFERROR(IF(DIVIDENDOS[[#This Row],[Data Pagamento]]="","",EOMONTH(B407,0)),"")</f>
        <v/>
      </c>
      <c r="D407" s="104">
        <f>IFERROR(IF(DIVIDENDOS[[#This Row],[Data Pagamento]]="","",DIVIDENDOS[[#This Row],[Data Pagamento]]),"")</f>
        <v/>
      </c>
      <c r="E407" s="105" t="n"/>
      <c r="F407" s="106" t="n"/>
    </row>
    <row r="408">
      <c r="A408" s="101">
        <f>YEAR(DIVIDENDOS[[#This Row],[Data Pagamento]])</f>
        <v/>
      </c>
      <c r="C408" s="103">
        <f>IFERROR(IF(DIVIDENDOS[[#This Row],[Data Pagamento]]="","",EOMONTH(B408,0)),"")</f>
        <v/>
      </c>
      <c r="D408" s="104">
        <f>IFERROR(IF(DIVIDENDOS[[#This Row],[Data Pagamento]]="","",DIVIDENDOS[[#This Row],[Data Pagamento]]),"")</f>
        <v/>
      </c>
      <c r="E408" s="105" t="n"/>
      <c r="F408" s="106" t="n"/>
    </row>
    <row r="409">
      <c r="A409" s="101">
        <f>YEAR(DIVIDENDOS[[#This Row],[Data Pagamento]])</f>
        <v/>
      </c>
      <c r="C409" s="103">
        <f>IFERROR(IF(DIVIDENDOS[[#This Row],[Data Pagamento]]="","",EOMONTH(B409,0)),"")</f>
        <v/>
      </c>
      <c r="D409" s="104">
        <f>IFERROR(IF(DIVIDENDOS[[#This Row],[Data Pagamento]]="","",DIVIDENDOS[[#This Row],[Data Pagamento]]),"")</f>
        <v/>
      </c>
      <c r="E409" s="105" t="n"/>
      <c r="F409" s="106" t="n"/>
    </row>
    <row r="410">
      <c r="A410" s="101">
        <f>YEAR(DIVIDENDOS[[#This Row],[Data Pagamento]])</f>
        <v/>
      </c>
      <c r="C410" s="103">
        <f>IFERROR(IF(DIVIDENDOS[[#This Row],[Data Pagamento]]="","",EOMONTH(B410,0)),"")</f>
        <v/>
      </c>
      <c r="D410" s="104">
        <f>IFERROR(IF(DIVIDENDOS[[#This Row],[Data Pagamento]]="","",DIVIDENDOS[[#This Row],[Data Pagamento]]),"")</f>
        <v/>
      </c>
      <c r="E410" s="105" t="n"/>
      <c r="F410" s="106" t="n"/>
    </row>
    <row r="411">
      <c r="A411" s="101">
        <f>YEAR(DIVIDENDOS[[#This Row],[Data Pagamento]])</f>
        <v/>
      </c>
      <c r="C411" s="103">
        <f>IFERROR(IF(DIVIDENDOS[[#This Row],[Data Pagamento]]="","",EOMONTH(B411,0)),"")</f>
        <v/>
      </c>
      <c r="D411" s="104">
        <f>IFERROR(IF(DIVIDENDOS[[#This Row],[Data Pagamento]]="","",DIVIDENDOS[[#This Row],[Data Pagamento]]),"")</f>
        <v/>
      </c>
      <c r="E411" s="105" t="n"/>
      <c r="F411" s="106" t="n"/>
    </row>
    <row r="412">
      <c r="A412" s="101">
        <f>YEAR(DIVIDENDOS[[#This Row],[Data Pagamento]])</f>
        <v/>
      </c>
      <c r="C412" s="103">
        <f>IFERROR(IF(DIVIDENDOS[[#This Row],[Data Pagamento]]="","",EOMONTH(B412,0)),"")</f>
        <v/>
      </c>
      <c r="D412" s="104">
        <f>IFERROR(IF(DIVIDENDOS[[#This Row],[Data Pagamento]]="","",DIVIDENDOS[[#This Row],[Data Pagamento]]),"")</f>
        <v/>
      </c>
      <c r="E412" s="105" t="n"/>
      <c r="F412" s="106" t="n"/>
    </row>
    <row r="413">
      <c r="A413" s="101">
        <f>YEAR(DIVIDENDOS[[#This Row],[Data Pagamento]])</f>
        <v/>
      </c>
      <c r="C413" s="103">
        <f>IFERROR(IF(DIVIDENDOS[[#This Row],[Data Pagamento]]="","",EOMONTH(B413,0)),"")</f>
        <v/>
      </c>
      <c r="D413" s="104">
        <f>IFERROR(IF(DIVIDENDOS[[#This Row],[Data Pagamento]]="","",DIVIDENDOS[[#This Row],[Data Pagamento]]),"")</f>
        <v/>
      </c>
      <c r="E413" s="105" t="n"/>
      <c r="F413" s="106" t="n"/>
    </row>
    <row r="414">
      <c r="A414" s="101">
        <f>YEAR(DIVIDENDOS[[#This Row],[Data Pagamento]])</f>
        <v/>
      </c>
      <c r="C414" s="103">
        <f>IFERROR(IF(DIVIDENDOS[[#This Row],[Data Pagamento]]="","",EOMONTH(B414,0)),"")</f>
        <v/>
      </c>
      <c r="D414" s="104">
        <f>IFERROR(IF(DIVIDENDOS[[#This Row],[Data Pagamento]]="","",DIVIDENDOS[[#This Row],[Data Pagamento]]),"")</f>
        <v/>
      </c>
      <c r="E414" s="105" t="n"/>
      <c r="F414" s="106" t="n"/>
    </row>
    <row r="415">
      <c r="A415" s="101">
        <f>YEAR(DIVIDENDOS[[#This Row],[Data Pagamento]])</f>
        <v/>
      </c>
      <c r="C415" s="103">
        <f>IFERROR(IF(DIVIDENDOS[[#This Row],[Data Pagamento]]="","",EOMONTH(B415,0)),"")</f>
        <v/>
      </c>
      <c r="D415" s="104">
        <f>IFERROR(IF(DIVIDENDOS[[#This Row],[Data Pagamento]]="","",DIVIDENDOS[[#This Row],[Data Pagamento]]),"")</f>
        <v/>
      </c>
      <c r="E415" s="105" t="n"/>
      <c r="F415" s="106" t="n"/>
    </row>
    <row r="416">
      <c r="A416" s="101">
        <f>YEAR(DIVIDENDOS[[#This Row],[Data Pagamento]])</f>
        <v/>
      </c>
      <c r="C416" s="103">
        <f>IFERROR(IF(DIVIDENDOS[[#This Row],[Data Pagamento]]="","",EOMONTH(B416,0)),"")</f>
        <v/>
      </c>
      <c r="D416" s="104">
        <f>IFERROR(IF(DIVIDENDOS[[#This Row],[Data Pagamento]]="","",DIVIDENDOS[[#This Row],[Data Pagamento]]),"")</f>
        <v/>
      </c>
      <c r="E416" s="105" t="n"/>
      <c r="F416" s="106" t="n"/>
    </row>
    <row r="417">
      <c r="A417" s="101">
        <f>YEAR(DIVIDENDOS[[#This Row],[Data Pagamento]])</f>
        <v/>
      </c>
      <c r="C417" s="103">
        <f>IFERROR(IF(DIVIDENDOS[[#This Row],[Data Pagamento]]="","",EOMONTH(B417,0)),"")</f>
        <v/>
      </c>
      <c r="D417" s="104">
        <f>IFERROR(IF(DIVIDENDOS[[#This Row],[Data Pagamento]]="","",DIVIDENDOS[[#This Row],[Data Pagamento]]),"")</f>
        <v/>
      </c>
      <c r="E417" s="105" t="n"/>
      <c r="F417" s="106" t="n"/>
    </row>
    <row r="418">
      <c r="A418" s="101">
        <f>YEAR(DIVIDENDOS[[#This Row],[Data Pagamento]])</f>
        <v/>
      </c>
      <c r="C418" s="103">
        <f>IFERROR(IF(DIVIDENDOS[[#This Row],[Data Pagamento]]="","",EOMONTH(B418,0)),"")</f>
        <v/>
      </c>
      <c r="D418" s="104">
        <f>IFERROR(IF(DIVIDENDOS[[#This Row],[Data Pagamento]]="","",DIVIDENDOS[[#This Row],[Data Pagamento]]),"")</f>
        <v/>
      </c>
      <c r="E418" s="105" t="n"/>
      <c r="F418" s="106" t="n"/>
    </row>
    <row r="419">
      <c r="A419" s="101">
        <f>YEAR(DIVIDENDOS[[#This Row],[Data Pagamento]])</f>
        <v/>
      </c>
      <c r="C419" s="103">
        <f>IFERROR(IF(DIVIDENDOS[[#This Row],[Data Pagamento]]="","",EOMONTH(B419,0)),"")</f>
        <v/>
      </c>
      <c r="D419" s="104">
        <f>IFERROR(IF(DIVIDENDOS[[#This Row],[Data Pagamento]]="","",DIVIDENDOS[[#This Row],[Data Pagamento]]),"")</f>
        <v/>
      </c>
      <c r="E419" s="105" t="n"/>
      <c r="F419" s="106" t="n"/>
    </row>
    <row r="420">
      <c r="A420" s="101">
        <f>YEAR(DIVIDENDOS[[#This Row],[Data Pagamento]])</f>
        <v/>
      </c>
      <c r="C420" s="103">
        <f>IFERROR(IF(DIVIDENDOS[[#This Row],[Data Pagamento]]="","",EOMONTH(B420,0)),"")</f>
        <v/>
      </c>
      <c r="D420" s="104">
        <f>IFERROR(IF(DIVIDENDOS[[#This Row],[Data Pagamento]]="","",DIVIDENDOS[[#This Row],[Data Pagamento]]),"")</f>
        <v/>
      </c>
      <c r="E420" s="105" t="n"/>
      <c r="F420" s="106" t="n"/>
    </row>
    <row r="421">
      <c r="A421" s="101">
        <f>YEAR(DIVIDENDOS[[#This Row],[Data Pagamento]])</f>
        <v/>
      </c>
      <c r="C421" s="103">
        <f>IFERROR(IF(DIVIDENDOS[[#This Row],[Data Pagamento]]="","",EOMONTH(B421,0)),"")</f>
        <v/>
      </c>
      <c r="D421" s="104">
        <f>IFERROR(IF(DIVIDENDOS[[#This Row],[Data Pagamento]]="","",DIVIDENDOS[[#This Row],[Data Pagamento]]),"")</f>
        <v/>
      </c>
      <c r="E421" s="105" t="n"/>
      <c r="F421" s="106" t="n"/>
    </row>
    <row r="422">
      <c r="A422" s="101">
        <f>YEAR(DIVIDENDOS[[#This Row],[Data Pagamento]])</f>
        <v/>
      </c>
      <c r="C422" s="103">
        <f>IFERROR(IF(DIVIDENDOS[[#This Row],[Data Pagamento]]="","",EOMONTH(B422,0)),"")</f>
        <v/>
      </c>
      <c r="D422" s="104">
        <f>IFERROR(IF(DIVIDENDOS[[#This Row],[Data Pagamento]]="","",DIVIDENDOS[[#This Row],[Data Pagamento]]),"")</f>
        <v/>
      </c>
      <c r="E422" s="105" t="n"/>
      <c r="F422" s="106" t="n"/>
    </row>
    <row r="423">
      <c r="A423" s="101">
        <f>YEAR(DIVIDENDOS[[#This Row],[Data Pagamento]])</f>
        <v/>
      </c>
      <c r="C423" s="103">
        <f>IFERROR(IF(DIVIDENDOS[[#This Row],[Data Pagamento]]="","",EOMONTH(B423,0)),"")</f>
        <v/>
      </c>
      <c r="D423" s="104">
        <f>IFERROR(IF(DIVIDENDOS[[#This Row],[Data Pagamento]]="","",DIVIDENDOS[[#This Row],[Data Pagamento]]),"")</f>
        <v/>
      </c>
      <c r="E423" s="105" t="n"/>
      <c r="F423" s="106" t="n"/>
    </row>
    <row r="424">
      <c r="A424" s="101">
        <f>YEAR(DIVIDENDOS[[#This Row],[Data Pagamento]])</f>
        <v/>
      </c>
      <c r="C424" s="103">
        <f>IFERROR(IF(DIVIDENDOS[[#This Row],[Data Pagamento]]="","",EOMONTH(B424,0)),"")</f>
        <v/>
      </c>
      <c r="D424" s="104">
        <f>IFERROR(IF(DIVIDENDOS[[#This Row],[Data Pagamento]]="","",DIVIDENDOS[[#This Row],[Data Pagamento]]),"")</f>
        <v/>
      </c>
      <c r="E424" s="105" t="n"/>
      <c r="F424" s="106" t="n"/>
    </row>
    <row r="425">
      <c r="A425" s="101">
        <f>YEAR(DIVIDENDOS[[#This Row],[Data Pagamento]])</f>
        <v/>
      </c>
      <c r="C425" s="103">
        <f>IFERROR(IF(DIVIDENDOS[[#This Row],[Data Pagamento]]="","",EOMONTH(B425,0)),"")</f>
        <v/>
      </c>
      <c r="D425" s="104">
        <f>IFERROR(IF(DIVIDENDOS[[#This Row],[Data Pagamento]]="","",DIVIDENDOS[[#This Row],[Data Pagamento]]),"")</f>
        <v/>
      </c>
      <c r="E425" s="105" t="n"/>
      <c r="F425" s="106" t="n"/>
    </row>
    <row r="426">
      <c r="A426" s="101">
        <f>YEAR(DIVIDENDOS[[#This Row],[Data Pagamento]])</f>
        <v/>
      </c>
      <c r="C426" s="103">
        <f>IFERROR(IF(DIVIDENDOS[[#This Row],[Data Pagamento]]="","",EOMONTH(B426,0)),"")</f>
        <v/>
      </c>
      <c r="D426" s="104">
        <f>IFERROR(IF(DIVIDENDOS[[#This Row],[Data Pagamento]]="","",DIVIDENDOS[[#This Row],[Data Pagamento]]),"")</f>
        <v/>
      </c>
      <c r="E426" s="105" t="n"/>
      <c r="F426" s="106" t="n"/>
    </row>
    <row r="427">
      <c r="A427" s="101">
        <f>YEAR(DIVIDENDOS[[#This Row],[Data Pagamento]])</f>
        <v/>
      </c>
      <c r="C427" s="103">
        <f>IFERROR(IF(DIVIDENDOS[[#This Row],[Data Pagamento]]="","",EOMONTH(B427,0)),"")</f>
        <v/>
      </c>
      <c r="D427" s="104">
        <f>IFERROR(IF(DIVIDENDOS[[#This Row],[Data Pagamento]]="","",DIVIDENDOS[[#This Row],[Data Pagamento]]),"")</f>
        <v/>
      </c>
      <c r="E427" s="105" t="n"/>
      <c r="F427" s="106" t="n"/>
    </row>
    <row r="428">
      <c r="A428" s="101">
        <f>YEAR(DIVIDENDOS[[#This Row],[Data Pagamento]])</f>
        <v/>
      </c>
      <c r="C428" s="103">
        <f>IFERROR(IF(DIVIDENDOS[[#This Row],[Data Pagamento]]="","",EOMONTH(B428,0)),"")</f>
        <v/>
      </c>
      <c r="D428" s="104">
        <f>IFERROR(IF(DIVIDENDOS[[#This Row],[Data Pagamento]]="","",DIVIDENDOS[[#This Row],[Data Pagamento]]),"")</f>
        <v/>
      </c>
      <c r="E428" s="105" t="n"/>
      <c r="F428" s="106" t="n"/>
    </row>
    <row r="429">
      <c r="A429" s="101">
        <f>YEAR(DIVIDENDOS[[#This Row],[Data Pagamento]])</f>
        <v/>
      </c>
      <c r="C429" s="103">
        <f>IFERROR(IF(DIVIDENDOS[[#This Row],[Data Pagamento]]="","",EOMONTH(B429,0)),"")</f>
        <v/>
      </c>
      <c r="D429" s="104">
        <f>IFERROR(IF(DIVIDENDOS[[#This Row],[Data Pagamento]]="","",DIVIDENDOS[[#This Row],[Data Pagamento]]),"")</f>
        <v/>
      </c>
      <c r="E429" s="105" t="n"/>
      <c r="F429" s="106" t="n"/>
    </row>
    <row r="430">
      <c r="A430" s="101">
        <f>YEAR(DIVIDENDOS[[#This Row],[Data Pagamento]])</f>
        <v/>
      </c>
      <c r="C430" s="103">
        <f>IFERROR(IF(DIVIDENDOS[[#This Row],[Data Pagamento]]="","",EOMONTH(B430,0)),"")</f>
        <v/>
      </c>
      <c r="D430" s="104">
        <f>IFERROR(IF(DIVIDENDOS[[#This Row],[Data Pagamento]]="","",DIVIDENDOS[[#This Row],[Data Pagamento]]),"")</f>
        <v/>
      </c>
      <c r="E430" s="105" t="n"/>
      <c r="F430" s="106" t="n"/>
    </row>
    <row r="431">
      <c r="A431" s="101">
        <f>YEAR(DIVIDENDOS[[#This Row],[Data Pagamento]])</f>
        <v/>
      </c>
      <c r="C431" s="103">
        <f>IFERROR(IF(DIVIDENDOS[[#This Row],[Data Pagamento]]="","",EOMONTH(B431,0)),"")</f>
        <v/>
      </c>
      <c r="D431" s="104">
        <f>IFERROR(IF(DIVIDENDOS[[#This Row],[Data Pagamento]]="","",DIVIDENDOS[[#This Row],[Data Pagamento]]),"")</f>
        <v/>
      </c>
      <c r="E431" s="105" t="n"/>
      <c r="F431" s="106" t="n"/>
    </row>
    <row r="432">
      <c r="A432" s="101">
        <f>YEAR(DIVIDENDOS[[#This Row],[Data Pagamento]])</f>
        <v/>
      </c>
      <c r="C432" s="103">
        <f>IFERROR(IF(DIVIDENDOS[[#This Row],[Data Pagamento]]="","",EOMONTH(B432,0)),"")</f>
        <v/>
      </c>
      <c r="D432" s="104">
        <f>IFERROR(IF(DIVIDENDOS[[#This Row],[Data Pagamento]]="","",DIVIDENDOS[[#This Row],[Data Pagamento]]),"")</f>
        <v/>
      </c>
      <c r="E432" s="105" t="n"/>
      <c r="F432" s="106" t="n"/>
    </row>
    <row r="433">
      <c r="A433" s="101">
        <f>YEAR(DIVIDENDOS[[#This Row],[Data Pagamento]])</f>
        <v/>
      </c>
      <c r="C433" s="103">
        <f>IFERROR(IF(DIVIDENDOS[[#This Row],[Data Pagamento]]="","",EOMONTH(B433,0)),"")</f>
        <v/>
      </c>
      <c r="D433" s="104">
        <f>IFERROR(IF(DIVIDENDOS[[#This Row],[Data Pagamento]]="","",DIVIDENDOS[[#This Row],[Data Pagamento]]),"")</f>
        <v/>
      </c>
      <c r="E433" s="105" t="n"/>
      <c r="F433" s="106" t="n"/>
    </row>
    <row r="434">
      <c r="A434" s="101">
        <f>YEAR(DIVIDENDOS[[#This Row],[Data Pagamento]])</f>
        <v/>
      </c>
      <c r="C434" s="103">
        <f>IFERROR(IF(DIVIDENDOS[[#This Row],[Data Pagamento]]="","",EOMONTH(B434,0)),"")</f>
        <v/>
      </c>
      <c r="D434" s="104">
        <f>IFERROR(IF(DIVIDENDOS[[#This Row],[Data Pagamento]]="","",DIVIDENDOS[[#This Row],[Data Pagamento]]),"")</f>
        <v/>
      </c>
      <c r="E434" s="105" t="n"/>
      <c r="F434" s="106" t="n"/>
    </row>
    <row r="435">
      <c r="A435" s="101">
        <f>YEAR(DIVIDENDOS[[#This Row],[Data Pagamento]])</f>
        <v/>
      </c>
      <c r="C435" s="103">
        <f>IFERROR(IF(DIVIDENDOS[[#This Row],[Data Pagamento]]="","",EOMONTH(B435,0)),"")</f>
        <v/>
      </c>
      <c r="D435" s="104">
        <f>IFERROR(IF(DIVIDENDOS[[#This Row],[Data Pagamento]]="","",DIVIDENDOS[[#This Row],[Data Pagamento]]),"")</f>
        <v/>
      </c>
      <c r="E435" s="105" t="n"/>
      <c r="F435" s="106" t="n"/>
    </row>
    <row r="436">
      <c r="A436" s="101">
        <f>YEAR(DIVIDENDOS[[#This Row],[Data Pagamento]])</f>
        <v/>
      </c>
      <c r="C436" s="103">
        <f>IFERROR(IF(DIVIDENDOS[[#This Row],[Data Pagamento]]="","",EOMONTH(B436,0)),"")</f>
        <v/>
      </c>
      <c r="D436" s="104">
        <f>IFERROR(IF(DIVIDENDOS[[#This Row],[Data Pagamento]]="","",DIVIDENDOS[[#This Row],[Data Pagamento]]),"")</f>
        <v/>
      </c>
      <c r="E436" s="105" t="n"/>
      <c r="F436" s="106" t="n"/>
    </row>
    <row r="437">
      <c r="A437" s="101">
        <f>YEAR(DIVIDENDOS[[#This Row],[Data Pagamento]])</f>
        <v/>
      </c>
      <c r="C437" s="103">
        <f>IFERROR(IF(DIVIDENDOS[[#This Row],[Data Pagamento]]="","",EOMONTH(B437,0)),"")</f>
        <v/>
      </c>
      <c r="D437" s="104">
        <f>IFERROR(IF(DIVIDENDOS[[#This Row],[Data Pagamento]]="","",DIVIDENDOS[[#This Row],[Data Pagamento]]),"")</f>
        <v/>
      </c>
      <c r="E437" s="105" t="n"/>
      <c r="F437" s="106" t="n"/>
    </row>
    <row r="438">
      <c r="A438" s="101">
        <f>YEAR(DIVIDENDOS[[#This Row],[Data Pagamento]])</f>
        <v/>
      </c>
      <c r="C438" s="103">
        <f>IFERROR(IF(DIVIDENDOS[[#This Row],[Data Pagamento]]="","",EOMONTH(B438,0)),"")</f>
        <v/>
      </c>
      <c r="D438" s="104">
        <f>IFERROR(IF(DIVIDENDOS[[#This Row],[Data Pagamento]]="","",DIVIDENDOS[[#This Row],[Data Pagamento]]),"")</f>
        <v/>
      </c>
      <c r="E438" s="105" t="n"/>
      <c r="F438" s="106" t="n"/>
    </row>
    <row r="439">
      <c r="A439" s="101">
        <f>YEAR(DIVIDENDOS[[#This Row],[Data Pagamento]])</f>
        <v/>
      </c>
      <c r="C439" s="103">
        <f>IFERROR(IF(DIVIDENDOS[[#This Row],[Data Pagamento]]="","",EOMONTH(B439,0)),"")</f>
        <v/>
      </c>
      <c r="D439" s="104">
        <f>IFERROR(IF(DIVIDENDOS[[#This Row],[Data Pagamento]]="","",DIVIDENDOS[[#This Row],[Data Pagamento]]),"")</f>
        <v/>
      </c>
      <c r="E439" s="105" t="n"/>
      <c r="F439" s="106" t="n"/>
    </row>
    <row r="440">
      <c r="A440" s="101">
        <f>YEAR(DIVIDENDOS[[#This Row],[Data Pagamento]])</f>
        <v/>
      </c>
      <c r="C440" s="103">
        <f>IFERROR(IF(DIVIDENDOS[[#This Row],[Data Pagamento]]="","",EOMONTH(B440,0)),"")</f>
        <v/>
      </c>
      <c r="D440" s="104">
        <f>IFERROR(IF(DIVIDENDOS[[#This Row],[Data Pagamento]]="","",DIVIDENDOS[[#This Row],[Data Pagamento]]),"")</f>
        <v/>
      </c>
      <c r="E440" s="105" t="n"/>
      <c r="F440" s="106" t="n"/>
    </row>
    <row r="441">
      <c r="A441" s="101">
        <f>YEAR(DIVIDENDOS[[#This Row],[Data Pagamento]])</f>
        <v/>
      </c>
      <c r="C441" s="103">
        <f>IFERROR(IF(DIVIDENDOS[[#This Row],[Data Pagamento]]="","",EOMONTH(B441,0)),"")</f>
        <v/>
      </c>
      <c r="D441" s="104">
        <f>IFERROR(IF(DIVIDENDOS[[#This Row],[Data Pagamento]]="","",DIVIDENDOS[[#This Row],[Data Pagamento]]),"")</f>
        <v/>
      </c>
      <c r="E441" s="105" t="n"/>
      <c r="F441" s="106" t="n"/>
    </row>
    <row r="442">
      <c r="A442" s="101">
        <f>YEAR(DIVIDENDOS[[#This Row],[Data Pagamento]])</f>
        <v/>
      </c>
      <c r="C442" s="103">
        <f>IFERROR(IF(DIVIDENDOS[[#This Row],[Data Pagamento]]="","",EOMONTH(B442,0)),"")</f>
        <v/>
      </c>
      <c r="D442" s="104">
        <f>IFERROR(IF(DIVIDENDOS[[#This Row],[Data Pagamento]]="","",DIVIDENDOS[[#This Row],[Data Pagamento]]),"")</f>
        <v/>
      </c>
      <c r="E442" s="105" t="n"/>
      <c r="F442" s="106" t="n"/>
    </row>
    <row r="443">
      <c r="A443" s="101">
        <f>YEAR(DIVIDENDOS[[#This Row],[Data Pagamento]])</f>
        <v/>
      </c>
      <c r="C443" s="103">
        <f>IFERROR(IF(DIVIDENDOS[[#This Row],[Data Pagamento]]="","",EOMONTH(B443,0)),"")</f>
        <v/>
      </c>
      <c r="D443" s="104">
        <f>IFERROR(IF(DIVIDENDOS[[#This Row],[Data Pagamento]]="","",DIVIDENDOS[[#This Row],[Data Pagamento]]),"")</f>
        <v/>
      </c>
      <c r="E443" s="105" t="n"/>
      <c r="F443" s="106" t="n"/>
    </row>
    <row r="444">
      <c r="A444" s="101">
        <f>YEAR(DIVIDENDOS[[#This Row],[Data Pagamento]])</f>
        <v/>
      </c>
      <c r="C444" s="103">
        <f>IFERROR(IF(DIVIDENDOS[[#This Row],[Data Pagamento]]="","",EOMONTH(B444,0)),"")</f>
        <v/>
      </c>
      <c r="D444" s="104">
        <f>IFERROR(IF(DIVIDENDOS[[#This Row],[Data Pagamento]]="","",DIVIDENDOS[[#This Row],[Data Pagamento]]),"")</f>
        <v/>
      </c>
      <c r="E444" s="105" t="n"/>
      <c r="F444" s="106" t="n"/>
    </row>
    <row r="445">
      <c r="A445" s="101">
        <f>YEAR(DIVIDENDOS[[#This Row],[Data Pagamento]])</f>
        <v/>
      </c>
      <c r="C445" s="103">
        <f>IFERROR(IF(DIVIDENDOS[[#This Row],[Data Pagamento]]="","",EOMONTH(B445,0)),"")</f>
        <v/>
      </c>
      <c r="D445" s="104">
        <f>IFERROR(IF(DIVIDENDOS[[#This Row],[Data Pagamento]]="","",DIVIDENDOS[[#This Row],[Data Pagamento]]),"")</f>
        <v/>
      </c>
      <c r="E445" s="105" t="n"/>
      <c r="F445" s="106" t="n"/>
    </row>
    <row r="446">
      <c r="A446" s="101">
        <f>YEAR(DIVIDENDOS[[#This Row],[Data Pagamento]])</f>
        <v/>
      </c>
      <c r="C446" s="103">
        <f>IFERROR(IF(DIVIDENDOS[[#This Row],[Data Pagamento]]="","",EOMONTH(B446,0)),"")</f>
        <v/>
      </c>
      <c r="D446" s="104">
        <f>IFERROR(IF(DIVIDENDOS[[#This Row],[Data Pagamento]]="","",DIVIDENDOS[[#This Row],[Data Pagamento]]),"")</f>
        <v/>
      </c>
      <c r="E446" s="105" t="n"/>
      <c r="F446" s="106" t="n"/>
    </row>
    <row r="447">
      <c r="A447" s="101">
        <f>YEAR(DIVIDENDOS[[#This Row],[Data Pagamento]])</f>
        <v/>
      </c>
      <c r="C447" s="103">
        <f>IFERROR(IF(DIVIDENDOS[[#This Row],[Data Pagamento]]="","",EOMONTH(B447,0)),"")</f>
        <v/>
      </c>
      <c r="D447" s="104">
        <f>IFERROR(IF(DIVIDENDOS[[#This Row],[Data Pagamento]]="","",DIVIDENDOS[[#This Row],[Data Pagamento]]),"")</f>
        <v/>
      </c>
      <c r="E447" s="105" t="n"/>
      <c r="F447" s="106" t="n"/>
    </row>
    <row r="448">
      <c r="A448" s="101">
        <f>YEAR(DIVIDENDOS[[#This Row],[Data Pagamento]])</f>
        <v/>
      </c>
      <c r="C448" s="103">
        <f>IFERROR(IF(DIVIDENDOS[[#This Row],[Data Pagamento]]="","",EOMONTH(B448,0)),"")</f>
        <v/>
      </c>
      <c r="D448" s="104">
        <f>IFERROR(IF(DIVIDENDOS[[#This Row],[Data Pagamento]]="","",DIVIDENDOS[[#This Row],[Data Pagamento]]),"")</f>
        <v/>
      </c>
      <c r="E448" s="105" t="n"/>
      <c r="F448" s="106" t="n"/>
    </row>
    <row r="449">
      <c r="A449" s="101">
        <f>YEAR(DIVIDENDOS[[#This Row],[Data Pagamento]])</f>
        <v/>
      </c>
      <c r="C449" s="103">
        <f>IFERROR(IF(DIVIDENDOS[[#This Row],[Data Pagamento]]="","",EOMONTH(B449,0)),"")</f>
        <v/>
      </c>
      <c r="D449" s="104">
        <f>IFERROR(IF(DIVIDENDOS[[#This Row],[Data Pagamento]]="","",DIVIDENDOS[[#This Row],[Data Pagamento]]),"")</f>
        <v/>
      </c>
      <c r="E449" s="105" t="n"/>
      <c r="F449" s="106" t="n"/>
    </row>
    <row r="450">
      <c r="A450" s="101">
        <f>YEAR(DIVIDENDOS[[#This Row],[Data Pagamento]])</f>
        <v/>
      </c>
      <c r="C450" s="103">
        <f>IFERROR(IF(DIVIDENDOS[[#This Row],[Data Pagamento]]="","",EOMONTH(B450,0)),"")</f>
        <v/>
      </c>
      <c r="D450" s="104">
        <f>IFERROR(IF(DIVIDENDOS[[#This Row],[Data Pagamento]]="","",DIVIDENDOS[[#This Row],[Data Pagamento]]),"")</f>
        <v/>
      </c>
      <c r="E450" s="105" t="n"/>
      <c r="F450" s="106" t="n"/>
    </row>
    <row r="451">
      <c r="A451" s="101">
        <f>YEAR(DIVIDENDOS[[#This Row],[Data Pagamento]])</f>
        <v/>
      </c>
      <c r="C451" s="103">
        <f>IFERROR(IF(DIVIDENDOS[[#This Row],[Data Pagamento]]="","",EOMONTH(B451,0)),"")</f>
        <v/>
      </c>
      <c r="D451" s="104">
        <f>IFERROR(IF(DIVIDENDOS[[#This Row],[Data Pagamento]]="","",DIVIDENDOS[[#This Row],[Data Pagamento]]),"")</f>
        <v/>
      </c>
      <c r="E451" s="105" t="n"/>
      <c r="F451" s="106" t="n"/>
    </row>
    <row r="452">
      <c r="A452" s="101">
        <f>YEAR(DIVIDENDOS[[#This Row],[Data Pagamento]])</f>
        <v/>
      </c>
      <c r="C452" s="103">
        <f>IFERROR(IF(DIVIDENDOS[[#This Row],[Data Pagamento]]="","",EOMONTH(B452,0)),"")</f>
        <v/>
      </c>
      <c r="D452" s="104">
        <f>IFERROR(IF(DIVIDENDOS[[#This Row],[Data Pagamento]]="","",DIVIDENDOS[[#This Row],[Data Pagamento]]),"")</f>
        <v/>
      </c>
      <c r="E452" s="105" t="n"/>
      <c r="F452" s="106" t="n"/>
    </row>
    <row r="453">
      <c r="A453" s="101">
        <f>YEAR(DIVIDENDOS[[#This Row],[Data Pagamento]])</f>
        <v/>
      </c>
      <c r="C453" s="103">
        <f>IFERROR(IF(DIVIDENDOS[[#This Row],[Data Pagamento]]="","",EOMONTH(B453,0)),"")</f>
        <v/>
      </c>
      <c r="D453" s="104">
        <f>IFERROR(IF(DIVIDENDOS[[#This Row],[Data Pagamento]]="","",DIVIDENDOS[[#This Row],[Data Pagamento]]),"")</f>
        <v/>
      </c>
      <c r="E453" s="105" t="n"/>
      <c r="F453" s="106" t="n"/>
    </row>
    <row r="454">
      <c r="A454" s="101">
        <f>YEAR(DIVIDENDOS[[#This Row],[Data Pagamento]])</f>
        <v/>
      </c>
      <c r="C454" s="103">
        <f>IFERROR(IF(DIVIDENDOS[[#This Row],[Data Pagamento]]="","",EOMONTH(B454,0)),"")</f>
        <v/>
      </c>
      <c r="D454" s="104">
        <f>IFERROR(IF(DIVIDENDOS[[#This Row],[Data Pagamento]]="","",DIVIDENDOS[[#This Row],[Data Pagamento]]),"")</f>
        <v/>
      </c>
      <c r="E454" s="105" t="n"/>
      <c r="F454" s="106" t="n"/>
    </row>
    <row r="455">
      <c r="A455" s="101">
        <f>YEAR(DIVIDENDOS[[#This Row],[Data Pagamento]])</f>
        <v/>
      </c>
      <c r="C455" s="103">
        <f>IFERROR(IF(DIVIDENDOS[[#This Row],[Data Pagamento]]="","",EOMONTH(B455,0)),"")</f>
        <v/>
      </c>
      <c r="D455" s="104">
        <f>IFERROR(IF(DIVIDENDOS[[#This Row],[Data Pagamento]]="","",DIVIDENDOS[[#This Row],[Data Pagamento]]),"")</f>
        <v/>
      </c>
      <c r="E455" s="105" t="n"/>
      <c r="F455" s="106" t="n"/>
    </row>
    <row r="456">
      <c r="A456" s="101">
        <f>YEAR(DIVIDENDOS[[#This Row],[Data Pagamento]])</f>
        <v/>
      </c>
      <c r="C456" s="103">
        <f>IFERROR(IF(DIVIDENDOS[[#This Row],[Data Pagamento]]="","",EOMONTH(B456,0)),"")</f>
        <v/>
      </c>
      <c r="D456" s="104">
        <f>IFERROR(IF(DIVIDENDOS[[#This Row],[Data Pagamento]]="","",DIVIDENDOS[[#This Row],[Data Pagamento]]),"")</f>
        <v/>
      </c>
      <c r="E456" s="105" t="n"/>
      <c r="F456" s="106" t="n"/>
    </row>
    <row r="457">
      <c r="A457" s="101">
        <f>YEAR(DIVIDENDOS[[#This Row],[Data Pagamento]])</f>
        <v/>
      </c>
      <c r="C457" s="103">
        <f>IFERROR(IF(DIVIDENDOS[[#This Row],[Data Pagamento]]="","",EOMONTH(B457,0)),"")</f>
        <v/>
      </c>
      <c r="D457" s="104">
        <f>IFERROR(IF(DIVIDENDOS[[#This Row],[Data Pagamento]]="","",DIVIDENDOS[[#This Row],[Data Pagamento]]),"")</f>
        <v/>
      </c>
      <c r="E457" s="105" t="n"/>
      <c r="F457" s="106" t="n"/>
    </row>
    <row r="458">
      <c r="A458" s="101">
        <f>YEAR(DIVIDENDOS[[#This Row],[Data Pagamento]])</f>
        <v/>
      </c>
      <c r="C458" s="103">
        <f>IFERROR(IF(DIVIDENDOS[[#This Row],[Data Pagamento]]="","",EOMONTH(B458,0)),"")</f>
        <v/>
      </c>
      <c r="D458" s="104">
        <f>IFERROR(IF(DIVIDENDOS[[#This Row],[Data Pagamento]]="","",DIVIDENDOS[[#This Row],[Data Pagamento]]),"")</f>
        <v/>
      </c>
      <c r="E458" s="105" t="n"/>
      <c r="F458" s="106" t="n"/>
    </row>
    <row r="459">
      <c r="A459" s="101">
        <f>YEAR(DIVIDENDOS[[#This Row],[Data Pagamento]])</f>
        <v/>
      </c>
      <c r="C459" s="103">
        <f>IFERROR(IF(DIVIDENDOS[[#This Row],[Data Pagamento]]="","",EOMONTH(B459,0)),"")</f>
        <v/>
      </c>
      <c r="D459" s="104">
        <f>IFERROR(IF(DIVIDENDOS[[#This Row],[Data Pagamento]]="","",DIVIDENDOS[[#This Row],[Data Pagamento]]),"")</f>
        <v/>
      </c>
      <c r="E459" s="105" t="n"/>
      <c r="F459" s="106" t="n"/>
    </row>
    <row r="460">
      <c r="A460" s="101">
        <f>YEAR(DIVIDENDOS[[#This Row],[Data Pagamento]])</f>
        <v/>
      </c>
      <c r="C460" s="103">
        <f>IFERROR(IF(DIVIDENDOS[[#This Row],[Data Pagamento]]="","",EOMONTH(B460,0)),"")</f>
        <v/>
      </c>
      <c r="D460" s="104">
        <f>IFERROR(IF(DIVIDENDOS[[#This Row],[Data Pagamento]]="","",DIVIDENDOS[[#This Row],[Data Pagamento]]),"")</f>
        <v/>
      </c>
      <c r="E460" s="105" t="n"/>
      <c r="F460" s="106" t="n"/>
    </row>
    <row r="461">
      <c r="A461" s="101">
        <f>YEAR(DIVIDENDOS[[#This Row],[Data Pagamento]])</f>
        <v/>
      </c>
      <c r="C461" s="103">
        <f>IFERROR(IF(DIVIDENDOS[[#This Row],[Data Pagamento]]="","",EOMONTH(B461,0)),"")</f>
        <v/>
      </c>
      <c r="D461" s="104">
        <f>IFERROR(IF(DIVIDENDOS[[#This Row],[Data Pagamento]]="","",DIVIDENDOS[[#This Row],[Data Pagamento]]),"")</f>
        <v/>
      </c>
      <c r="E461" s="105" t="n"/>
      <c r="F461" s="106" t="n"/>
    </row>
    <row r="462">
      <c r="A462" s="101">
        <f>YEAR(DIVIDENDOS[[#This Row],[Data Pagamento]])</f>
        <v/>
      </c>
      <c r="C462" s="103">
        <f>IFERROR(IF(DIVIDENDOS[[#This Row],[Data Pagamento]]="","",EOMONTH(B462,0)),"")</f>
        <v/>
      </c>
      <c r="D462" s="104">
        <f>IFERROR(IF(DIVIDENDOS[[#This Row],[Data Pagamento]]="","",DIVIDENDOS[[#This Row],[Data Pagamento]]),"")</f>
        <v/>
      </c>
      <c r="E462" s="105" t="n"/>
      <c r="F462" s="106" t="n"/>
    </row>
    <row r="463">
      <c r="A463" s="101">
        <f>YEAR(DIVIDENDOS[[#This Row],[Data Pagamento]])</f>
        <v/>
      </c>
      <c r="C463" s="103">
        <f>IFERROR(IF(DIVIDENDOS[[#This Row],[Data Pagamento]]="","",EOMONTH(B463,0)),"")</f>
        <v/>
      </c>
      <c r="D463" s="104">
        <f>IFERROR(IF(DIVIDENDOS[[#This Row],[Data Pagamento]]="","",DIVIDENDOS[[#This Row],[Data Pagamento]]),"")</f>
        <v/>
      </c>
      <c r="E463" s="105" t="n"/>
      <c r="F463" s="106" t="n"/>
    </row>
    <row r="464">
      <c r="A464" s="101">
        <f>YEAR(DIVIDENDOS[[#This Row],[Data Pagamento]])</f>
        <v/>
      </c>
      <c r="C464" s="103">
        <f>IFERROR(IF(DIVIDENDOS[[#This Row],[Data Pagamento]]="","",EOMONTH(B464,0)),"")</f>
        <v/>
      </c>
      <c r="D464" s="104">
        <f>IFERROR(IF(DIVIDENDOS[[#This Row],[Data Pagamento]]="","",DIVIDENDOS[[#This Row],[Data Pagamento]]),"")</f>
        <v/>
      </c>
      <c r="E464" s="105" t="n"/>
      <c r="F464" s="106" t="n"/>
    </row>
    <row r="465">
      <c r="A465" s="101">
        <f>YEAR(DIVIDENDOS[[#This Row],[Data Pagamento]])</f>
        <v/>
      </c>
      <c r="C465" s="103">
        <f>IFERROR(IF(DIVIDENDOS[[#This Row],[Data Pagamento]]="","",EOMONTH(B465,0)),"")</f>
        <v/>
      </c>
      <c r="D465" s="104">
        <f>IFERROR(IF(DIVIDENDOS[[#This Row],[Data Pagamento]]="","",DIVIDENDOS[[#This Row],[Data Pagamento]]),"")</f>
        <v/>
      </c>
      <c r="E465" s="105" t="n"/>
      <c r="F465" s="106" t="n"/>
    </row>
    <row r="466">
      <c r="A466" s="101">
        <f>YEAR(DIVIDENDOS[[#This Row],[Data Pagamento]])</f>
        <v/>
      </c>
      <c r="C466" s="103">
        <f>IFERROR(IF(DIVIDENDOS[[#This Row],[Data Pagamento]]="","",EOMONTH(B466,0)),"")</f>
        <v/>
      </c>
      <c r="D466" s="104">
        <f>IFERROR(IF(DIVIDENDOS[[#This Row],[Data Pagamento]]="","",DIVIDENDOS[[#This Row],[Data Pagamento]]),"")</f>
        <v/>
      </c>
      <c r="E466" s="105" t="n"/>
      <c r="F466" s="106" t="n"/>
    </row>
    <row r="467">
      <c r="A467" s="101">
        <f>YEAR(DIVIDENDOS[[#This Row],[Data Pagamento]])</f>
        <v/>
      </c>
      <c r="C467" s="103">
        <f>IFERROR(IF(DIVIDENDOS[[#This Row],[Data Pagamento]]="","",EOMONTH(B467,0)),"")</f>
        <v/>
      </c>
      <c r="D467" s="104">
        <f>IFERROR(IF(DIVIDENDOS[[#This Row],[Data Pagamento]]="","",DIVIDENDOS[[#This Row],[Data Pagamento]]),"")</f>
        <v/>
      </c>
      <c r="E467" s="105" t="n"/>
      <c r="F467" s="106" t="n"/>
    </row>
    <row r="468">
      <c r="A468" s="101">
        <f>YEAR(DIVIDENDOS[[#This Row],[Data Pagamento]])</f>
        <v/>
      </c>
      <c r="C468" s="103">
        <f>IFERROR(IF(DIVIDENDOS[[#This Row],[Data Pagamento]]="","",EOMONTH(B468,0)),"")</f>
        <v/>
      </c>
      <c r="D468" s="104">
        <f>IFERROR(IF(DIVIDENDOS[[#This Row],[Data Pagamento]]="","",DIVIDENDOS[[#This Row],[Data Pagamento]]),"")</f>
        <v/>
      </c>
      <c r="E468" s="105" t="n"/>
      <c r="F468" s="106" t="n"/>
    </row>
    <row r="469">
      <c r="A469" s="101">
        <f>YEAR(DIVIDENDOS[[#This Row],[Data Pagamento]])</f>
        <v/>
      </c>
      <c r="C469" s="103">
        <f>IFERROR(IF(DIVIDENDOS[[#This Row],[Data Pagamento]]="","",EOMONTH(B469,0)),"")</f>
        <v/>
      </c>
      <c r="D469" s="104">
        <f>IFERROR(IF(DIVIDENDOS[[#This Row],[Data Pagamento]]="","",DIVIDENDOS[[#This Row],[Data Pagamento]]),"")</f>
        <v/>
      </c>
      <c r="E469" s="105" t="n"/>
      <c r="F469" s="106" t="n"/>
    </row>
    <row r="470">
      <c r="A470" s="101">
        <f>YEAR(DIVIDENDOS[[#This Row],[Data Pagamento]])</f>
        <v/>
      </c>
      <c r="C470" s="103">
        <f>IFERROR(IF(DIVIDENDOS[[#This Row],[Data Pagamento]]="","",EOMONTH(B470,0)),"")</f>
        <v/>
      </c>
      <c r="D470" s="104">
        <f>IFERROR(IF(DIVIDENDOS[[#This Row],[Data Pagamento]]="","",DIVIDENDOS[[#This Row],[Data Pagamento]]),"")</f>
        <v/>
      </c>
      <c r="E470" s="105" t="n"/>
      <c r="F470" s="106" t="n"/>
    </row>
    <row r="471">
      <c r="A471" s="101">
        <f>YEAR(DIVIDENDOS[[#This Row],[Data Pagamento]])</f>
        <v/>
      </c>
      <c r="C471" s="103">
        <f>IFERROR(IF(DIVIDENDOS[[#This Row],[Data Pagamento]]="","",EOMONTH(B471,0)),"")</f>
        <v/>
      </c>
      <c r="D471" s="104">
        <f>IFERROR(IF(DIVIDENDOS[[#This Row],[Data Pagamento]]="","",DIVIDENDOS[[#This Row],[Data Pagamento]]),"")</f>
        <v/>
      </c>
      <c r="E471" s="105" t="n"/>
      <c r="F471" s="106" t="n"/>
    </row>
    <row r="472">
      <c r="A472" s="101">
        <f>YEAR(DIVIDENDOS[[#This Row],[Data Pagamento]])</f>
        <v/>
      </c>
      <c r="C472" s="103">
        <f>IFERROR(IF(DIVIDENDOS[[#This Row],[Data Pagamento]]="","",EOMONTH(B472,0)),"")</f>
        <v/>
      </c>
      <c r="D472" s="104">
        <f>IFERROR(IF(DIVIDENDOS[[#This Row],[Data Pagamento]]="","",DIVIDENDOS[[#This Row],[Data Pagamento]]),"")</f>
        <v/>
      </c>
      <c r="E472" s="105" t="n"/>
      <c r="F472" s="106" t="n"/>
    </row>
    <row r="473">
      <c r="A473" s="101">
        <f>YEAR(DIVIDENDOS[[#This Row],[Data Pagamento]])</f>
        <v/>
      </c>
      <c r="C473" s="103">
        <f>IFERROR(IF(DIVIDENDOS[[#This Row],[Data Pagamento]]="","",EOMONTH(B473,0)),"")</f>
        <v/>
      </c>
      <c r="D473" s="104">
        <f>IFERROR(IF(DIVIDENDOS[[#This Row],[Data Pagamento]]="","",DIVIDENDOS[[#This Row],[Data Pagamento]]),"")</f>
        <v/>
      </c>
      <c r="E473" s="105" t="n"/>
      <c r="F473" s="106" t="n"/>
    </row>
    <row r="474">
      <c r="A474" s="101">
        <f>YEAR(DIVIDENDOS[[#This Row],[Data Pagamento]])</f>
        <v/>
      </c>
      <c r="C474" s="103">
        <f>IFERROR(IF(DIVIDENDOS[[#This Row],[Data Pagamento]]="","",EOMONTH(B474,0)),"")</f>
        <v/>
      </c>
      <c r="D474" s="104">
        <f>IFERROR(IF(DIVIDENDOS[[#This Row],[Data Pagamento]]="","",DIVIDENDOS[[#This Row],[Data Pagamento]]),"")</f>
        <v/>
      </c>
      <c r="E474" s="105" t="n"/>
      <c r="F474" s="106" t="n"/>
    </row>
    <row r="475">
      <c r="A475" s="101">
        <f>YEAR(DIVIDENDOS[[#This Row],[Data Pagamento]])</f>
        <v/>
      </c>
      <c r="C475" s="103">
        <f>IFERROR(IF(DIVIDENDOS[[#This Row],[Data Pagamento]]="","",EOMONTH(B475,0)),"")</f>
        <v/>
      </c>
      <c r="D475" s="104">
        <f>IFERROR(IF(DIVIDENDOS[[#This Row],[Data Pagamento]]="","",DIVIDENDOS[[#This Row],[Data Pagamento]]),"")</f>
        <v/>
      </c>
      <c r="E475" s="105" t="n"/>
      <c r="F475" s="106" t="n"/>
    </row>
    <row r="476">
      <c r="A476" s="101">
        <f>YEAR(DIVIDENDOS[[#This Row],[Data Pagamento]])</f>
        <v/>
      </c>
      <c r="C476" s="103">
        <f>IFERROR(IF(DIVIDENDOS[[#This Row],[Data Pagamento]]="","",EOMONTH(B476,0)),"")</f>
        <v/>
      </c>
      <c r="D476" s="104">
        <f>IFERROR(IF(DIVIDENDOS[[#This Row],[Data Pagamento]]="","",DIVIDENDOS[[#This Row],[Data Pagamento]]),"")</f>
        <v/>
      </c>
      <c r="E476" s="105" t="n"/>
      <c r="F476" s="106" t="n"/>
    </row>
    <row r="477">
      <c r="A477" s="101">
        <f>YEAR(DIVIDENDOS[[#This Row],[Data Pagamento]])</f>
        <v/>
      </c>
      <c r="C477" s="103">
        <f>IFERROR(IF(DIVIDENDOS[[#This Row],[Data Pagamento]]="","",EOMONTH(B477,0)),"")</f>
        <v/>
      </c>
      <c r="D477" s="104">
        <f>IFERROR(IF(DIVIDENDOS[[#This Row],[Data Pagamento]]="","",DIVIDENDOS[[#This Row],[Data Pagamento]]),"")</f>
        <v/>
      </c>
      <c r="E477" s="105" t="n"/>
      <c r="F477" s="106" t="n"/>
    </row>
    <row r="478">
      <c r="A478" s="101">
        <f>YEAR(DIVIDENDOS[[#This Row],[Data Pagamento]])</f>
        <v/>
      </c>
      <c r="C478" s="103">
        <f>IFERROR(IF(DIVIDENDOS[[#This Row],[Data Pagamento]]="","",EOMONTH(B478,0)),"")</f>
        <v/>
      </c>
      <c r="D478" s="104">
        <f>IFERROR(IF(DIVIDENDOS[[#This Row],[Data Pagamento]]="","",DIVIDENDOS[[#This Row],[Data Pagamento]]),"")</f>
        <v/>
      </c>
      <c r="E478" s="105" t="n"/>
      <c r="F478" s="106" t="n"/>
    </row>
    <row r="479">
      <c r="A479" s="101">
        <f>YEAR(DIVIDENDOS[[#This Row],[Data Pagamento]])</f>
        <v/>
      </c>
      <c r="C479" s="103">
        <f>IFERROR(IF(DIVIDENDOS[[#This Row],[Data Pagamento]]="","",EOMONTH(B479,0)),"")</f>
        <v/>
      </c>
      <c r="D479" s="104">
        <f>IFERROR(IF(DIVIDENDOS[[#This Row],[Data Pagamento]]="","",DIVIDENDOS[[#This Row],[Data Pagamento]]),"")</f>
        <v/>
      </c>
      <c r="E479" s="105" t="n"/>
      <c r="F479" s="106" t="n"/>
    </row>
    <row r="480">
      <c r="A480" s="101">
        <f>YEAR(DIVIDENDOS[[#This Row],[Data Pagamento]])</f>
        <v/>
      </c>
      <c r="C480" s="103">
        <f>IFERROR(IF(DIVIDENDOS[[#This Row],[Data Pagamento]]="","",EOMONTH(B480,0)),"")</f>
        <v/>
      </c>
      <c r="D480" s="104">
        <f>IFERROR(IF(DIVIDENDOS[[#This Row],[Data Pagamento]]="","",DIVIDENDOS[[#This Row],[Data Pagamento]]),"")</f>
        <v/>
      </c>
      <c r="E480" s="105" t="n"/>
      <c r="F480" s="106" t="n"/>
    </row>
    <row r="481">
      <c r="A481" s="101">
        <f>YEAR(DIVIDENDOS[[#This Row],[Data Pagamento]])</f>
        <v/>
      </c>
      <c r="C481" s="103">
        <f>IFERROR(IF(DIVIDENDOS[[#This Row],[Data Pagamento]]="","",EOMONTH(B481,0)),"")</f>
        <v/>
      </c>
      <c r="D481" s="104">
        <f>IFERROR(IF(DIVIDENDOS[[#This Row],[Data Pagamento]]="","",DIVIDENDOS[[#This Row],[Data Pagamento]]),"")</f>
        <v/>
      </c>
      <c r="E481" s="105" t="n"/>
      <c r="F481" s="106" t="n"/>
    </row>
    <row r="482">
      <c r="A482" s="101">
        <f>YEAR(DIVIDENDOS[[#This Row],[Data Pagamento]])</f>
        <v/>
      </c>
      <c r="C482" s="103">
        <f>IFERROR(IF(DIVIDENDOS[[#This Row],[Data Pagamento]]="","",EOMONTH(B482,0)),"")</f>
        <v/>
      </c>
      <c r="D482" s="104">
        <f>IFERROR(IF(DIVIDENDOS[[#This Row],[Data Pagamento]]="","",DIVIDENDOS[[#This Row],[Data Pagamento]]),"")</f>
        <v/>
      </c>
      <c r="E482" s="105" t="n"/>
      <c r="F482" s="106" t="n"/>
    </row>
    <row r="483">
      <c r="A483" s="101">
        <f>YEAR(DIVIDENDOS[[#This Row],[Data Pagamento]])</f>
        <v/>
      </c>
      <c r="C483" s="103">
        <f>IFERROR(IF(DIVIDENDOS[[#This Row],[Data Pagamento]]="","",EOMONTH(B483,0)),"")</f>
        <v/>
      </c>
      <c r="D483" s="104">
        <f>IFERROR(IF(DIVIDENDOS[[#This Row],[Data Pagamento]]="","",DIVIDENDOS[[#This Row],[Data Pagamento]]),"")</f>
        <v/>
      </c>
      <c r="E483" s="105" t="n"/>
      <c r="F483" s="106" t="n"/>
    </row>
    <row r="484">
      <c r="A484" s="101">
        <f>YEAR(DIVIDENDOS[[#This Row],[Data Pagamento]])</f>
        <v/>
      </c>
      <c r="C484" s="103">
        <f>IFERROR(IF(DIVIDENDOS[[#This Row],[Data Pagamento]]="","",EOMONTH(B484,0)),"")</f>
        <v/>
      </c>
      <c r="D484" s="104">
        <f>IFERROR(IF(DIVIDENDOS[[#This Row],[Data Pagamento]]="","",DIVIDENDOS[[#This Row],[Data Pagamento]]),"")</f>
        <v/>
      </c>
      <c r="E484" s="105" t="n"/>
      <c r="F484" s="106" t="n"/>
    </row>
    <row r="485">
      <c r="A485" s="101">
        <f>YEAR(DIVIDENDOS[[#This Row],[Data Pagamento]])</f>
        <v/>
      </c>
      <c r="C485" s="103">
        <f>IFERROR(IF(DIVIDENDOS[[#This Row],[Data Pagamento]]="","",EOMONTH(B485,0)),"")</f>
        <v/>
      </c>
      <c r="D485" s="104">
        <f>IFERROR(IF(DIVIDENDOS[[#This Row],[Data Pagamento]]="","",DIVIDENDOS[[#This Row],[Data Pagamento]]),"")</f>
        <v/>
      </c>
      <c r="E485" s="105" t="n"/>
      <c r="F485" s="106" t="n"/>
    </row>
    <row r="486">
      <c r="A486" s="101">
        <f>YEAR(DIVIDENDOS[[#This Row],[Data Pagamento]])</f>
        <v/>
      </c>
      <c r="C486" s="103">
        <f>IFERROR(IF(DIVIDENDOS[[#This Row],[Data Pagamento]]="","",EOMONTH(B486,0)),"")</f>
        <v/>
      </c>
      <c r="D486" s="104">
        <f>IFERROR(IF(DIVIDENDOS[[#This Row],[Data Pagamento]]="","",DIVIDENDOS[[#This Row],[Data Pagamento]]),"")</f>
        <v/>
      </c>
      <c r="E486" s="105" t="n"/>
      <c r="F486" s="106" t="n"/>
    </row>
    <row r="487">
      <c r="A487" s="101">
        <f>YEAR(DIVIDENDOS[[#This Row],[Data Pagamento]])</f>
        <v/>
      </c>
      <c r="C487" s="103">
        <f>IFERROR(IF(DIVIDENDOS[[#This Row],[Data Pagamento]]="","",EOMONTH(B487,0)),"")</f>
        <v/>
      </c>
      <c r="D487" s="104">
        <f>IFERROR(IF(DIVIDENDOS[[#This Row],[Data Pagamento]]="","",DIVIDENDOS[[#This Row],[Data Pagamento]]),"")</f>
        <v/>
      </c>
      <c r="E487" s="105" t="n"/>
      <c r="F487" s="106" t="n"/>
    </row>
    <row r="488">
      <c r="A488" s="101">
        <f>YEAR(DIVIDENDOS[[#This Row],[Data Pagamento]])</f>
        <v/>
      </c>
      <c r="C488" s="103">
        <f>IFERROR(IF(DIVIDENDOS[[#This Row],[Data Pagamento]]="","",EOMONTH(B488,0)),"")</f>
        <v/>
      </c>
      <c r="D488" s="104">
        <f>IFERROR(IF(DIVIDENDOS[[#This Row],[Data Pagamento]]="","",DIVIDENDOS[[#This Row],[Data Pagamento]]),"")</f>
        <v/>
      </c>
      <c r="E488" s="105" t="n"/>
      <c r="F488" s="106" t="n"/>
    </row>
    <row r="489">
      <c r="A489" s="101">
        <f>YEAR(DIVIDENDOS[[#This Row],[Data Pagamento]])</f>
        <v/>
      </c>
      <c r="C489" s="103">
        <f>IFERROR(IF(DIVIDENDOS[[#This Row],[Data Pagamento]]="","",EOMONTH(B489,0)),"")</f>
        <v/>
      </c>
      <c r="D489" s="104">
        <f>IFERROR(IF(DIVIDENDOS[[#This Row],[Data Pagamento]]="","",DIVIDENDOS[[#This Row],[Data Pagamento]]),"")</f>
        <v/>
      </c>
      <c r="E489" s="105" t="n"/>
      <c r="F489" s="106" t="n"/>
    </row>
    <row r="490">
      <c r="A490" s="101">
        <f>YEAR(DIVIDENDOS[[#This Row],[Data Pagamento]])</f>
        <v/>
      </c>
      <c r="C490" s="103">
        <f>IFERROR(IF(DIVIDENDOS[[#This Row],[Data Pagamento]]="","",EOMONTH(B490,0)),"")</f>
        <v/>
      </c>
      <c r="D490" s="104">
        <f>IFERROR(IF(DIVIDENDOS[[#This Row],[Data Pagamento]]="","",DIVIDENDOS[[#This Row],[Data Pagamento]]),"")</f>
        <v/>
      </c>
      <c r="E490" s="105" t="n"/>
      <c r="F490" s="106" t="n"/>
    </row>
    <row r="491">
      <c r="A491" s="101">
        <f>YEAR(DIVIDENDOS[[#This Row],[Data Pagamento]])</f>
        <v/>
      </c>
      <c r="C491" s="103">
        <f>IFERROR(IF(DIVIDENDOS[[#This Row],[Data Pagamento]]="","",EOMONTH(B491,0)),"")</f>
        <v/>
      </c>
      <c r="D491" s="104">
        <f>IFERROR(IF(DIVIDENDOS[[#This Row],[Data Pagamento]]="","",DIVIDENDOS[[#This Row],[Data Pagamento]]),"")</f>
        <v/>
      </c>
      <c r="E491" s="105" t="n"/>
      <c r="F491" s="106" t="n"/>
    </row>
    <row r="492">
      <c r="A492" s="101">
        <f>YEAR(DIVIDENDOS[[#This Row],[Data Pagamento]])</f>
        <v/>
      </c>
      <c r="C492" s="103">
        <f>IFERROR(IF(DIVIDENDOS[[#This Row],[Data Pagamento]]="","",EOMONTH(B492,0)),"")</f>
        <v/>
      </c>
      <c r="D492" s="104">
        <f>IFERROR(IF(DIVIDENDOS[[#This Row],[Data Pagamento]]="","",DIVIDENDOS[[#This Row],[Data Pagamento]]),"")</f>
        <v/>
      </c>
      <c r="E492" s="105" t="n"/>
      <c r="F492" s="106" t="n"/>
    </row>
    <row r="493">
      <c r="A493" s="101">
        <f>YEAR(DIVIDENDOS[[#This Row],[Data Pagamento]])</f>
        <v/>
      </c>
      <c r="C493" s="103">
        <f>IFERROR(IF(DIVIDENDOS[[#This Row],[Data Pagamento]]="","",EOMONTH(B493,0)),"")</f>
        <v/>
      </c>
      <c r="D493" s="104">
        <f>IFERROR(IF(DIVIDENDOS[[#This Row],[Data Pagamento]]="","",DIVIDENDOS[[#This Row],[Data Pagamento]]),"")</f>
        <v/>
      </c>
      <c r="E493" s="105" t="n"/>
      <c r="F493" s="106" t="n"/>
    </row>
    <row r="494">
      <c r="A494" s="101">
        <f>YEAR(DIVIDENDOS[[#This Row],[Data Pagamento]])</f>
        <v/>
      </c>
      <c r="C494" s="103">
        <f>IFERROR(IF(DIVIDENDOS[[#This Row],[Data Pagamento]]="","",EOMONTH(B494,0)),"")</f>
        <v/>
      </c>
      <c r="D494" s="104">
        <f>IFERROR(IF(DIVIDENDOS[[#This Row],[Data Pagamento]]="","",DIVIDENDOS[[#This Row],[Data Pagamento]]),"")</f>
        <v/>
      </c>
      <c r="E494" s="105" t="n"/>
      <c r="F494" s="106" t="n"/>
    </row>
    <row r="495">
      <c r="A495" s="101">
        <f>YEAR(DIVIDENDOS[[#This Row],[Data Pagamento]])</f>
        <v/>
      </c>
      <c r="C495" s="103">
        <f>IFERROR(IF(DIVIDENDOS[[#This Row],[Data Pagamento]]="","",EOMONTH(B495,0)),"")</f>
        <v/>
      </c>
      <c r="D495" s="104">
        <f>IFERROR(IF(DIVIDENDOS[[#This Row],[Data Pagamento]]="","",DIVIDENDOS[[#This Row],[Data Pagamento]]),"")</f>
        <v/>
      </c>
      <c r="E495" s="105" t="n"/>
      <c r="F495" s="106" t="n"/>
    </row>
    <row r="496">
      <c r="A496" s="101">
        <f>YEAR(DIVIDENDOS[[#This Row],[Data Pagamento]])</f>
        <v/>
      </c>
      <c r="C496" s="103">
        <f>IFERROR(IF(DIVIDENDOS[[#This Row],[Data Pagamento]]="","",EOMONTH(B496,0)),"")</f>
        <v/>
      </c>
      <c r="D496" s="104">
        <f>IFERROR(IF(DIVIDENDOS[[#This Row],[Data Pagamento]]="","",DIVIDENDOS[[#This Row],[Data Pagamento]]),"")</f>
        <v/>
      </c>
      <c r="E496" s="105" t="n"/>
      <c r="F496" s="106" t="n"/>
    </row>
    <row r="497">
      <c r="A497" s="101">
        <f>YEAR(DIVIDENDOS[[#This Row],[Data Pagamento]])</f>
        <v/>
      </c>
      <c r="C497" s="103">
        <f>IFERROR(IF(DIVIDENDOS[[#This Row],[Data Pagamento]]="","",EOMONTH(B497,0)),"")</f>
        <v/>
      </c>
      <c r="D497" s="104">
        <f>IFERROR(IF(DIVIDENDOS[[#This Row],[Data Pagamento]]="","",DIVIDENDOS[[#This Row],[Data Pagamento]]),"")</f>
        <v/>
      </c>
      <c r="E497" s="105" t="n"/>
      <c r="F497" s="106" t="n"/>
    </row>
    <row r="498">
      <c r="A498" s="101">
        <f>YEAR(DIVIDENDOS[[#This Row],[Data Pagamento]])</f>
        <v/>
      </c>
      <c r="C498" s="103">
        <f>IFERROR(IF(DIVIDENDOS[[#This Row],[Data Pagamento]]="","",EOMONTH(B498,0)),"")</f>
        <v/>
      </c>
      <c r="D498" s="104">
        <f>IFERROR(IF(DIVIDENDOS[[#This Row],[Data Pagamento]]="","",DIVIDENDOS[[#This Row],[Data Pagamento]]),"")</f>
        <v/>
      </c>
      <c r="E498" s="105" t="n"/>
      <c r="F498" s="106" t="n"/>
    </row>
    <row r="499">
      <c r="A499" s="101">
        <f>YEAR(DIVIDENDOS[[#This Row],[Data Pagamento]])</f>
        <v/>
      </c>
      <c r="C499" s="103">
        <f>IFERROR(IF(DIVIDENDOS[[#This Row],[Data Pagamento]]="","",EOMONTH(B499,0)),"")</f>
        <v/>
      </c>
      <c r="D499" s="104">
        <f>IFERROR(IF(DIVIDENDOS[[#This Row],[Data Pagamento]]="","",DIVIDENDOS[[#This Row],[Data Pagamento]]),"")</f>
        <v/>
      </c>
      <c r="E499" s="105" t="n"/>
      <c r="F499" s="106" t="n"/>
    </row>
    <row r="500">
      <c r="A500" s="101">
        <f>YEAR(DIVIDENDOS[[#This Row],[Data Pagamento]])</f>
        <v/>
      </c>
      <c r="C500" s="103">
        <f>IFERROR(IF(DIVIDENDOS[[#This Row],[Data Pagamento]]="","",EOMONTH(B500,0)),"")</f>
        <v/>
      </c>
      <c r="D500" s="104">
        <f>IFERROR(IF(DIVIDENDOS[[#This Row],[Data Pagamento]]="","",DIVIDENDOS[[#This Row],[Data Pagamento]]),"")</f>
        <v/>
      </c>
      <c r="E500" s="105" t="n"/>
      <c r="F500" s="106" t="n"/>
    </row>
    <row r="501">
      <c r="A501" s="101">
        <f>YEAR(DIVIDENDOS[[#This Row],[Data Pagamento]])</f>
        <v/>
      </c>
      <c r="C501" s="103">
        <f>IFERROR(IF(DIVIDENDOS[[#This Row],[Data Pagamento]]="","",EOMONTH(B501,0)),"")</f>
        <v/>
      </c>
      <c r="D501" s="104">
        <f>IFERROR(IF(DIVIDENDOS[[#This Row],[Data Pagamento]]="","",DIVIDENDOS[[#This Row],[Data Pagamento]]),"")</f>
        <v/>
      </c>
      <c r="E501" s="105" t="n"/>
      <c r="F501" s="106" t="n"/>
    </row>
    <row r="502">
      <c r="A502" s="101">
        <f>YEAR(DIVIDENDOS[[#This Row],[Data Pagamento]])</f>
        <v/>
      </c>
      <c r="C502" s="103">
        <f>IFERROR(IF(DIVIDENDOS[[#This Row],[Data Pagamento]]="","",EOMONTH(B502,0)),"")</f>
        <v/>
      </c>
      <c r="D502" s="104">
        <f>IFERROR(IF(DIVIDENDOS[[#This Row],[Data Pagamento]]="","",DIVIDENDOS[[#This Row],[Data Pagamento]]),"")</f>
        <v/>
      </c>
      <c r="E502" s="105" t="n"/>
      <c r="F502" s="106" t="n"/>
    </row>
    <row r="503">
      <c r="A503" s="101">
        <f>YEAR(DIVIDENDOS[[#This Row],[Data Pagamento]])</f>
        <v/>
      </c>
      <c r="C503" s="103">
        <f>IFERROR(IF(DIVIDENDOS[[#This Row],[Data Pagamento]]="","",EOMONTH(B503,0)),"")</f>
        <v/>
      </c>
      <c r="D503" s="104">
        <f>IFERROR(IF(DIVIDENDOS[[#This Row],[Data Pagamento]]="","",DIVIDENDOS[[#This Row],[Data Pagamento]]),"")</f>
        <v/>
      </c>
      <c r="E503" s="105" t="n"/>
      <c r="F503" s="106" t="n"/>
    </row>
    <row r="504">
      <c r="A504" s="101">
        <f>YEAR(DIVIDENDOS[[#This Row],[Data Pagamento]])</f>
        <v/>
      </c>
      <c r="C504" s="103">
        <f>IFERROR(IF(DIVIDENDOS[[#This Row],[Data Pagamento]]="","",EOMONTH(B504,0)),"")</f>
        <v/>
      </c>
      <c r="D504" s="104">
        <f>IFERROR(IF(DIVIDENDOS[[#This Row],[Data Pagamento]]="","",DIVIDENDOS[[#This Row],[Data Pagamento]]),"")</f>
        <v/>
      </c>
      <c r="E504" s="105" t="n"/>
      <c r="F504" s="106" t="n"/>
    </row>
    <row r="505">
      <c r="A505" s="101">
        <f>YEAR(DIVIDENDOS[[#This Row],[Data Pagamento]])</f>
        <v/>
      </c>
      <c r="C505" s="103">
        <f>IFERROR(IF(DIVIDENDOS[[#This Row],[Data Pagamento]]="","",EOMONTH(B505,0)),"")</f>
        <v/>
      </c>
      <c r="D505" s="104">
        <f>IFERROR(IF(DIVIDENDOS[[#This Row],[Data Pagamento]]="","",DIVIDENDOS[[#This Row],[Data Pagamento]]),"")</f>
        <v/>
      </c>
      <c r="E505" s="105" t="n"/>
      <c r="F505" s="106" t="n"/>
    </row>
    <row r="506">
      <c r="A506" s="101">
        <f>YEAR(DIVIDENDOS[[#This Row],[Data Pagamento]])</f>
        <v/>
      </c>
      <c r="C506" s="103">
        <f>IFERROR(IF(DIVIDENDOS[[#This Row],[Data Pagamento]]="","",EOMONTH(B506,0)),"")</f>
        <v/>
      </c>
      <c r="D506" s="104">
        <f>IFERROR(IF(DIVIDENDOS[[#This Row],[Data Pagamento]]="","",DIVIDENDOS[[#This Row],[Data Pagamento]]),"")</f>
        <v/>
      </c>
      <c r="E506" s="105" t="n"/>
      <c r="F506" s="106" t="n"/>
    </row>
    <row r="507">
      <c r="A507" s="101">
        <f>YEAR(DIVIDENDOS[[#This Row],[Data Pagamento]])</f>
        <v/>
      </c>
      <c r="C507" s="103">
        <f>IFERROR(IF(DIVIDENDOS[[#This Row],[Data Pagamento]]="","",EOMONTH(B507,0)),"")</f>
        <v/>
      </c>
      <c r="D507" s="104">
        <f>IFERROR(IF(DIVIDENDOS[[#This Row],[Data Pagamento]]="","",DIVIDENDOS[[#This Row],[Data Pagamento]]),"")</f>
        <v/>
      </c>
      <c r="E507" s="105" t="n"/>
      <c r="F507" s="106" t="n"/>
    </row>
    <row r="508">
      <c r="A508" s="101">
        <f>YEAR(DIVIDENDOS[[#This Row],[Data Pagamento]])</f>
        <v/>
      </c>
      <c r="C508" s="103">
        <f>IFERROR(IF(DIVIDENDOS[[#This Row],[Data Pagamento]]="","",EOMONTH(B508,0)),"")</f>
        <v/>
      </c>
      <c r="D508" s="104">
        <f>IFERROR(IF(DIVIDENDOS[[#This Row],[Data Pagamento]]="","",DIVIDENDOS[[#This Row],[Data Pagamento]]),"")</f>
        <v/>
      </c>
      <c r="E508" s="105" t="n"/>
      <c r="F508" s="106" t="n"/>
    </row>
    <row r="509">
      <c r="A509" s="101">
        <f>YEAR(DIVIDENDOS[[#This Row],[Data Pagamento]])</f>
        <v/>
      </c>
      <c r="C509" s="103">
        <f>IFERROR(IF(DIVIDENDOS[[#This Row],[Data Pagamento]]="","",EOMONTH(B509,0)),"")</f>
        <v/>
      </c>
      <c r="D509" s="104">
        <f>IFERROR(IF(DIVIDENDOS[[#This Row],[Data Pagamento]]="","",DIVIDENDOS[[#This Row],[Data Pagamento]]),"")</f>
        <v/>
      </c>
      <c r="E509" s="105" t="n"/>
      <c r="F509" s="106" t="n"/>
    </row>
    <row r="510">
      <c r="A510" s="101">
        <f>YEAR(DIVIDENDOS[[#This Row],[Data Pagamento]])</f>
        <v/>
      </c>
      <c r="C510" s="103">
        <f>IFERROR(IF(DIVIDENDOS[[#This Row],[Data Pagamento]]="","",EOMONTH(B510,0)),"")</f>
        <v/>
      </c>
      <c r="D510" s="104">
        <f>IFERROR(IF(DIVIDENDOS[[#This Row],[Data Pagamento]]="","",DIVIDENDOS[[#This Row],[Data Pagamento]]),"")</f>
        <v/>
      </c>
      <c r="E510" s="105" t="n"/>
      <c r="F510" s="106" t="n"/>
    </row>
    <row r="511">
      <c r="A511" s="101">
        <f>YEAR(DIVIDENDOS[[#This Row],[Data Pagamento]])</f>
        <v/>
      </c>
      <c r="C511" s="103">
        <f>IFERROR(IF(DIVIDENDOS[[#This Row],[Data Pagamento]]="","",EOMONTH(B511,0)),"")</f>
        <v/>
      </c>
      <c r="D511" s="104">
        <f>IFERROR(IF(DIVIDENDOS[[#This Row],[Data Pagamento]]="","",DIVIDENDOS[[#This Row],[Data Pagamento]]),"")</f>
        <v/>
      </c>
      <c r="E511" s="105" t="n"/>
      <c r="F511" s="106" t="n"/>
    </row>
    <row r="512">
      <c r="A512" s="101">
        <f>YEAR(DIVIDENDOS[[#This Row],[Data Pagamento]])</f>
        <v/>
      </c>
      <c r="C512" s="103">
        <f>IFERROR(IF(DIVIDENDOS[[#This Row],[Data Pagamento]]="","",EOMONTH(B512,0)),"")</f>
        <v/>
      </c>
      <c r="D512" s="104">
        <f>IFERROR(IF(DIVIDENDOS[[#This Row],[Data Pagamento]]="","",DIVIDENDOS[[#This Row],[Data Pagamento]]),"")</f>
        <v/>
      </c>
      <c r="E512" s="105" t="n"/>
      <c r="F512" s="106" t="n"/>
    </row>
    <row r="513">
      <c r="A513" s="101">
        <f>YEAR(DIVIDENDOS[[#This Row],[Data Pagamento]])</f>
        <v/>
      </c>
      <c r="C513" s="103">
        <f>IFERROR(IF(DIVIDENDOS[[#This Row],[Data Pagamento]]="","",EOMONTH(B513,0)),"")</f>
        <v/>
      </c>
      <c r="D513" s="104">
        <f>IFERROR(IF(DIVIDENDOS[[#This Row],[Data Pagamento]]="","",DIVIDENDOS[[#This Row],[Data Pagamento]]),"")</f>
        <v/>
      </c>
      <c r="E513" s="105" t="n"/>
      <c r="F513" s="106" t="n"/>
    </row>
    <row r="514">
      <c r="A514" s="101">
        <f>YEAR(DIVIDENDOS[[#This Row],[Data Pagamento]])</f>
        <v/>
      </c>
      <c r="C514" s="103">
        <f>IFERROR(IF(DIVIDENDOS[[#This Row],[Data Pagamento]]="","",EOMONTH(B514,0)),"")</f>
        <v/>
      </c>
      <c r="D514" s="104">
        <f>IFERROR(IF(DIVIDENDOS[[#This Row],[Data Pagamento]]="","",DIVIDENDOS[[#This Row],[Data Pagamento]]),"")</f>
        <v/>
      </c>
      <c r="E514" s="105" t="n"/>
      <c r="F514" s="106" t="n"/>
    </row>
    <row r="515">
      <c r="A515" s="101">
        <f>YEAR(DIVIDENDOS[[#This Row],[Data Pagamento]])</f>
        <v/>
      </c>
      <c r="C515" s="103">
        <f>IFERROR(IF(DIVIDENDOS[[#This Row],[Data Pagamento]]="","",EOMONTH(B515,0)),"")</f>
        <v/>
      </c>
      <c r="D515" s="104">
        <f>IFERROR(IF(DIVIDENDOS[[#This Row],[Data Pagamento]]="","",DIVIDENDOS[[#This Row],[Data Pagamento]]),"")</f>
        <v/>
      </c>
      <c r="E515" s="105" t="n"/>
      <c r="F515" s="106" t="n"/>
    </row>
    <row r="516">
      <c r="A516" s="101">
        <f>YEAR(DIVIDENDOS[[#This Row],[Data Pagamento]])</f>
        <v/>
      </c>
      <c r="C516" s="103">
        <f>IFERROR(IF(DIVIDENDOS[[#This Row],[Data Pagamento]]="","",EOMONTH(B516,0)),"")</f>
        <v/>
      </c>
      <c r="D516" s="104">
        <f>IFERROR(IF(DIVIDENDOS[[#This Row],[Data Pagamento]]="","",DIVIDENDOS[[#This Row],[Data Pagamento]]),"")</f>
        <v/>
      </c>
      <c r="E516" s="105" t="n"/>
      <c r="F516" s="106" t="n"/>
    </row>
    <row r="517">
      <c r="A517" s="101">
        <f>YEAR(DIVIDENDOS[[#This Row],[Data Pagamento]])</f>
        <v/>
      </c>
      <c r="C517" s="103">
        <f>IFERROR(IF(DIVIDENDOS[[#This Row],[Data Pagamento]]="","",EOMONTH(B517,0)),"")</f>
        <v/>
      </c>
      <c r="D517" s="104">
        <f>IFERROR(IF(DIVIDENDOS[[#This Row],[Data Pagamento]]="","",DIVIDENDOS[[#This Row],[Data Pagamento]]),"")</f>
        <v/>
      </c>
      <c r="E517" s="105" t="n"/>
      <c r="F517" s="106" t="n"/>
    </row>
    <row r="518">
      <c r="A518" s="101">
        <f>YEAR(DIVIDENDOS[[#This Row],[Data Pagamento]])</f>
        <v/>
      </c>
      <c r="C518" s="103">
        <f>IFERROR(IF(DIVIDENDOS[[#This Row],[Data Pagamento]]="","",EOMONTH(B518,0)),"")</f>
        <v/>
      </c>
      <c r="D518" s="104">
        <f>IFERROR(IF(DIVIDENDOS[[#This Row],[Data Pagamento]]="","",DIVIDENDOS[[#This Row],[Data Pagamento]]),"")</f>
        <v/>
      </c>
      <c r="E518" s="105" t="n"/>
      <c r="F518" s="106" t="n"/>
    </row>
    <row r="519">
      <c r="A519" s="101">
        <f>YEAR(DIVIDENDOS[[#This Row],[Data Pagamento]])</f>
        <v/>
      </c>
      <c r="C519" s="103">
        <f>IFERROR(IF(DIVIDENDOS[[#This Row],[Data Pagamento]]="","",EOMONTH(B519,0)),"")</f>
        <v/>
      </c>
      <c r="D519" s="104">
        <f>IFERROR(IF(DIVIDENDOS[[#This Row],[Data Pagamento]]="","",DIVIDENDOS[[#This Row],[Data Pagamento]]),"")</f>
        <v/>
      </c>
      <c r="E519" s="105" t="n"/>
      <c r="F519" s="106" t="n"/>
    </row>
    <row r="520">
      <c r="A520" s="101">
        <f>YEAR(DIVIDENDOS[[#This Row],[Data Pagamento]])</f>
        <v/>
      </c>
      <c r="C520" s="103">
        <f>IFERROR(IF(DIVIDENDOS[[#This Row],[Data Pagamento]]="","",EOMONTH(B520,0)),"")</f>
        <v/>
      </c>
      <c r="D520" s="104">
        <f>IFERROR(IF(DIVIDENDOS[[#This Row],[Data Pagamento]]="","",DIVIDENDOS[[#This Row],[Data Pagamento]]),"")</f>
        <v/>
      </c>
      <c r="E520" s="105" t="n"/>
      <c r="F520" s="106" t="n"/>
    </row>
    <row r="521">
      <c r="A521" s="101">
        <f>YEAR(DIVIDENDOS[[#This Row],[Data Pagamento]])</f>
        <v/>
      </c>
      <c r="C521" s="103">
        <f>IFERROR(IF(DIVIDENDOS[[#This Row],[Data Pagamento]]="","",EOMONTH(B521,0)),"")</f>
        <v/>
      </c>
      <c r="D521" s="104">
        <f>IFERROR(IF(DIVIDENDOS[[#This Row],[Data Pagamento]]="","",DIVIDENDOS[[#This Row],[Data Pagamento]]),"")</f>
        <v/>
      </c>
      <c r="E521" s="105" t="n"/>
      <c r="F521" s="106" t="n"/>
    </row>
    <row r="522">
      <c r="A522" s="101">
        <f>YEAR(DIVIDENDOS[[#This Row],[Data Pagamento]])</f>
        <v/>
      </c>
      <c r="C522" s="103">
        <f>IFERROR(IF(DIVIDENDOS[[#This Row],[Data Pagamento]]="","",EOMONTH(B522,0)),"")</f>
        <v/>
      </c>
      <c r="D522" s="104">
        <f>IFERROR(IF(DIVIDENDOS[[#This Row],[Data Pagamento]]="","",DIVIDENDOS[[#This Row],[Data Pagamento]]),"")</f>
        <v/>
      </c>
      <c r="E522" s="105" t="n"/>
      <c r="F522" s="106" t="n"/>
    </row>
    <row r="523">
      <c r="A523" s="101">
        <f>YEAR(DIVIDENDOS[[#This Row],[Data Pagamento]])</f>
        <v/>
      </c>
      <c r="C523" s="103">
        <f>IFERROR(IF(DIVIDENDOS[[#This Row],[Data Pagamento]]="","",EOMONTH(B523,0)),"")</f>
        <v/>
      </c>
      <c r="D523" s="104">
        <f>IFERROR(IF(DIVIDENDOS[[#This Row],[Data Pagamento]]="","",DIVIDENDOS[[#This Row],[Data Pagamento]]),"")</f>
        <v/>
      </c>
      <c r="E523" s="105" t="n"/>
      <c r="F523" s="106" t="n"/>
    </row>
    <row r="524">
      <c r="A524" s="101">
        <f>YEAR(DIVIDENDOS[[#This Row],[Data Pagamento]])</f>
        <v/>
      </c>
      <c r="C524" s="103">
        <f>IFERROR(IF(DIVIDENDOS[[#This Row],[Data Pagamento]]="","",EOMONTH(B524,0)),"")</f>
        <v/>
      </c>
      <c r="D524" s="104">
        <f>IFERROR(IF(DIVIDENDOS[[#This Row],[Data Pagamento]]="","",DIVIDENDOS[[#This Row],[Data Pagamento]]),"")</f>
        <v/>
      </c>
      <c r="E524" s="105" t="n"/>
      <c r="F524" s="106" t="n"/>
    </row>
    <row r="525">
      <c r="A525" s="101">
        <f>YEAR(DIVIDENDOS[[#This Row],[Data Pagamento]])</f>
        <v/>
      </c>
      <c r="C525" s="103">
        <f>IFERROR(IF(DIVIDENDOS[[#This Row],[Data Pagamento]]="","",EOMONTH(B525,0)),"")</f>
        <v/>
      </c>
      <c r="D525" s="104">
        <f>IFERROR(IF(DIVIDENDOS[[#This Row],[Data Pagamento]]="","",DIVIDENDOS[[#This Row],[Data Pagamento]]),"")</f>
        <v/>
      </c>
      <c r="E525" s="105" t="n"/>
      <c r="F525" s="106" t="n"/>
    </row>
    <row r="526">
      <c r="A526" s="101">
        <f>YEAR(DIVIDENDOS[[#This Row],[Data Pagamento]])</f>
        <v/>
      </c>
      <c r="C526" s="103">
        <f>IFERROR(IF(DIVIDENDOS[[#This Row],[Data Pagamento]]="","",EOMONTH(B526,0)),"")</f>
        <v/>
      </c>
      <c r="D526" s="104">
        <f>IFERROR(IF(DIVIDENDOS[[#This Row],[Data Pagamento]]="","",DIVIDENDOS[[#This Row],[Data Pagamento]]),"")</f>
        <v/>
      </c>
      <c r="E526" s="105" t="n"/>
      <c r="F526" s="106" t="n"/>
    </row>
    <row r="527">
      <c r="A527" s="101">
        <f>YEAR(DIVIDENDOS[[#This Row],[Data Pagamento]])</f>
        <v/>
      </c>
      <c r="C527" s="103">
        <f>IFERROR(IF(DIVIDENDOS[[#This Row],[Data Pagamento]]="","",EOMONTH(B527,0)),"")</f>
        <v/>
      </c>
      <c r="D527" s="104">
        <f>IFERROR(IF(DIVIDENDOS[[#This Row],[Data Pagamento]]="","",DIVIDENDOS[[#This Row],[Data Pagamento]]),"")</f>
        <v/>
      </c>
      <c r="E527" s="105" t="n"/>
      <c r="F527" s="106" t="n"/>
    </row>
    <row r="528">
      <c r="A528" s="101">
        <f>YEAR(DIVIDENDOS[[#This Row],[Data Pagamento]])</f>
        <v/>
      </c>
      <c r="C528" s="103">
        <f>IFERROR(IF(DIVIDENDOS[[#This Row],[Data Pagamento]]="","",EOMONTH(B528,0)),"")</f>
        <v/>
      </c>
      <c r="D528" s="104">
        <f>IFERROR(IF(DIVIDENDOS[[#This Row],[Data Pagamento]]="","",DIVIDENDOS[[#This Row],[Data Pagamento]]),"")</f>
        <v/>
      </c>
      <c r="E528" s="105" t="n"/>
      <c r="F528" s="106" t="n"/>
    </row>
    <row r="529">
      <c r="A529" s="101">
        <f>YEAR(DIVIDENDOS[[#This Row],[Data Pagamento]])</f>
        <v/>
      </c>
      <c r="C529" s="103">
        <f>IFERROR(IF(DIVIDENDOS[[#This Row],[Data Pagamento]]="","",EOMONTH(B529,0)),"")</f>
        <v/>
      </c>
      <c r="D529" s="104">
        <f>IFERROR(IF(DIVIDENDOS[[#This Row],[Data Pagamento]]="","",DIVIDENDOS[[#This Row],[Data Pagamento]]),"")</f>
        <v/>
      </c>
      <c r="E529" s="105" t="n"/>
      <c r="F529" s="106" t="n"/>
    </row>
    <row r="530">
      <c r="A530" s="101">
        <f>YEAR(DIVIDENDOS[[#This Row],[Data Pagamento]])</f>
        <v/>
      </c>
      <c r="C530" s="103">
        <f>IFERROR(IF(DIVIDENDOS[[#This Row],[Data Pagamento]]="","",EOMONTH(B530,0)),"")</f>
        <v/>
      </c>
      <c r="D530" s="104">
        <f>IFERROR(IF(DIVIDENDOS[[#This Row],[Data Pagamento]]="","",DIVIDENDOS[[#This Row],[Data Pagamento]]),"")</f>
        <v/>
      </c>
      <c r="E530" s="105" t="n"/>
      <c r="F530" s="106" t="n"/>
    </row>
    <row r="531">
      <c r="A531" s="101">
        <f>YEAR(DIVIDENDOS[[#This Row],[Data Pagamento]])</f>
        <v/>
      </c>
      <c r="C531" s="103">
        <f>IFERROR(IF(DIVIDENDOS[[#This Row],[Data Pagamento]]="","",EOMONTH(B531,0)),"")</f>
        <v/>
      </c>
      <c r="D531" s="104">
        <f>IFERROR(IF(DIVIDENDOS[[#This Row],[Data Pagamento]]="","",DIVIDENDOS[[#This Row],[Data Pagamento]]),"")</f>
        <v/>
      </c>
      <c r="E531" s="105" t="n"/>
      <c r="F531" s="106" t="n"/>
    </row>
    <row r="532">
      <c r="A532" s="101">
        <f>YEAR(DIVIDENDOS[[#This Row],[Data Pagamento]])</f>
        <v/>
      </c>
      <c r="C532" s="103">
        <f>IFERROR(IF(DIVIDENDOS[[#This Row],[Data Pagamento]]="","",EOMONTH(B532,0)),"")</f>
        <v/>
      </c>
      <c r="D532" s="104">
        <f>IFERROR(IF(DIVIDENDOS[[#This Row],[Data Pagamento]]="","",DIVIDENDOS[[#This Row],[Data Pagamento]]),"")</f>
        <v/>
      </c>
      <c r="E532" s="105" t="n"/>
      <c r="F532" s="106" t="n"/>
    </row>
    <row r="533">
      <c r="A533" s="101">
        <f>YEAR(DIVIDENDOS[[#This Row],[Data Pagamento]])</f>
        <v/>
      </c>
      <c r="C533" s="103">
        <f>IFERROR(IF(DIVIDENDOS[[#This Row],[Data Pagamento]]="","",EOMONTH(B533,0)),"")</f>
        <v/>
      </c>
      <c r="D533" s="104">
        <f>IFERROR(IF(DIVIDENDOS[[#This Row],[Data Pagamento]]="","",DIVIDENDOS[[#This Row],[Data Pagamento]]),"")</f>
        <v/>
      </c>
      <c r="E533" s="105" t="n"/>
      <c r="F533" s="106" t="n"/>
    </row>
    <row r="534">
      <c r="A534" s="101">
        <f>YEAR(DIVIDENDOS[[#This Row],[Data Pagamento]])</f>
        <v/>
      </c>
      <c r="C534" s="103">
        <f>IFERROR(IF(DIVIDENDOS[[#This Row],[Data Pagamento]]="","",EOMONTH(B534,0)),"")</f>
        <v/>
      </c>
      <c r="D534" s="104">
        <f>IFERROR(IF(DIVIDENDOS[[#This Row],[Data Pagamento]]="","",DIVIDENDOS[[#This Row],[Data Pagamento]]),"")</f>
        <v/>
      </c>
      <c r="E534" s="105" t="n"/>
      <c r="F534" s="106" t="n"/>
    </row>
    <row r="535">
      <c r="A535" s="101">
        <f>YEAR(DIVIDENDOS[[#This Row],[Data Pagamento]])</f>
        <v/>
      </c>
      <c r="C535" s="103">
        <f>IFERROR(IF(DIVIDENDOS[[#This Row],[Data Pagamento]]="","",EOMONTH(B535,0)),"")</f>
        <v/>
      </c>
      <c r="D535" s="104">
        <f>IFERROR(IF(DIVIDENDOS[[#This Row],[Data Pagamento]]="","",DIVIDENDOS[[#This Row],[Data Pagamento]]),"")</f>
        <v/>
      </c>
      <c r="E535" s="105" t="n"/>
      <c r="F535" s="106" t="n"/>
    </row>
    <row r="536">
      <c r="A536" s="101">
        <f>YEAR(DIVIDENDOS[[#This Row],[Data Pagamento]])</f>
        <v/>
      </c>
      <c r="C536" s="103">
        <f>IFERROR(IF(DIVIDENDOS[[#This Row],[Data Pagamento]]="","",EOMONTH(B536,0)),"")</f>
        <v/>
      </c>
      <c r="D536" s="104">
        <f>IFERROR(IF(DIVIDENDOS[[#This Row],[Data Pagamento]]="","",DIVIDENDOS[[#This Row],[Data Pagamento]]),"")</f>
        <v/>
      </c>
      <c r="E536" s="105" t="n"/>
      <c r="F536" s="106" t="n"/>
    </row>
    <row r="537">
      <c r="A537" s="101">
        <f>YEAR(DIVIDENDOS[[#This Row],[Data Pagamento]])</f>
        <v/>
      </c>
      <c r="C537" s="103">
        <f>IFERROR(IF(DIVIDENDOS[[#This Row],[Data Pagamento]]="","",EOMONTH(B537,0)),"")</f>
        <v/>
      </c>
      <c r="D537" s="104">
        <f>IFERROR(IF(DIVIDENDOS[[#This Row],[Data Pagamento]]="","",DIVIDENDOS[[#This Row],[Data Pagamento]]),"")</f>
        <v/>
      </c>
      <c r="E537" s="105" t="n"/>
      <c r="F537" s="106" t="n"/>
    </row>
    <row r="538">
      <c r="A538" s="101">
        <f>YEAR(DIVIDENDOS[[#This Row],[Data Pagamento]])</f>
        <v/>
      </c>
      <c r="C538" s="103">
        <f>IFERROR(IF(DIVIDENDOS[[#This Row],[Data Pagamento]]="","",EOMONTH(B538,0)),"")</f>
        <v/>
      </c>
      <c r="D538" s="104">
        <f>IFERROR(IF(DIVIDENDOS[[#This Row],[Data Pagamento]]="","",DIVIDENDOS[[#This Row],[Data Pagamento]]),"")</f>
        <v/>
      </c>
      <c r="E538" s="105" t="n"/>
      <c r="F538" s="106" t="n"/>
    </row>
    <row r="539">
      <c r="A539" s="101">
        <f>YEAR(DIVIDENDOS[[#This Row],[Data Pagamento]])</f>
        <v/>
      </c>
      <c r="C539" s="103">
        <f>IFERROR(IF(DIVIDENDOS[[#This Row],[Data Pagamento]]="","",EOMONTH(B539,0)),"")</f>
        <v/>
      </c>
      <c r="D539" s="104">
        <f>IFERROR(IF(DIVIDENDOS[[#This Row],[Data Pagamento]]="","",DIVIDENDOS[[#This Row],[Data Pagamento]]),"")</f>
        <v/>
      </c>
      <c r="E539" s="105" t="n"/>
      <c r="F539" s="106" t="n"/>
    </row>
    <row r="540">
      <c r="A540" s="101">
        <f>YEAR(DIVIDENDOS[[#This Row],[Data Pagamento]])</f>
        <v/>
      </c>
      <c r="C540" s="103">
        <f>IFERROR(IF(DIVIDENDOS[[#This Row],[Data Pagamento]]="","",EOMONTH(B540,0)),"")</f>
        <v/>
      </c>
      <c r="D540" s="104">
        <f>IFERROR(IF(DIVIDENDOS[[#This Row],[Data Pagamento]]="","",DIVIDENDOS[[#This Row],[Data Pagamento]]),"")</f>
        <v/>
      </c>
      <c r="E540" s="105" t="n"/>
      <c r="F540" s="106" t="n"/>
    </row>
    <row r="541">
      <c r="A541" s="101">
        <f>YEAR(DIVIDENDOS[[#This Row],[Data Pagamento]])</f>
        <v/>
      </c>
      <c r="C541" s="103">
        <f>IFERROR(IF(DIVIDENDOS[[#This Row],[Data Pagamento]]="","",EOMONTH(B541,0)),"")</f>
        <v/>
      </c>
      <c r="D541" s="104">
        <f>IFERROR(IF(DIVIDENDOS[[#This Row],[Data Pagamento]]="","",DIVIDENDOS[[#This Row],[Data Pagamento]]),"")</f>
        <v/>
      </c>
      <c r="E541" s="105" t="n"/>
      <c r="F541" s="106" t="n"/>
    </row>
    <row r="542">
      <c r="A542" s="101">
        <f>YEAR(DIVIDENDOS[[#This Row],[Data Pagamento]])</f>
        <v/>
      </c>
      <c r="C542" s="103">
        <f>IFERROR(IF(DIVIDENDOS[[#This Row],[Data Pagamento]]="","",EOMONTH(B542,0)),"")</f>
        <v/>
      </c>
      <c r="D542" s="104">
        <f>IFERROR(IF(DIVIDENDOS[[#This Row],[Data Pagamento]]="","",DIVIDENDOS[[#This Row],[Data Pagamento]]),"")</f>
        <v/>
      </c>
      <c r="E542" s="105" t="n"/>
      <c r="F542" s="106" t="n"/>
    </row>
    <row r="543">
      <c r="A543" s="101">
        <f>YEAR(DIVIDENDOS[[#This Row],[Data Pagamento]])</f>
        <v/>
      </c>
      <c r="C543" s="103">
        <f>IFERROR(IF(DIVIDENDOS[[#This Row],[Data Pagamento]]="","",EOMONTH(B543,0)),"")</f>
        <v/>
      </c>
      <c r="D543" s="104">
        <f>IFERROR(IF(DIVIDENDOS[[#This Row],[Data Pagamento]]="","",DIVIDENDOS[[#This Row],[Data Pagamento]]),"")</f>
        <v/>
      </c>
      <c r="E543" s="105" t="n"/>
      <c r="F543" s="106" t="n"/>
    </row>
    <row r="544">
      <c r="A544" s="101">
        <f>YEAR(DIVIDENDOS[[#This Row],[Data Pagamento]])</f>
        <v/>
      </c>
      <c r="C544" s="103">
        <f>IFERROR(IF(DIVIDENDOS[[#This Row],[Data Pagamento]]="","",EOMONTH(B544,0)),"")</f>
        <v/>
      </c>
      <c r="D544" s="104">
        <f>IFERROR(IF(DIVIDENDOS[[#This Row],[Data Pagamento]]="","",DIVIDENDOS[[#This Row],[Data Pagamento]]),"")</f>
        <v/>
      </c>
      <c r="E544" s="105" t="n"/>
      <c r="F544" s="106" t="n"/>
    </row>
    <row r="545">
      <c r="A545" s="101">
        <f>YEAR(DIVIDENDOS[[#This Row],[Data Pagamento]])</f>
        <v/>
      </c>
      <c r="C545" s="103">
        <f>IFERROR(IF(DIVIDENDOS[[#This Row],[Data Pagamento]]="","",EOMONTH(B545,0)),"")</f>
        <v/>
      </c>
      <c r="D545" s="104">
        <f>IFERROR(IF(DIVIDENDOS[[#This Row],[Data Pagamento]]="","",DIVIDENDOS[[#This Row],[Data Pagamento]]),"")</f>
        <v/>
      </c>
      <c r="E545" s="105" t="n"/>
      <c r="F545" s="106" t="n"/>
    </row>
    <row r="546">
      <c r="A546" s="101">
        <f>YEAR(DIVIDENDOS[[#This Row],[Data Pagamento]])</f>
        <v/>
      </c>
      <c r="C546" s="103">
        <f>IFERROR(IF(DIVIDENDOS[[#This Row],[Data Pagamento]]="","",EOMONTH(B546,0)),"")</f>
        <v/>
      </c>
      <c r="D546" s="104">
        <f>IFERROR(IF(DIVIDENDOS[[#This Row],[Data Pagamento]]="","",DIVIDENDOS[[#This Row],[Data Pagamento]]),"")</f>
        <v/>
      </c>
      <c r="E546" s="105" t="n"/>
      <c r="F546" s="106" t="n"/>
    </row>
    <row r="547">
      <c r="A547" s="101">
        <f>YEAR(DIVIDENDOS[[#This Row],[Data Pagamento]])</f>
        <v/>
      </c>
      <c r="C547" s="103">
        <f>IFERROR(IF(DIVIDENDOS[[#This Row],[Data Pagamento]]="","",EOMONTH(B547,0)),"")</f>
        <v/>
      </c>
      <c r="D547" s="104">
        <f>IFERROR(IF(DIVIDENDOS[[#This Row],[Data Pagamento]]="","",DIVIDENDOS[[#This Row],[Data Pagamento]]),"")</f>
        <v/>
      </c>
      <c r="E547" s="105" t="n"/>
      <c r="F547" s="106" t="n"/>
    </row>
    <row r="548">
      <c r="A548" s="101">
        <f>YEAR(DIVIDENDOS[[#This Row],[Data Pagamento]])</f>
        <v/>
      </c>
      <c r="C548" s="103">
        <f>IFERROR(IF(DIVIDENDOS[[#This Row],[Data Pagamento]]="","",EOMONTH(B548,0)),"")</f>
        <v/>
      </c>
      <c r="D548" s="104">
        <f>IFERROR(IF(DIVIDENDOS[[#This Row],[Data Pagamento]]="","",DIVIDENDOS[[#This Row],[Data Pagamento]]),"")</f>
        <v/>
      </c>
      <c r="E548" s="105" t="n"/>
      <c r="F548" s="106" t="n"/>
    </row>
    <row r="549">
      <c r="A549" s="101">
        <f>YEAR(DIVIDENDOS[[#This Row],[Data Pagamento]])</f>
        <v/>
      </c>
      <c r="C549" s="103">
        <f>IFERROR(IF(DIVIDENDOS[[#This Row],[Data Pagamento]]="","",EOMONTH(B549,0)),"")</f>
        <v/>
      </c>
      <c r="D549" s="104">
        <f>IFERROR(IF(DIVIDENDOS[[#This Row],[Data Pagamento]]="","",DIVIDENDOS[[#This Row],[Data Pagamento]]),"")</f>
        <v/>
      </c>
      <c r="E549" s="105" t="n"/>
      <c r="F549" s="106" t="n"/>
    </row>
    <row r="550">
      <c r="A550" s="101">
        <f>YEAR(DIVIDENDOS[[#This Row],[Data Pagamento]])</f>
        <v/>
      </c>
      <c r="C550" s="103">
        <f>IFERROR(IF(DIVIDENDOS[[#This Row],[Data Pagamento]]="","",EOMONTH(B550,0)),"")</f>
        <v/>
      </c>
      <c r="D550" s="104">
        <f>IFERROR(IF(DIVIDENDOS[[#This Row],[Data Pagamento]]="","",DIVIDENDOS[[#This Row],[Data Pagamento]]),"")</f>
        <v/>
      </c>
      <c r="E550" s="105" t="n"/>
      <c r="F550" s="106" t="n"/>
    </row>
    <row r="551">
      <c r="A551" s="101">
        <f>YEAR(DIVIDENDOS[[#This Row],[Data Pagamento]])</f>
        <v/>
      </c>
      <c r="C551" s="103">
        <f>IFERROR(IF(DIVIDENDOS[[#This Row],[Data Pagamento]]="","",EOMONTH(B551,0)),"")</f>
        <v/>
      </c>
      <c r="D551" s="104">
        <f>IFERROR(IF(DIVIDENDOS[[#This Row],[Data Pagamento]]="","",DIVIDENDOS[[#This Row],[Data Pagamento]]),"")</f>
        <v/>
      </c>
      <c r="E551" s="105" t="n"/>
      <c r="F551" s="106" t="n"/>
    </row>
    <row r="552">
      <c r="A552" s="101">
        <f>YEAR(DIVIDENDOS[[#This Row],[Data Pagamento]])</f>
        <v/>
      </c>
      <c r="C552" s="103">
        <f>IFERROR(IF(DIVIDENDOS[[#This Row],[Data Pagamento]]="","",EOMONTH(B552,0)),"")</f>
        <v/>
      </c>
      <c r="D552" s="104">
        <f>IFERROR(IF(DIVIDENDOS[[#This Row],[Data Pagamento]]="","",DIVIDENDOS[[#This Row],[Data Pagamento]]),"")</f>
        <v/>
      </c>
      <c r="E552" s="105" t="n"/>
      <c r="F552" s="106" t="n"/>
    </row>
    <row r="553">
      <c r="A553" s="101">
        <f>YEAR(DIVIDENDOS[[#This Row],[Data Pagamento]])</f>
        <v/>
      </c>
      <c r="C553" s="103">
        <f>IFERROR(IF(DIVIDENDOS[[#This Row],[Data Pagamento]]="","",EOMONTH(B553,0)),"")</f>
        <v/>
      </c>
      <c r="D553" s="104">
        <f>IFERROR(IF(DIVIDENDOS[[#This Row],[Data Pagamento]]="","",DIVIDENDOS[[#This Row],[Data Pagamento]]),"")</f>
        <v/>
      </c>
      <c r="E553" s="105" t="n"/>
      <c r="F553" s="106" t="n"/>
    </row>
    <row r="554">
      <c r="A554" s="101">
        <f>YEAR(DIVIDENDOS[[#This Row],[Data Pagamento]])</f>
        <v/>
      </c>
      <c r="C554" s="103">
        <f>IFERROR(IF(DIVIDENDOS[[#This Row],[Data Pagamento]]="","",EOMONTH(B554,0)),"")</f>
        <v/>
      </c>
      <c r="D554" s="104">
        <f>IFERROR(IF(DIVIDENDOS[[#This Row],[Data Pagamento]]="","",DIVIDENDOS[[#This Row],[Data Pagamento]]),"")</f>
        <v/>
      </c>
      <c r="E554" s="105" t="n"/>
      <c r="F554" s="106" t="n"/>
    </row>
    <row r="555">
      <c r="A555" s="101">
        <f>YEAR(DIVIDENDOS[[#This Row],[Data Pagamento]])</f>
        <v/>
      </c>
      <c r="C555" s="103">
        <f>IFERROR(IF(DIVIDENDOS[[#This Row],[Data Pagamento]]="","",EOMONTH(B555,0)),"")</f>
        <v/>
      </c>
      <c r="D555" s="104">
        <f>IFERROR(IF(DIVIDENDOS[[#This Row],[Data Pagamento]]="","",DIVIDENDOS[[#This Row],[Data Pagamento]]),"")</f>
        <v/>
      </c>
      <c r="E555" s="105" t="n"/>
      <c r="F555" s="106" t="n"/>
    </row>
    <row r="556">
      <c r="A556" s="101">
        <f>YEAR(DIVIDENDOS[[#This Row],[Data Pagamento]])</f>
        <v/>
      </c>
      <c r="C556" s="103">
        <f>IFERROR(IF(DIVIDENDOS[[#This Row],[Data Pagamento]]="","",EOMONTH(B556,0)),"")</f>
        <v/>
      </c>
      <c r="D556" s="104">
        <f>IFERROR(IF(DIVIDENDOS[[#This Row],[Data Pagamento]]="","",DIVIDENDOS[[#This Row],[Data Pagamento]]),"")</f>
        <v/>
      </c>
      <c r="E556" s="105" t="n"/>
      <c r="F556" s="106" t="n"/>
    </row>
    <row r="557">
      <c r="A557" s="101">
        <f>YEAR(DIVIDENDOS[[#This Row],[Data Pagamento]])</f>
        <v/>
      </c>
      <c r="C557" s="103">
        <f>IFERROR(IF(DIVIDENDOS[[#This Row],[Data Pagamento]]="","",EOMONTH(B557,0)),"")</f>
        <v/>
      </c>
      <c r="D557" s="104">
        <f>IFERROR(IF(DIVIDENDOS[[#This Row],[Data Pagamento]]="","",DIVIDENDOS[[#This Row],[Data Pagamento]]),"")</f>
        <v/>
      </c>
      <c r="E557" s="105" t="n"/>
      <c r="F557" s="106" t="n"/>
    </row>
    <row r="558">
      <c r="A558" s="101">
        <f>YEAR(DIVIDENDOS[[#This Row],[Data Pagamento]])</f>
        <v/>
      </c>
      <c r="C558" s="103">
        <f>IFERROR(IF(DIVIDENDOS[[#This Row],[Data Pagamento]]="","",EOMONTH(B558,0)),"")</f>
        <v/>
      </c>
      <c r="D558" s="104">
        <f>IFERROR(IF(DIVIDENDOS[[#This Row],[Data Pagamento]]="","",DIVIDENDOS[[#This Row],[Data Pagamento]]),"")</f>
        <v/>
      </c>
      <c r="E558" s="105" t="n"/>
      <c r="F558" s="106" t="n"/>
    </row>
    <row r="559">
      <c r="A559" s="101">
        <f>YEAR(DIVIDENDOS[[#This Row],[Data Pagamento]])</f>
        <v/>
      </c>
      <c r="C559" s="103">
        <f>IFERROR(IF(DIVIDENDOS[[#This Row],[Data Pagamento]]="","",EOMONTH(B559,0)),"")</f>
        <v/>
      </c>
      <c r="D559" s="104">
        <f>IFERROR(IF(DIVIDENDOS[[#This Row],[Data Pagamento]]="","",DIVIDENDOS[[#This Row],[Data Pagamento]]),"")</f>
        <v/>
      </c>
      <c r="E559" s="105" t="n"/>
      <c r="F559" s="106" t="n"/>
    </row>
    <row r="560">
      <c r="A560" s="101">
        <f>YEAR(DIVIDENDOS[[#This Row],[Data Pagamento]])</f>
        <v/>
      </c>
      <c r="C560" s="103">
        <f>IFERROR(IF(DIVIDENDOS[[#This Row],[Data Pagamento]]="","",EOMONTH(B560,0)),"")</f>
        <v/>
      </c>
      <c r="D560" s="104">
        <f>IFERROR(IF(DIVIDENDOS[[#This Row],[Data Pagamento]]="","",DIVIDENDOS[[#This Row],[Data Pagamento]]),"")</f>
        <v/>
      </c>
      <c r="E560" s="105" t="n"/>
      <c r="F560" s="106" t="n"/>
    </row>
    <row r="561">
      <c r="A561" s="101">
        <f>YEAR(DIVIDENDOS[[#This Row],[Data Pagamento]])</f>
        <v/>
      </c>
      <c r="C561" s="103">
        <f>IFERROR(IF(DIVIDENDOS[[#This Row],[Data Pagamento]]="","",EOMONTH(B561,0)),"")</f>
        <v/>
      </c>
      <c r="D561" s="104">
        <f>IFERROR(IF(DIVIDENDOS[[#This Row],[Data Pagamento]]="","",DIVIDENDOS[[#This Row],[Data Pagamento]]),"")</f>
        <v/>
      </c>
      <c r="E561" s="105" t="n"/>
      <c r="F561" s="106" t="n"/>
    </row>
    <row r="562">
      <c r="A562" s="101">
        <f>YEAR(DIVIDENDOS[[#This Row],[Data Pagamento]])</f>
        <v/>
      </c>
      <c r="C562" s="103">
        <f>IFERROR(IF(DIVIDENDOS[[#This Row],[Data Pagamento]]="","",EOMONTH(B562,0)),"")</f>
        <v/>
      </c>
      <c r="D562" s="104">
        <f>IFERROR(IF(DIVIDENDOS[[#This Row],[Data Pagamento]]="","",DIVIDENDOS[[#This Row],[Data Pagamento]]),"")</f>
        <v/>
      </c>
      <c r="E562" s="105" t="n"/>
      <c r="F562" s="106" t="n"/>
    </row>
    <row r="563">
      <c r="A563" s="101">
        <f>YEAR(DIVIDENDOS[[#This Row],[Data Pagamento]])</f>
        <v/>
      </c>
      <c r="C563" s="103">
        <f>IFERROR(IF(DIVIDENDOS[[#This Row],[Data Pagamento]]="","",EOMONTH(B563,0)),"")</f>
        <v/>
      </c>
      <c r="D563" s="104">
        <f>IFERROR(IF(DIVIDENDOS[[#This Row],[Data Pagamento]]="","",DIVIDENDOS[[#This Row],[Data Pagamento]]),"")</f>
        <v/>
      </c>
      <c r="E563" s="105" t="n"/>
      <c r="F563" s="106" t="n"/>
    </row>
    <row r="564">
      <c r="A564" s="101">
        <f>YEAR(DIVIDENDOS[[#This Row],[Data Pagamento]])</f>
        <v/>
      </c>
      <c r="C564" s="103">
        <f>IFERROR(IF(DIVIDENDOS[[#This Row],[Data Pagamento]]="","",EOMONTH(B564,0)),"")</f>
        <v/>
      </c>
      <c r="D564" s="104">
        <f>IFERROR(IF(DIVIDENDOS[[#This Row],[Data Pagamento]]="","",DIVIDENDOS[[#This Row],[Data Pagamento]]),"")</f>
        <v/>
      </c>
      <c r="E564" s="105" t="n"/>
      <c r="F564" s="106" t="n"/>
    </row>
    <row r="565">
      <c r="A565" s="101">
        <f>YEAR(DIVIDENDOS[[#This Row],[Data Pagamento]])</f>
        <v/>
      </c>
      <c r="C565" s="103">
        <f>IFERROR(IF(DIVIDENDOS[[#This Row],[Data Pagamento]]="","",EOMONTH(B565,0)),"")</f>
        <v/>
      </c>
      <c r="D565" s="104">
        <f>IFERROR(IF(DIVIDENDOS[[#This Row],[Data Pagamento]]="","",DIVIDENDOS[[#This Row],[Data Pagamento]]),"")</f>
        <v/>
      </c>
      <c r="E565" s="168" t="n"/>
      <c r="F565" s="106" t="n"/>
    </row>
    <row r="566">
      <c r="A566" s="101">
        <f>YEAR(DIVIDENDOS[[#This Row],[Data Pagamento]])</f>
        <v/>
      </c>
      <c r="C566" s="103">
        <f>IFERROR(IF(DIVIDENDOS[[#This Row],[Data Pagamento]]="","",EOMONTH(B566,0)),"")</f>
        <v/>
      </c>
      <c r="D566" s="104">
        <f>IFERROR(IF(DIVIDENDOS[[#This Row],[Data Pagamento]]="","",DIVIDENDOS[[#This Row],[Data Pagamento]]),"")</f>
        <v/>
      </c>
      <c r="E566" s="168" t="n"/>
      <c r="F566" s="106" t="n"/>
    </row>
    <row r="567">
      <c r="A567" s="101">
        <f>YEAR(DIVIDENDOS[[#This Row],[Data Pagamento]])</f>
        <v/>
      </c>
      <c r="C567" s="103">
        <f>IFERROR(IF(DIVIDENDOS[[#This Row],[Data Pagamento]]="","",EOMONTH(B567,0)),"")</f>
        <v/>
      </c>
      <c r="D567" s="104">
        <f>IFERROR(IF(DIVIDENDOS[[#This Row],[Data Pagamento]]="","",DIVIDENDOS[[#This Row],[Data Pagamento]]),"")</f>
        <v/>
      </c>
      <c r="E567" s="168" t="n"/>
      <c r="F567" s="106" t="n"/>
    </row>
    <row r="568">
      <c r="A568" s="101">
        <f>YEAR(DIVIDENDOS[[#This Row],[Data Pagamento]])</f>
        <v/>
      </c>
      <c r="C568" s="103">
        <f>IFERROR(IF(DIVIDENDOS[[#This Row],[Data Pagamento]]="","",EOMONTH(B568,0)),"")</f>
        <v/>
      </c>
      <c r="D568" s="104">
        <f>IFERROR(IF(DIVIDENDOS[[#This Row],[Data Pagamento]]="","",DIVIDENDOS[[#This Row],[Data Pagamento]]),"")</f>
        <v/>
      </c>
      <c r="E568" s="168" t="n"/>
      <c r="F568" s="106" t="n"/>
    </row>
    <row r="569">
      <c r="A569" s="101">
        <f>YEAR(DIVIDENDOS[[#This Row],[Data Pagamento]])</f>
        <v/>
      </c>
      <c r="C569" s="103">
        <f>IFERROR(IF(DIVIDENDOS[[#This Row],[Data Pagamento]]="","",EOMONTH(B569,0)),"")</f>
        <v/>
      </c>
      <c r="D569" s="104">
        <f>IFERROR(IF(DIVIDENDOS[[#This Row],[Data Pagamento]]="","",DIVIDENDOS[[#This Row],[Data Pagamento]]),"")</f>
        <v/>
      </c>
      <c r="E569" s="168" t="n"/>
      <c r="F569" s="106" t="n"/>
    </row>
    <row r="570">
      <c r="A570" s="101">
        <f>YEAR(DIVIDENDOS[[#This Row],[Data Pagamento]])</f>
        <v/>
      </c>
      <c r="C570" s="103">
        <f>IFERROR(IF(DIVIDENDOS[[#This Row],[Data Pagamento]]="","",EOMONTH(B570,0)),"")</f>
        <v/>
      </c>
      <c r="D570" s="104">
        <f>IFERROR(IF(DIVIDENDOS[[#This Row],[Data Pagamento]]="","",DIVIDENDOS[[#This Row],[Data Pagamento]]),"")</f>
        <v/>
      </c>
      <c r="E570" s="168" t="n"/>
      <c r="F570" s="106" t="n"/>
    </row>
    <row r="571">
      <c r="A571" s="101">
        <f>YEAR(DIVIDENDOS[[#This Row],[Data Pagamento]])</f>
        <v/>
      </c>
      <c r="C571" s="103">
        <f>IFERROR(IF(DIVIDENDOS[[#This Row],[Data Pagamento]]="","",EOMONTH(B571,0)),"")</f>
        <v/>
      </c>
      <c r="D571" s="104">
        <f>IFERROR(IF(DIVIDENDOS[[#This Row],[Data Pagamento]]="","",DIVIDENDOS[[#This Row],[Data Pagamento]]),"")</f>
        <v/>
      </c>
      <c r="E571" s="168" t="n"/>
      <c r="F571" s="106" t="n"/>
    </row>
    <row r="572">
      <c r="A572" s="101">
        <f>YEAR(DIVIDENDOS[[#This Row],[Data Pagamento]])</f>
        <v/>
      </c>
      <c r="C572" s="103">
        <f>IFERROR(IF(DIVIDENDOS[[#This Row],[Data Pagamento]]="","",EOMONTH(B572,0)),"")</f>
        <v/>
      </c>
      <c r="D572" s="104">
        <f>IFERROR(IF(DIVIDENDOS[[#This Row],[Data Pagamento]]="","",DIVIDENDOS[[#This Row],[Data Pagamento]]),"")</f>
        <v/>
      </c>
      <c r="E572" s="168" t="n"/>
      <c r="F572" s="106" t="n"/>
    </row>
    <row r="573">
      <c r="A573" s="101">
        <f>YEAR(DIVIDENDOS[[#This Row],[Data Pagamento]])</f>
        <v/>
      </c>
      <c r="C573" s="103">
        <f>IFERROR(IF(DIVIDENDOS[[#This Row],[Data Pagamento]]="","",EOMONTH(B573,0)),"")</f>
        <v/>
      </c>
      <c r="D573" s="104">
        <f>IFERROR(IF(DIVIDENDOS[[#This Row],[Data Pagamento]]="","",DIVIDENDOS[[#This Row],[Data Pagamento]]),"")</f>
        <v/>
      </c>
      <c r="E573" s="168" t="n"/>
      <c r="F573" s="106" t="n"/>
    </row>
    <row r="574">
      <c r="A574" s="101">
        <f>YEAR(DIVIDENDOS[[#This Row],[Data Pagamento]])</f>
        <v/>
      </c>
      <c r="C574" s="103">
        <f>IFERROR(IF(DIVIDENDOS[[#This Row],[Data Pagamento]]="","",EOMONTH(B574,0)),"")</f>
        <v/>
      </c>
      <c r="D574" s="104">
        <f>IFERROR(IF(DIVIDENDOS[[#This Row],[Data Pagamento]]="","",DIVIDENDOS[[#This Row],[Data Pagamento]]),"")</f>
        <v/>
      </c>
      <c r="E574" s="168" t="n"/>
      <c r="F574" s="106" t="n"/>
    </row>
    <row r="575">
      <c r="A575" s="101">
        <f>YEAR(DIVIDENDOS[[#This Row],[Data Pagamento]])</f>
        <v/>
      </c>
      <c r="C575" s="103">
        <f>IFERROR(IF(DIVIDENDOS[[#This Row],[Data Pagamento]]="","",EOMONTH(B575,0)),"")</f>
        <v/>
      </c>
      <c r="D575" s="104">
        <f>IFERROR(IF(DIVIDENDOS[[#This Row],[Data Pagamento]]="","",DIVIDENDOS[[#This Row],[Data Pagamento]]),"")</f>
        <v/>
      </c>
      <c r="E575" s="168" t="n"/>
      <c r="F575" s="106" t="n"/>
    </row>
    <row r="576">
      <c r="A576" s="101">
        <f>YEAR(DIVIDENDOS[[#This Row],[Data Pagamento]])</f>
        <v/>
      </c>
      <c r="C576" s="103">
        <f>IFERROR(IF(DIVIDENDOS[[#This Row],[Data Pagamento]]="","",EOMONTH(B576,0)),"")</f>
        <v/>
      </c>
      <c r="D576" s="104">
        <f>IFERROR(IF(DIVIDENDOS[[#This Row],[Data Pagamento]]="","",DIVIDENDOS[[#This Row],[Data Pagamento]]),"")</f>
        <v/>
      </c>
      <c r="E576" s="168" t="n"/>
      <c r="F576" s="106" t="n"/>
    </row>
    <row r="577">
      <c r="A577" s="101">
        <f>YEAR(DIVIDENDOS[[#This Row],[Data Pagamento]])</f>
        <v/>
      </c>
      <c r="C577" s="103">
        <f>IFERROR(IF(DIVIDENDOS[[#This Row],[Data Pagamento]]="","",EOMONTH(B577,0)),"")</f>
        <v/>
      </c>
      <c r="D577" s="104">
        <f>IFERROR(IF(DIVIDENDOS[[#This Row],[Data Pagamento]]="","",DIVIDENDOS[[#This Row],[Data Pagamento]]),"")</f>
        <v/>
      </c>
      <c r="E577" s="168" t="n"/>
      <c r="F577" s="106" t="n"/>
    </row>
    <row r="578">
      <c r="A578" s="101">
        <f>YEAR(DIVIDENDOS[[#This Row],[Data Pagamento]])</f>
        <v/>
      </c>
      <c r="C578" s="103">
        <f>IFERROR(IF(DIVIDENDOS[[#This Row],[Data Pagamento]]="","",EOMONTH(B578,0)),"")</f>
        <v/>
      </c>
      <c r="D578" s="104">
        <f>IFERROR(IF(DIVIDENDOS[[#This Row],[Data Pagamento]]="","",DIVIDENDOS[[#This Row],[Data Pagamento]]),"")</f>
        <v/>
      </c>
      <c r="E578" s="168" t="n"/>
      <c r="F578" s="106" t="n"/>
    </row>
    <row r="579">
      <c r="A579" s="101">
        <f>YEAR(DIVIDENDOS[[#This Row],[Data Pagamento]])</f>
        <v/>
      </c>
      <c r="C579" s="103">
        <f>IFERROR(IF(DIVIDENDOS[[#This Row],[Data Pagamento]]="","",EOMONTH(B579,0)),"")</f>
        <v/>
      </c>
      <c r="D579" s="104">
        <f>IFERROR(IF(DIVIDENDOS[[#This Row],[Data Pagamento]]="","",DIVIDENDOS[[#This Row],[Data Pagamento]]),"")</f>
        <v/>
      </c>
      <c r="E579" s="168" t="n"/>
      <c r="F579" s="106" t="n"/>
    </row>
    <row r="580">
      <c r="A580" s="101">
        <f>YEAR(DIVIDENDOS[[#This Row],[Data Pagamento]])</f>
        <v/>
      </c>
      <c r="C580" s="103">
        <f>IFERROR(IF(DIVIDENDOS[[#This Row],[Data Pagamento]]="","",EOMONTH(B580,0)),"")</f>
        <v/>
      </c>
      <c r="D580" s="104">
        <f>IFERROR(IF(DIVIDENDOS[[#This Row],[Data Pagamento]]="","",DIVIDENDOS[[#This Row],[Data Pagamento]]),"")</f>
        <v/>
      </c>
      <c r="E580" s="168" t="n"/>
      <c r="F580" s="106" t="n"/>
    </row>
    <row r="581">
      <c r="A581" s="101">
        <f>YEAR(DIVIDENDOS[[#This Row],[Data Pagamento]])</f>
        <v/>
      </c>
      <c r="C581" s="103">
        <f>IFERROR(IF(DIVIDENDOS[[#This Row],[Data Pagamento]]="","",EOMONTH(B581,0)),"")</f>
        <v/>
      </c>
      <c r="D581" s="104">
        <f>IFERROR(IF(DIVIDENDOS[[#This Row],[Data Pagamento]]="","",DIVIDENDOS[[#This Row],[Data Pagamento]]),"")</f>
        <v/>
      </c>
      <c r="E581" s="168" t="n"/>
      <c r="F581" s="106" t="n"/>
    </row>
    <row r="582">
      <c r="A582" s="101">
        <f>YEAR(DIVIDENDOS[[#This Row],[Data Pagamento]])</f>
        <v/>
      </c>
      <c r="C582" s="103">
        <f>IFERROR(IF(DIVIDENDOS[[#This Row],[Data Pagamento]]="","",EOMONTH(B582,0)),"")</f>
        <v/>
      </c>
      <c r="D582" s="104">
        <f>IFERROR(IF(DIVIDENDOS[[#This Row],[Data Pagamento]]="","",DIVIDENDOS[[#This Row],[Data Pagamento]]),"")</f>
        <v/>
      </c>
      <c r="E582" s="168" t="n"/>
      <c r="F582" s="106" t="n"/>
    </row>
    <row r="583">
      <c r="A583" s="101">
        <f>YEAR(DIVIDENDOS[[#This Row],[Data Pagamento]])</f>
        <v/>
      </c>
      <c r="C583" s="103">
        <f>IFERROR(IF(DIVIDENDOS[[#This Row],[Data Pagamento]]="","",EOMONTH(B583,0)),"")</f>
        <v/>
      </c>
      <c r="D583" s="104">
        <f>IFERROR(IF(DIVIDENDOS[[#This Row],[Data Pagamento]]="","",DIVIDENDOS[[#This Row],[Data Pagamento]]),"")</f>
        <v/>
      </c>
      <c r="E583" s="168" t="n"/>
      <c r="F583" s="106" t="n"/>
    </row>
    <row r="584">
      <c r="A584" s="101">
        <f>YEAR(DIVIDENDOS[[#This Row],[Data Pagamento]])</f>
        <v/>
      </c>
      <c r="C584" s="103">
        <f>IFERROR(IF(DIVIDENDOS[[#This Row],[Data Pagamento]]="","",EOMONTH(B584,0)),"")</f>
        <v/>
      </c>
      <c r="D584" s="104">
        <f>IFERROR(IF(DIVIDENDOS[[#This Row],[Data Pagamento]]="","",DIVIDENDOS[[#This Row],[Data Pagamento]]),"")</f>
        <v/>
      </c>
      <c r="E584" s="168" t="n"/>
      <c r="F584" s="106" t="n"/>
    </row>
    <row r="585">
      <c r="A585" s="101">
        <f>YEAR(DIVIDENDOS[[#This Row],[Data Pagamento]])</f>
        <v/>
      </c>
      <c r="C585" s="103">
        <f>IFERROR(IF(DIVIDENDOS[[#This Row],[Data Pagamento]]="","",EOMONTH(B585,0)),"")</f>
        <v/>
      </c>
      <c r="D585" s="104">
        <f>IFERROR(IF(DIVIDENDOS[[#This Row],[Data Pagamento]]="","",DIVIDENDOS[[#This Row],[Data Pagamento]]),"")</f>
        <v/>
      </c>
      <c r="E585" s="168" t="n"/>
      <c r="F585" s="106" t="n"/>
    </row>
    <row r="586">
      <c r="A586" s="101">
        <f>YEAR(DIVIDENDOS[[#This Row],[Data Pagamento]])</f>
        <v/>
      </c>
      <c r="C586" s="103">
        <f>IFERROR(IF(DIVIDENDOS[[#This Row],[Data Pagamento]]="","",EOMONTH(B586,0)),"")</f>
        <v/>
      </c>
      <c r="D586" s="104">
        <f>IFERROR(IF(DIVIDENDOS[[#This Row],[Data Pagamento]]="","",DIVIDENDOS[[#This Row],[Data Pagamento]]),"")</f>
        <v/>
      </c>
      <c r="E586" s="168" t="n"/>
      <c r="F586" s="106" t="n"/>
    </row>
    <row r="587">
      <c r="A587" s="101">
        <f>YEAR(DIVIDENDOS[[#This Row],[Data Pagamento]])</f>
        <v/>
      </c>
      <c r="C587" s="103">
        <f>IFERROR(IF(DIVIDENDOS[[#This Row],[Data Pagamento]]="","",EOMONTH(B587,0)),"")</f>
        <v/>
      </c>
      <c r="D587" s="104">
        <f>IFERROR(IF(DIVIDENDOS[[#This Row],[Data Pagamento]]="","",DIVIDENDOS[[#This Row],[Data Pagamento]]),"")</f>
        <v/>
      </c>
      <c r="E587" s="168" t="n"/>
      <c r="F587" s="106" t="n"/>
    </row>
    <row r="588">
      <c r="A588" s="101">
        <f>YEAR(DIVIDENDOS[[#This Row],[Data Pagamento]])</f>
        <v/>
      </c>
      <c r="C588" s="103">
        <f>IFERROR(IF(DIVIDENDOS[[#This Row],[Data Pagamento]]="","",EOMONTH(B588,0)),"")</f>
        <v/>
      </c>
      <c r="D588" s="104">
        <f>IFERROR(IF(DIVIDENDOS[[#This Row],[Data Pagamento]]="","",DIVIDENDOS[[#This Row],[Data Pagamento]]),"")</f>
        <v/>
      </c>
      <c r="E588" s="168" t="n"/>
      <c r="F588" s="106" t="n"/>
    </row>
    <row r="589">
      <c r="A589" s="101">
        <f>YEAR(DIVIDENDOS[[#This Row],[Data Pagamento]])</f>
        <v/>
      </c>
      <c r="C589" s="103">
        <f>IFERROR(IF(DIVIDENDOS[[#This Row],[Data Pagamento]]="","",EOMONTH(B589,0)),"")</f>
        <v/>
      </c>
      <c r="D589" s="104">
        <f>IFERROR(IF(DIVIDENDOS[[#This Row],[Data Pagamento]]="","",DIVIDENDOS[[#This Row],[Data Pagamento]]),"")</f>
        <v/>
      </c>
      <c r="E589" s="168" t="n"/>
      <c r="F589" s="106" t="n"/>
    </row>
    <row r="590">
      <c r="A590" s="101">
        <f>YEAR(DIVIDENDOS[[#This Row],[Data Pagamento]])</f>
        <v/>
      </c>
      <c r="C590" s="103">
        <f>IFERROR(IF(DIVIDENDOS[[#This Row],[Data Pagamento]]="","",EOMONTH(B590,0)),"")</f>
        <v/>
      </c>
      <c r="D590" s="104">
        <f>IFERROR(IF(DIVIDENDOS[[#This Row],[Data Pagamento]]="","",DIVIDENDOS[[#This Row],[Data Pagamento]]),"")</f>
        <v/>
      </c>
      <c r="E590" s="168" t="n"/>
      <c r="F590" s="106" t="n"/>
    </row>
    <row r="591">
      <c r="A591" s="101">
        <f>YEAR(DIVIDENDOS[[#This Row],[Data Pagamento]])</f>
        <v/>
      </c>
      <c r="C591" s="103">
        <f>IFERROR(IF(DIVIDENDOS[[#This Row],[Data Pagamento]]="","",EOMONTH(B591,0)),"")</f>
        <v/>
      </c>
      <c r="D591" s="104">
        <f>IFERROR(IF(DIVIDENDOS[[#This Row],[Data Pagamento]]="","",DIVIDENDOS[[#This Row],[Data Pagamento]]),"")</f>
        <v/>
      </c>
      <c r="E591" s="168" t="n"/>
      <c r="F591" s="106" t="n"/>
    </row>
    <row r="592">
      <c r="A592" s="101">
        <f>YEAR(DIVIDENDOS[[#This Row],[Data Pagamento]])</f>
        <v/>
      </c>
      <c r="C592" s="103">
        <f>IFERROR(IF(DIVIDENDOS[[#This Row],[Data Pagamento]]="","",EOMONTH(B592,0)),"")</f>
        <v/>
      </c>
      <c r="D592" s="104">
        <f>IFERROR(IF(DIVIDENDOS[[#This Row],[Data Pagamento]]="","",DIVIDENDOS[[#This Row],[Data Pagamento]]),"")</f>
        <v/>
      </c>
      <c r="E592" s="168" t="n"/>
      <c r="F592" s="106" t="n"/>
    </row>
    <row r="593">
      <c r="A593" s="101">
        <f>YEAR(DIVIDENDOS[[#This Row],[Data Pagamento]])</f>
        <v/>
      </c>
      <c r="C593" s="103">
        <f>IFERROR(IF(DIVIDENDOS[[#This Row],[Data Pagamento]]="","",EOMONTH(B593,0)),"")</f>
        <v/>
      </c>
      <c r="D593" s="104">
        <f>IFERROR(IF(DIVIDENDOS[[#This Row],[Data Pagamento]]="","",DIVIDENDOS[[#This Row],[Data Pagamento]]),"")</f>
        <v/>
      </c>
      <c r="E593" s="168" t="n"/>
      <c r="F593" s="106" t="n"/>
    </row>
    <row r="594">
      <c r="A594" s="101">
        <f>YEAR(DIVIDENDOS[[#This Row],[Data Pagamento]])</f>
        <v/>
      </c>
      <c r="C594" s="103">
        <f>IFERROR(IF(DIVIDENDOS[[#This Row],[Data Pagamento]]="","",EOMONTH(B594,0)),"")</f>
        <v/>
      </c>
      <c r="D594" s="104">
        <f>IFERROR(IF(DIVIDENDOS[[#This Row],[Data Pagamento]]="","",DIVIDENDOS[[#This Row],[Data Pagamento]]),"")</f>
        <v/>
      </c>
      <c r="E594" s="168" t="n"/>
      <c r="F594" s="106" t="n"/>
    </row>
    <row r="595">
      <c r="A595" s="101">
        <f>YEAR(DIVIDENDOS[[#This Row],[Data Pagamento]])</f>
        <v/>
      </c>
      <c r="C595" s="103">
        <f>IFERROR(IF(DIVIDENDOS[[#This Row],[Data Pagamento]]="","",EOMONTH(B595,0)),"")</f>
        <v/>
      </c>
      <c r="D595" s="104">
        <f>IFERROR(IF(DIVIDENDOS[[#This Row],[Data Pagamento]]="","",DIVIDENDOS[[#This Row],[Data Pagamento]]),"")</f>
        <v/>
      </c>
      <c r="E595" s="168" t="n"/>
      <c r="F595" s="106" t="n"/>
    </row>
    <row r="596">
      <c r="A596" s="101">
        <f>YEAR(DIVIDENDOS[[#This Row],[Data Pagamento]])</f>
        <v/>
      </c>
      <c r="C596" s="103">
        <f>IFERROR(IF(DIVIDENDOS[[#This Row],[Data Pagamento]]="","",EOMONTH(B596,0)),"")</f>
        <v/>
      </c>
      <c r="D596" s="104">
        <f>IFERROR(IF(DIVIDENDOS[[#This Row],[Data Pagamento]]="","",DIVIDENDOS[[#This Row],[Data Pagamento]]),"")</f>
        <v/>
      </c>
      <c r="E596" s="168" t="n"/>
      <c r="F596" s="106" t="n"/>
    </row>
    <row r="597">
      <c r="A597" s="101">
        <f>YEAR(DIVIDENDOS[[#This Row],[Data Pagamento]])</f>
        <v/>
      </c>
      <c r="C597" s="103">
        <f>IFERROR(IF(DIVIDENDOS[[#This Row],[Data Pagamento]]="","",EOMONTH(B597,0)),"")</f>
        <v/>
      </c>
      <c r="D597" s="104">
        <f>IFERROR(IF(DIVIDENDOS[[#This Row],[Data Pagamento]]="","",DIVIDENDOS[[#This Row],[Data Pagamento]]),"")</f>
        <v/>
      </c>
      <c r="E597" s="168" t="n"/>
      <c r="F597" s="106" t="n"/>
    </row>
    <row r="598">
      <c r="A598" s="101">
        <f>YEAR(DIVIDENDOS[[#This Row],[Data Pagamento]])</f>
        <v/>
      </c>
      <c r="C598" s="103">
        <f>IFERROR(IF(DIVIDENDOS[[#This Row],[Data Pagamento]]="","",EOMONTH(B598,0)),"")</f>
        <v/>
      </c>
      <c r="D598" s="104">
        <f>IFERROR(IF(DIVIDENDOS[[#This Row],[Data Pagamento]]="","",DIVIDENDOS[[#This Row],[Data Pagamento]]),"")</f>
        <v/>
      </c>
      <c r="E598" s="168" t="n"/>
      <c r="F598" s="106" t="n"/>
    </row>
    <row r="599">
      <c r="A599" s="101">
        <f>YEAR(DIVIDENDOS[[#This Row],[Data Pagamento]])</f>
        <v/>
      </c>
      <c r="C599" s="103">
        <f>IFERROR(IF(DIVIDENDOS[[#This Row],[Data Pagamento]]="","",EOMONTH(B599,0)),"")</f>
        <v/>
      </c>
      <c r="D599" s="104">
        <f>IFERROR(IF(DIVIDENDOS[[#This Row],[Data Pagamento]]="","",DIVIDENDOS[[#This Row],[Data Pagamento]]),"")</f>
        <v/>
      </c>
      <c r="E599" s="168" t="n"/>
      <c r="F599" s="106" t="n"/>
    </row>
    <row r="600">
      <c r="A600" s="101">
        <f>YEAR(DIVIDENDOS[[#This Row],[Data Pagamento]])</f>
        <v/>
      </c>
      <c r="C600" s="103">
        <f>IFERROR(IF(DIVIDENDOS[[#This Row],[Data Pagamento]]="","",EOMONTH(B600,0)),"")</f>
        <v/>
      </c>
      <c r="D600" s="104">
        <f>IFERROR(IF(DIVIDENDOS[[#This Row],[Data Pagamento]]="","",DIVIDENDOS[[#This Row],[Data Pagamento]]),"")</f>
        <v/>
      </c>
      <c r="E600" s="168" t="n"/>
      <c r="F600" s="106" t="n"/>
    </row>
    <row r="601">
      <c r="A601" s="101">
        <f>YEAR(DIVIDENDOS[[#This Row],[Data Pagamento]])</f>
        <v/>
      </c>
      <c r="C601" s="103">
        <f>IFERROR(IF(DIVIDENDOS[[#This Row],[Data Pagamento]]="","",EOMONTH(B601,0)),"")</f>
        <v/>
      </c>
      <c r="D601" s="104">
        <f>IFERROR(IF(DIVIDENDOS[[#This Row],[Data Pagamento]]="","",DIVIDENDOS[[#This Row],[Data Pagamento]]),"")</f>
        <v/>
      </c>
      <c r="E601" s="168" t="n"/>
      <c r="F601" s="106" t="n"/>
    </row>
    <row r="602">
      <c r="A602" s="101">
        <f>YEAR(DIVIDENDOS[[#This Row],[Data Pagamento]])</f>
        <v/>
      </c>
      <c r="C602" s="103">
        <f>IFERROR(IF(DIVIDENDOS[[#This Row],[Data Pagamento]]="","",EOMONTH(B602,0)),"")</f>
        <v/>
      </c>
      <c r="D602" s="104">
        <f>IFERROR(IF(DIVIDENDOS[[#This Row],[Data Pagamento]]="","",DIVIDENDOS[[#This Row],[Data Pagamento]]),"")</f>
        <v/>
      </c>
      <c r="E602" s="168" t="n"/>
      <c r="F602" s="106" t="n"/>
    </row>
    <row r="603">
      <c r="A603" s="101">
        <f>YEAR(DIVIDENDOS[[#This Row],[Data Pagamento]])</f>
        <v/>
      </c>
      <c r="C603" s="103">
        <f>IFERROR(IF(DIVIDENDOS[[#This Row],[Data Pagamento]]="","",EOMONTH(B603,0)),"")</f>
        <v/>
      </c>
      <c r="D603" s="104">
        <f>IFERROR(IF(DIVIDENDOS[[#This Row],[Data Pagamento]]="","",DIVIDENDOS[[#This Row],[Data Pagamento]]),"")</f>
        <v/>
      </c>
      <c r="E603" s="168" t="n"/>
      <c r="F603" s="106" t="n"/>
    </row>
    <row r="604">
      <c r="A604" s="101">
        <f>YEAR(DIVIDENDOS[[#This Row],[Data Pagamento]])</f>
        <v/>
      </c>
      <c r="C604" s="103">
        <f>IFERROR(IF(DIVIDENDOS[[#This Row],[Data Pagamento]]="","",EOMONTH(B604,0)),"")</f>
        <v/>
      </c>
      <c r="D604" s="104">
        <f>IFERROR(IF(DIVIDENDOS[[#This Row],[Data Pagamento]]="","",DIVIDENDOS[[#This Row],[Data Pagamento]]),"")</f>
        <v/>
      </c>
      <c r="E604" s="168" t="n"/>
      <c r="F604" s="106" t="n"/>
    </row>
    <row r="605">
      <c r="A605" s="101">
        <f>YEAR(DIVIDENDOS[[#This Row],[Data Pagamento]])</f>
        <v/>
      </c>
      <c r="C605" s="103">
        <f>IFERROR(IF(DIVIDENDOS[[#This Row],[Data Pagamento]]="","",EOMONTH(B605,0)),"")</f>
        <v/>
      </c>
      <c r="D605" s="104">
        <f>IFERROR(IF(DIVIDENDOS[[#This Row],[Data Pagamento]]="","",DIVIDENDOS[[#This Row],[Data Pagamento]]),"")</f>
        <v/>
      </c>
      <c r="E605" s="168" t="n"/>
      <c r="F605" s="106" t="n"/>
    </row>
    <row r="606">
      <c r="A606" s="101">
        <f>YEAR(DIVIDENDOS[[#This Row],[Data Pagamento]])</f>
        <v/>
      </c>
      <c r="C606" s="103">
        <f>IFERROR(IF(DIVIDENDOS[[#This Row],[Data Pagamento]]="","",EOMONTH(B606,0)),"")</f>
        <v/>
      </c>
      <c r="D606" s="104">
        <f>IFERROR(IF(DIVIDENDOS[[#This Row],[Data Pagamento]]="","",DIVIDENDOS[[#This Row],[Data Pagamento]]),"")</f>
        <v/>
      </c>
      <c r="E606" s="168" t="n"/>
      <c r="F606" s="106" t="n"/>
    </row>
    <row r="607">
      <c r="A607" s="101">
        <f>YEAR(DIVIDENDOS[[#This Row],[Data Pagamento]])</f>
        <v/>
      </c>
      <c r="C607" s="103">
        <f>IFERROR(IF(DIVIDENDOS[[#This Row],[Data Pagamento]]="","",EOMONTH(B607,0)),"")</f>
        <v/>
      </c>
      <c r="D607" s="104">
        <f>IFERROR(IF(DIVIDENDOS[[#This Row],[Data Pagamento]]="","",DIVIDENDOS[[#This Row],[Data Pagamento]]),"")</f>
        <v/>
      </c>
      <c r="E607" s="168" t="n"/>
      <c r="F607" s="106" t="n"/>
    </row>
    <row r="608">
      <c r="A608" s="101">
        <f>YEAR(DIVIDENDOS[[#This Row],[Data Pagamento]])</f>
        <v/>
      </c>
      <c r="C608" s="103">
        <f>IFERROR(IF(DIVIDENDOS[[#This Row],[Data Pagamento]]="","",EOMONTH(B608,0)),"")</f>
        <v/>
      </c>
      <c r="D608" s="104">
        <f>IFERROR(IF(DIVIDENDOS[[#This Row],[Data Pagamento]]="","",DIVIDENDOS[[#This Row],[Data Pagamento]]),"")</f>
        <v/>
      </c>
      <c r="E608" s="168" t="n"/>
      <c r="F608" s="106" t="n"/>
    </row>
    <row r="609">
      <c r="A609" s="101">
        <f>YEAR(DIVIDENDOS[[#This Row],[Data Pagamento]])</f>
        <v/>
      </c>
      <c r="C609" s="103">
        <f>IFERROR(IF(DIVIDENDOS[[#This Row],[Data Pagamento]]="","",EOMONTH(B609,0)),"")</f>
        <v/>
      </c>
      <c r="D609" s="104">
        <f>IFERROR(IF(DIVIDENDOS[[#This Row],[Data Pagamento]]="","",DIVIDENDOS[[#This Row],[Data Pagamento]]),"")</f>
        <v/>
      </c>
      <c r="E609" s="168" t="n"/>
      <c r="F609" s="106" t="n"/>
    </row>
    <row r="610">
      <c r="A610" s="101">
        <f>YEAR(DIVIDENDOS[[#This Row],[Data Pagamento]])</f>
        <v/>
      </c>
      <c r="C610" s="103">
        <f>IFERROR(IF(DIVIDENDOS[[#This Row],[Data Pagamento]]="","",EOMONTH(B610,0)),"")</f>
        <v/>
      </c>
      <c r="D610" s="104">
        <f>IFERROR(IF(DIVIDENDOS[[#This Row],[Data Pagamento]]="","",DIVIDENDOS[[#This Row],[Data Pagamento]]),"")</f>
        <v/>
      </c>
      <c r="E610" s="168" t="n"/>
      <c r="F610" s="106" t="n"/>
    </row>
    <row r="611">
      <c r="A611" s="101">
        <f>YEAR(DIVIDENDOS[[#This Row],[Data Pagamento]])</f>
        <v/>
      </c>
      <c r="C611" s="103">
        <f>IFERROR(IF(DIVIDENDOS[[#This Row],[Data Pagamento]]="","",EOMONTH(B611,0)),"")</f>
        <v/>
      </c>
      <c r="D611" s="104">
        <f>IFERROR(IF(DIVIDENDOS[[#This Row],[Data Pagamento]]="","",DIVIDENDOS[[#This Row],[Data Pagamento]]),"")</f>
        <v/>
      </c>
      <c r="E611" s="168" t="n"/>
      <c r="F611" s="106" t="n"/>
    </row>
    <row r="612">
      <c r="A612" s="101">
        <f>YEAR(DIVIDENDOS[[#This Row],[Data Pagamento]])</f>
        <v/>
      </c>
      <c r="C612" s="103">
        <f>IFERROR(IF(DIVIDENDOS[[#This Row],[Data Pagamento]]="","",EOMONTH(B612,0)),"")</f>
        <v/>
      </c>
      <c r="D612" s="104">
        <f>IFERROR(IF(DIVIDENDOS[[#This Row],[Data Pagamento]]="","",DIVIDENDOS[[#This Row],[Data Pagamento]]),"")</f>
        <v/>
      </c>
      <c r="E612" s="168" t="n"/>
      <c r="F612" s="106" t="n"/>
    </row>
    <row r="613">
      <c r="A613" s="101">
        <f>YEAR(DIVIDENDOS[[#This Row],[Data Pagamento]])</f>
        <v/>
      </c>
      <c r="C613" s="103">
        <f>IFERROR(IF(DIVIDENDOS[[#This Row],[Data Pagamento]]="","",EOMONTH(B613,0)),"")</f>
        <v/>
      </c>
      <c r="D613" s="104">
        <f>IFERROR(IF(DIVIDENDOS[[#This Row],[Data Pagamento]]="","",DIVIDENDOS[[#This Row],[Data Pagamento]]),"")</f>
        <v/>
      </c>
      <c r="E613" s="168" t="n"/>
      <c r="F613" s="106" t="n"/>
    </row>
    <row r="614">
      <c r="A614" s="101">
        <f>YEAR(DIVIDENDOS[[#This Row],[Data Pagamento]])</f>
        <v/>
      </c>
      <c r="C614" s="103">
        <f>IFERROR(IF(DIVIDENDOS[[#This Row],[Data Pagamento]]="","",EOMONTH(B614,0)),"")</f>
        <v/>
      </c>
      <c r="D614" s="104">
        <f>IFERROR(IF(DIVIDENDOS[[#This Row],[Data Pagamento]]="","",DIVIDENDOS[[#This Row],[Data Pagamento]]),"")</f>
        <v/>
      </c>
      <c r="E614" s="168" t="n"/>
      <c r="F614" s="106" t="n"/>
    </row>
    <row r="615">
      <c r="A615" s="101">
        <f>YEAR(DIVIDENDOS[[#This Row],[Data Pagamento]])</f>
        <v/>
      </c>
      <c r="C615" s="103">
        <f>IFERROR(IF(DIVIDENDOS[[#This Row],[Data Pagamento]]="","",EOMONTH(B615,0)),"")</f>
        <v/>
      </c>
      <c r="D615" s="104">
        <f>IFERROR(IF(DIVIDENDOS[[#This Row],[Data Pagamento]]="","",DIVIDENDOS[[#This Row],[Data Pagamento]]),"")</f>
        <v/>
      </c>
      <c r="E615" s="168" t="n"/>
      <c r="F615" s="106" t="n"/>
    </row>
    <row r="616">
      <c r="A616" s="101">
        <f>YEAR(DIVIDENDOS[[#This Row],[Data Pagamento]])</f>
        <v/>
      </c>
      <c r="C616" s="103">
        <f>IFERROR(IF(DIVIDENDOS[[#This Row],[Data Pagamento]]="","",EOMONTH(B616,0)),"")</f>
        <v/>
      </c>
      <c r="D616" s="104">
        <f>IFERROR(IF(DIVIDENDOS[[#This Row],[Data Pagamento]]="","",DIVIDENDOS[[#This Row],[Data Pagamento]]),"")</f>
        <v/>
      </c>
      <c r="E616" s="168" t="n"/>
      <c r="F616" s="106" t="n"/>
    </row>
    <row r="617">
      <c r="A617" s="101">
        <f>YEAR(DIVIDENDOS[[#This Row],[Data Pagamento]])</f>
        <v/>
      </c>
      <c r="C617" s="103">
        <f>IFERROR(IF(DIVIDENDOS[[#This Row],[Data Pagamento]]="","",EOMONTH(B617,0)),"")</f>
        <v/>
      </c>
      <c r="D617" s="104">
        <f>IFERROR(IF(DIVIDENDOS[[#This Row],[Data Pagamento]]="","",DIVIDENDOS[[#This Row],[Data Pagamento]]),"")</f>
        <v/>
      </c>
      <c r="E617" s="168" t="n"/>
      <c r="F617" s="106" t="n"/>
    </row>
    <row r="618">
      <c r="A618" s="101">
        <f>YEAR(DIVIDENDOS[[#This Row],[Data Pagamento]])</f>
        <v/>
      </c>
      <c r="C618" s="103">
        <f>IFERROR(IF(DIVIDENDOS[[#This Row],[Data Pagamento]]="","",EOMONTH(B618,0)),"")</f>
        <v/>
      </c>
      <c r="D618" s="104">
        <f>IFERROR(IF(DIVIDENDOS[[#This Row],[Data Pagamento]]="","",DIVIDENDOS[[#This Row],[Data Pagamento]]),"")</f>
        <v/>
      </c>
      <c r="E618" s="168" t="n"/>
      <c r="F618" s="106" t="n"/>
    </row>
    <row r="619">
      <c r="A619" s="101">
        <f>YEAR(DIVIDENDOS[[#This Row],[Data Pagamento]])</f>
        <v/>
      </c>
      <c r="C619" s="103">
        <f>IFERROR(IF(DIVIDENDOS[[#This Row],[Data Pagamento]]="","",EOMONTH(B619,0)),"")</f>
        <v/>
      </c>
      <c r="D619" s="104">
        <f>IFERROR(IF(DIVIDENDOS[[#This Row],[Data Pagamento]]="","",DIVIDENDOS[[#This Row],[Data Pagamento]]),"")</f>
        <v/>
      </c>
      <c r="E619" s="168" t="n"/>
      <c r="F619" s="106" t="n"/>
    </row>
    <row r="620">
      <c r="A620" s="101">
        <f>YEAR(DIVIDENDOS[[#This Row],[Data Pagamento]])</f>
        <v/>
      </c>
      <c r="C620" s="103">
        <f>IFERROR(IF(DIVIDENDOS[[#This Row],[Data Pagamento]]="","",EOMONTH(B620,0)),"")</f>
        <v/>
      </c>
      <c r="D620" s="104">
        <f>IFERROR(IF(DIVIDENDOS[[#This Row],[Data Pagamento]]="","",DIVIDENDOS[[#This Row],[Data Pagamento]]),"")</f>
        <v/>
      </c>
      <c r="E620" s="168" t="n"/>
      <c r="F620" s="106" t="n"/>
    </row>
    <row r="621">
      <c r="A621" s="101">
        <f>YEAR(DIVIDENDOS[[#This Row],[Data Pagamento]])</f>
        <v/>
      </c>
      <c r="C621" s="103">
        <f>IFERROR(IF(DIVIDENDOS[[#This Row],[Data Pagamento]]="","",EOMONTH(B621,0)),"")</f>
        <v/>
      </c>
      <c r="D621" s="104">
        <f>IFERROR(IF(DIVIDENDOS[[#This Row],[Data Pagamento]]="","",DIVIDENDOS[[#This Row],[Data Pagamento]]),"")</f>
        <v/>
      </c>
      <c r="E621" s="168" t="n"/>
      <c r="F621" s="106" t="n"/>
    </row>
    <row r="622">
      <c r="A622" s="101">
        <f>YEAR(DIVIDENDOS[[#This Row],[Data Pagamento]])</f>
        <v/>
      </c>
      <c r="C622" s="103">
        <f>IFERROR(IF(DIVIDENDOS[[#This Row],[Data Pagamento]]="","",EOMONTH(B622,0)),"")</f>
        <v/>
      </c>
      <c r="D622" s="104">
        <f>IFERROR(IF(DIVIDENDOS[[#This Row],[Data Pagamento]]="","",DIVIDENDOS[[#This Row],[Data Pagamento]]),"")</f>
        <v/>
      </c>
      <c r="E622" s="168" t="n"/>
      <c r="F622" s="106" t="n"/>
    </row>
    <row r="623">
      <c r="A623" s="101">
        <f>YEAR(DIVIDENDOS[[#This Row],[Data Pagamento]])</f>
        <v/>
      </c>
      <c r="C623" s="103">
        <f>IFERROR(IF(DIVIDENDOS[[#This Row],[Data Pagamento]]="","",EOMONTH(B623,0)),"")</f>
        <v/>
      </c>
      <c r="D623" s="104">
        <f>IFERROR(IF(DIVIDENDOS[[#This Row],[Data Pagamento]]="","",DIVIDENDOS[[#This Row],[Data Pagamento]]),"")</f>
        <v/>
      </c>
      <c r="E623" s="168" t="n"/>
      <c r="F623" s="106" t="n"/>
    </row>
    <row r="624">
      <c r="A624" s="101">
        <f>YEAR(DIVIDENDOS[[#This Row],[Data Pagamento]])</f>
        <v/>
      </c>
      <c r="C624" s="103">
        <f>IFERROR(IF(DIVIDENDOS[[#This Row],[Data Pagamento]]="","",EOMONTH(B624,0)),"")</f>
        <v/>
      </c>
      <c r="D624" s="104">
        <f>IFERROR(IF(DIVIDENDOS[[#This Row],[Data Pagamento]]="","",DIVIDENDOS[[#This Row],[Data Pagamento]]),"")</f>
        <v/>
      </c>
      <c r="E624" s="168" t="n"/>
      <c r="F624" s="106" t="n"/>
    </row>
    <row r="625">
      <c r="A625" s="101">
        <f>YEAR(DIVIDENDOS[[#This Row],[Data Pagamento]])</f>
        <v/>
      </c>
      <c r="C625" s="103">
        <f>IFERROR(IF(DIVIDENDOS[[#This Row],[Data Pagamento]]="","",EOMONTH(B625,0)),"")</f>
        <v/>
      </c>
      <c r="D625" s="104">
        <f>IFERROR(IF(DIVIDENDOS[[#This Row],[Data Pagamento]]="","",DIVIDENDOS[[#This Row],[Data Pagamento]]),"")</f>
        <v/>
      </c>
      <c r="E625" s="168" t="n"/>
      <c r="F625" s="106" t="n"/>
    </row>
    <row r="626">
      <c r="A626" s="101">
        <f>YEAR(DIVIDENDOS[[#This Row],[Data Pagamento]])</f>
        <v/>
      </c>
      <c r="C626" s="103">
        <f>IFERROR(IF(DIVIDENDOS[[#This Row],[Data Pagamento]]="","",EOMONTH(B626,0)),"")</f>
        <v/>
      </c>
      <c r="D626" s="104">
        <f>IFERROR(IF(DIVIDENDOS[[#This Row],[Data Pagamento]]="","",DIVIDENDOS[[#This Row],[Data Pagamento]]),"")</f>
        <v/>
      </c>
      <c r="E626" s="168" t="n"/>
      <c r="F626" s="106" t="n"/>
    </row>
    <row r="627">
      <c r="A627" s="101">
        <f>YEAR(DIVIDENDOS[[#This Row],[Data Pagamento]])</f>
        <v/>
      </c>
      <c r="C627" s="103">
        <f>IFERROR(IF(DIVIDENDOS[[#This Row],[Data Pagamento]]="","",EOMONTH(B627,0)),"")</f>
        <v/>
      </c>
      <c r="D627" s="104">
        <f>IFERROR(IF(DIVIDENDOS[[#This Row],[Data Pagamento]]="","",DIVIDENDOS[[#This Row],[Data Pagamento]]),"")</f>
        <v/>
      </c>
      <c r="E627" s="168" t="n"/>
      <c r="F627" s="106" t="n"/>
    </row>
    <row r="628">
      <c r="A628" s="101">
        <f>YEAR(DIVIDENDOS[[#This Row],[Data Pagamento]])</f>
        <v/>
      </c>
      <c r="C628" s="103">
        <f>IFERROR(IF(DIVIDENDOS[[#This Row],[Data Pagamento]]="","",EOMONTH(B628,0)),"")</f>
        <v/>
      </c>
      <c r="D628" s="104">
        <f>IFERROR(IF(DIVIDENDOS[[#This Row],[Data Pagamento]]="","",DIVIDENDOS[[#This Row],[Data Pagamento]]),"")</f>
        <v/>
      </c>
      <c r="E628" s="168" t="n"/>
      <c r="F628" s="106" t="n"/>
    </row>
    <row r="629">
      <c r="A629" s="101">
        <f>YEAR(DIVIDENDOS[[#This Row],[Data Pagamento]])</f>
        <v/>
      </c>
      <c r="C629" s="103">
        <f>IFERROR(IF(DIVIDENDOS[[#This Row],[Data Pagamento]]="","",EOMONTH(B629,0)),"")</f>
        <v/>
      </c>
      <c r="D629" s="104">
        <f>IFERROR(IF(DIVIDENDOS[[#This Row],[Data Pagamento]]="","",DIVIDENDOS[[#This Row],[Data Pagamento]]),"")</f>
        <v/>
      </c>
      <c r="E629" s="168" t="n"/>
      <c r="F629" s="106" t="n"/>
    </row>
    <row r="630">
      <c r="A630" s="101">
        <f>YEAR(DIVIDENDOS[[#This Row],[Data Pagamento]])</f>
        <v/>
      </c>
      <c r="C630" s="103">
        <f>IFERROR(IF(DIVIDENDOS[[#This Row],[Data Pagamento]]="","",EOMONTH(B630,0)),"")</f>
        <v/>
      </c>
      <c r="D630" s="104">
        <f>IFERROR(IF(DIVIDENDOS[[#This Row],[Data Pagamento]]="","",DIVIDENDOS[[#This Row],[Data Pagamento]]),"")</f>
        <v/>
      </c>
      <c r="E630" s="168" t="n"/>
      <c r="F630" s="106" t="n"/>
    </row>
    <row r="631">
      <c r="A631" s="101">
        <f>YEAR(DIVIDENDOS[[#This Row],[Data Pagamento]])</f>
        <v/>
      </c>
      <c r="C631" s="103">
        <f>IFERROR(IF(DIVIDENDOS[[#This Row],[Data Pagamento]]="","",EOMONTH(B631,0)),"")</f>
        <v/>
      </c>
      <c r="D631" s="104">
        <f>IFERROR(IF(DIVIDENDOS[[#This Row],[Data Pagamento]]="","",DIVIDENDOS[[#This Row],[Data Pagamento]]),"")</f>
        <v/>
      </c>
      <c r="E631" s="168" t="n"/>
      <c r="F631" s="106" t="n"/>
    </row>
    <row r="632">
      <c r="A632" s="101">
        <f>YEAR(DIVIDENDOS[[#This Row],[Data Pagamento]])</f>
        <v/>
      </c>
      <c r="C632" s="103">
        <f>IFERROR(IF(DIVIDENDOS[[#This Row],[Data Pagamento]]="","",EOMONTH(B632,0)),"")</f>
        <v/>
      </c>
      <c r="D632" s="104">
        <f>IFERROR(IF(DIVIDENDOS[[#This Row],[Data Pagamento]]="","",DIVIDENDOS[[#This Row],[Data Pagamento]]),"")</f>
        <v/>
      </c>
      <c r="E632" s="168" t="n"/>
      <c r="F632" s="106" t="n"/>
    </row>
    <row r="633">
      <c r="A633" s="101">
        <f>YEAR(DIVIDENDOS[[#This Row],[Data Pagamento]])</f>
        <v/>
      </c>
      <c r="C633" s="103">
        <f>IFERROR(IF(DIVIDENDOS[[#This Row],[Data Pagamento]]="","",EOMONTH(B633,0)),"")</f>
        <v/>
      </c>
      <c r="D633" s="104">
        <f>IFERROR(IF(DIVIDENDOS[[#This Row],[Data Pagamento]]="","",DIVIDENDOS[[#This Row],[Data Pagamento]]),"")</f>
        <v/>
      </c>
      <c r="E633" s="168" t="n"/>
      <c r="F633" s="106" t="n"/>
    </row>
    <row r="634">
      <c r="A634" s="101">
        <f>YEAR(DIVIDENDOS[[#This Row],[Data Pagamento]])</f>
        <v/>
      </c>
      <c r="C634" s="103">
        <f>IFERROR(IF(DIVIDENDOS[[#This Row],[Data Pagamento]]="","",EOMONTH(B634,0)),"")</f>
        <v/>
      </c>
      <c r="D634" s="104">
        <f>IFERROR(IF(DIVIDENDOS[[#This Row],[Data Pagamento]]="","",DIVIDENDOS[[#This Row],[Data Pagamento]]),"")</f>
        <v/>
      </c>
      <c r="E634" s="168" t="n"/>
      <c r="F634" s="106" t="n"/>
    </row>
    <row r="635">
      <c r="A635" s="101">
        <f>YEAR(DIVIDENDOS[[#This Row],[Data Pagamento]])</f>
        <v/>
      </c>
      <c r="C635" s="103">
        <f>IFERROR(IF(DIVIDENDOS[[#This Row],[Data Pagamento]]="","",EOMONTH(B635,0)),"")</f>
        <v/>
      </c>
      <c r="D635" s="104">
        <f>IFERROR(IF(DIVIDENDOS[[#This Row],[Data Pagamento]]="","",DIVIDENDOS[[#This Row],[Data Pagamento]]),"")</f>
        <v/>
      </c>
      <c r="E635" s="168" t="n"/>
      <c r="F635" s="106" t="n"/>
    </row>
    <row r="636">
      <c r="A636" s="101">
        <f>YEAR(DIVIDENDOS[[#This Row],[Data Pagamento]])</f>
        <v/>
      </c>
      <c r="C636" s="103">
        <f>IFERROR(IF(DIVIDENDOS[[#This Row],[Data Pagamento]]="","",EOMONTH(B636,0)),"")</f>
        <v/>
      </c>
      <c r="D636" s="104">
        <f>IFERROR(IF(DIVIDENDOS[[#This Row],[Data Pagamento]]="","",DIVIDENDOS[[#This Row],[Data Pagamento]]),"")</f>
        <v/>
      </c>
      <c r="E636" s="168" t="n"/>
      <c r="F636" s="106" t="n"/>
    </row>
    <row r="637">
      <c r="A637" s="101">
        <f>YEAR(DIVIDENDOS[[#This Row],[Data Pagamento]])</f>
        <v/>
      </c>
      <c r="C637" s="103">
        <f>IFERROR(IF(DIVIDENDOS[[#This Row],[Data Pagamento]]="","",EOMONTH(B637,0)),"")</f>
        <v/>
      </c>
      <c r="D637" s="104">
        <f>IFERROR(IF(DIVIDENDOS[[#This Row],[Data Pagamento]]="","",DIVIDENDOS[[#This Row],[Data Pagamento]]),"")</f>
        <v/>
      </c>
      <c r="E637" s="168" t="n"/>
      <c r="F637" s="106" t="n"/>
    </row>
    <row r="638">
      <c r="A638" s="101">
        <f>YEAR(DIVIDENDOS[[#This Row],[Data Pagamento]])</f>
        <v/>
      </c>
      <c r="C638" s="103">
        <f>IFERROR(IF(DIVIDENDOS[[#This Row],[Data Pagamento]]="","",EOMONTH(B638,0)),"")</f>
        <v/>
      </c>
      <c r="D638" s="104">
        <f>IFERROR(IF(DIVIDENDOS[[#This Row],[Data Pagamento]]="","",DIVIDENDOS[[#This Row],[Data Pagamento]]),"")</f>
        <v/>
      </c>
      <c r="E638" s="168" t="n"/>
      <c r="F638" s="106" t="n"/>
    </row>
    <row r="639">
      <c r="A639" s="101">
        <f>YEAR(DIVIDENDOS[[#This Row],[Data Pagamento]])</f>
        <v/>
      </c>
      <c r="C639" s="103">
        <f>IFERROR(IF(DIVIDENDOS[[#This Row],[Data Pagamento]]="","",EOMONTH(B639,0)),"")</f>
        <v/>
      </c>
      <c r="D639" s="104">
        <f>IFERROR(IF(DIVIDENDOS[[#This Row],[Data Pagamento]]="","",DIVIDENDOS[[#This Row],[Data Pagamento]]),"")</f>
        <v/>
      </c>
      <c r="E639" s="168" t="n"/>
      <c r="F639" s="106" t="n"/>
    </row>
    <row r="640">
      <c r="A640" s="101">
        <f>YEAR(DIVIDENDOS[[#This Row],[Data Pagamento]])</f>
        <v/>
      </c>
      <c r="C640" s="103">
        <f>IFERROR(IF(DIVIDENDOS[[#This Row],[Data Pagamento]]="","",EOMONTH(B640,0)),"")</f>
        <v/>
      </c>
      <c r="D640" s="104">
        <f>IFERROR(IF(DIVIDENDOS[[#This Row],[Data Pagamento]]="","",DIVIDENDOS[[#This Row],[Data Pagamento]]),"")</f>
        <v/>
      </c>
      <c r="E640" s="168" t="n"/>
      <c r="F640" s="106" t="n"/>
    </row>
    <row r="641">
      <c r="A641" s="101">
        <f>YEAR(DIVIDENDOS[[#This Row],[Data Pagamento]])</f>
        <v/>
      </c>
      <c r="C641" s="103">
        <f>IFERROR(IF(DIVIDENDOS[[#This Row],[Data Pagamento]]="","",EOMONTH(B641,0)),"")</f>
        <v/>
      </c>
      <c r="D641" s="104">
        <f>IFERROR(IF(DIVIDENDOS[[#This Row],[Data Pagamento]]="","",DIVIDENDOS[[#This Row],[Data Pagamento]]),"")</f>
        <v/>
      </c>
      <c r="E641" s="168" t="n"/>
      <c r="F641" s="106" t="n"/>
    </row>
    <row r="642">
      <c r="A642" s="101">
        <f>YEAR(DIVIDENDOS[[#This Row],[Data Pagamento]])</f>
        <v/>
      </c>
      <c r="C642" s="103">
        <f>IFERROR(IF(DIVIDENDOS[[#This Row],[Data Pagamento]]="","",EOMONTH(B642,0)),"")</f>
        <v/>
      </c>
      <c r="D642" s="104">
        <f>IFERROR(IF(DIVIDENDOS[[#This Row],[Data Pagamento]]="","",DIVIDENDOS[[#This Row],[Data Pagamento]]),"")</f>
        <v/>
      </c>
      <c r="E642" s="168" t="n"/>
      <c r="F642" s="106" t="n"/>
    </row>
    <row r="643">
      <c r="A643" s="101">
        <f>YEAR(DIVIDENDOS[[#This Row],[Data Pagamento]])</f>
        <v/>
      </c>
      <c r="C643" s="103">
        <f>IFERROR(IF(DIVIDENDOS[[#This Row],[Data Pagamento]]="","",EOMONTH(B643,0)),"")</f>
        <v/>
      </c>
      <c r="D643" s="104">
        <f>IFERROR(IF(DIVIDENDOS[[#This Row],[Data Pagamento]]="","",DIVIDENDOS[[#This Row],[Data Pagamento]]),"")</f>
        <v/>
      </c>
      <c r="E643" s="168" t="n"/>
      <c r="F643" s="106" t="n"/>
    </row>
    <row r="644">
      <c r="A644" s="101">
        <f>YEAR(DIVIDENDOS[[#This Row],[Data Pagamento]])</f>
        <v/>
      </c>
      <c r="C644" s="103">
        <f>IFERROR(IF(DIVIDENDOS[[#This Row],[Data Pagamento]]="","",EOMONTH(B644,0)),"")</f>
        <v/>
      </c>
      <c r="D644" s="104">
        <f>IFERROR(IF(DIVIDENDOS[[#This Row],[Data Pagamento]]="","",DIVIDENDOS[[#This Row],[Data Pagamento]]),"")</f>
        <v/>
      </c>
      <c r="E644" s="168" t="n"/>
      <c r="F644" s="106" t="n"/>
    </row>
    <row r="645">
      <c r="A645" s="101">
        <f>YEAR(DIVIDENDOS[[#This Row],[Data Pagamento]])</f>
        <v/>
      </c>
      <c r="C645" s="103">
        <f>IFERROR(IF(DIVIDENDOS[[#This Row],[Data Pagamento]]="","",EOMONTH(B645,0)),"")</f>
        <v/>
      </c>
      <c r="D645" s="104">
        <f>IFERROR(IF(DIVIDENDOS[[#This Row],[Data Pagamento]]="","",DIVIDENDOS[[#This Row],[Data Pagamento]]),"")</f>
        <v/>
      </c>
      <c r="E645" s="168" t="n"/>
      <c r="F645" s="106" t="n"/>
    </row>
    <row r="646">
      <c r="A646" s="101">
        <f>YEAR(DIVIDENDOS[[#This Row],[Data Pagamento]])</f>
        <v/>
      </c>
      <c r="C646" s="103">
        <f>IFERROR(IF(DIVIDENDOS[[#This Row],[Data Pagamento]]="","",EOMONTH(B646,0)),"")</f>
        <v/>
      </c>
      <c r="D646" s="104">
        <f>IFERROR(IF(DIVIDENDOS[[#This Row],[Data Pagamento]]="","",DIVIDENDOS[[#This Row],[Data Pagamento]]),"")</f>
        <v/>
      </c>
      <c r="E646" s="168" t="n"/>
      <c r="F646" s="106" t="n"/>
    </row>
    <row r="647">
      <c r="A647" s="101">
        <f>YEAR(DIVIDENDOS[[#This Row],[Data Pagamento]])</f>
        <v/>
      </c>
      <c r="C647" s="103">
        <f>IFERROR(IF(DIVIDENDOS[[#This Row],[Data Pagamento]]="","",EOMONTH(B647,0)),"")</f>
        <v/>
      </c>
      <c r="D647" s="104">
        <f>IFERROR(IF(DIVIDENDOS[[#This Row],[Data Pagamento]]="","",DIVIDENDOS[[#This Row],[Data Pagamento]]),"")</f>
        <v/>
      </c>
      <c r="E647" s="168" t="n"/>
      <c r="F647" s="106" t="n"/>
    </row>
    <row r="648">
      <c r="A648" s="101">
        <f>YEAR(DIVIDENDOS[[#This Row],[Data Pagamento]])</f>
        <v/>
      </c>
      <c r="C648" s="103">
        <f>IFERROR(IF(DIVIDENDOS[[#This Row],[Data Pagamento]]="","",EOMONTH(B648,0)),"")</f>
        <v/>
      </c>
      <c r="D648" s="104">
        <f>IFERROR(IF(DIVIDENDOS[[#This Row],[Data Pagamento]]="","",DIVIDENDOS[[#This Row],[Data Pagamento]]),"")</f>
        <v/>
      </c>
      <c r="E648" s="168" t="n"/>
      <c r="F648" s="106" t="n"/>
    </row>
    <row r="649">
      <c r="A649" s="101">
        <f>YEAR(DIVIDENDOS[[#This Row],[Data Pagamento]])</f>
        <v/>
      </c>
      <c r="C649" s="103">
        <f>IFERROR(IF(DIVIDENDOS[[#This Row],[Data Pagamento]]="","",EOMONTH(B649,0)),"")</f>
        <v/>
      </c>
      <c r="D649" s="104">
        <f>IFERROR(IF(DIVIDENDOS[[#This Row],[Data Pagamento]]="","",DIVIDENDOS[[#This Row],[Data Pagamento]]),"")</f>
        <v/>
      </c>
      <c r="E649" s="168" t="n"/>
      <c r="F649" s="106" t="n"/>
    </row>
    <row r="650">
      <c r="A650" s="101">
        <f>YEAR(DIVIDENDOS[[#This Row],[Data Pagamento]])</f>
        <v/>
      </c>
      <c r="C650" s="103">
        <f>IFERROR(IF(DIVIDENDOS[[#This Row],[Data Pagamento]]="","",EOMONTH(B650,0)),"")</f>
        <v/>
      </c>
      <c r="D650" s="104">
        <f>IFERROR(IF(DIVIDENDOS[[#This Row],[Data Pagamento]]="","",DIVIDENDOS[[#This Row],[Data Pagamento]]),"")</f>
        <v/>
      </c>
      <c r="E650" s="168" t="n"/>
      <c r="F650" s="106" t="n"/>
    </row>
    <row r="651">
      <c r="A651" s="101">
        <f>YEAR(DIVIDENDOS[[#This Row],[Data Pagamento]])</f>
        <v/>
      </c>
      <c r="C651" s="103">
        <f>IFERROR(IF(DIVIDENDOS[[#This Row],[Data Pagamento]]="","",EOMONTH(B651,0)),"")</f>
        <v/>
      </c>
      <c r="D651" s="104">
        <f>IFERROR(IF(DIVIDENDOS[[#This Row],[Data Pagamento]]="","",DIVIDENDOS[[#This Row],[Data Pagamento]]),"")</f>
        <v/>
      </c>
      <c r="E651" s="168" t="n"/>
      <c r="F651" s="106" t="n"/>
    </row>
    <row r="652">
      <c r="A652" s="101">
        <f>YEAR(DIVIDENDOS[[#This Row],[Data Pagamento]])</f>
        <v/>
      </c>
      <c r="C652" s="103">
        <f>IFERROR(IF(DIVIDENDOS[[#This Row],[Data Pagamento]]="","",EOMONTH(B652,0)),"")</f>
        <v/>
      </c>
      <c r="D652" s="104">
        <f>IFERROR(IF(DIVIDENDOS[[#This Row],[Data Pagamento]]="","",DIVIDENDOS[[#This Row],[Data Pagamento]]),"")</f>
        <v/>
      </c>
      <c r="E652" s="168" t="n"/>
      <c r="F652" s="106" t="n"/>
    </row>
    <row r="653">
      <c r="A653" s="101">
        <f>YEAR(DIVIDENDOS[[#This Row],[Data Pagamento]])</f>
        <v/>
      </c>
      <c r="C653" s="103">
        <f>IFERROR(IF(DIVIDENDOS[[#This Row],[Data Pagamento]]="","",EOMONTH(B653,0)),"")</f>
        <v/>
      </c>
      <c r="D653" s="104">
        <f>IFERROR(IF(DIVIDENDOS[[#This Row],[Data Pagamento]]="","",DIVIDENDOS[[#This Row],[Data Pagamento]]),"")</f>
        <v/>
      </c>
      <c r="E653" s="168" t="n"/>
      <c r="F653" s="106" t="n"/>
    </row>
    <row r="654">
      <c r="A654" s="101">
        <f>YEAR(DIVIDENDOS[[#This Row],[Data Pagamento]])</f>
        <v/>
      </c>
      <c r="C654" s="103">
        <f>IFERROR(IF(DIVIDENDOS[[#This Row],[Data Pagamento]]="","",EOMONTH(B654,0)),"")</f>
        <v/>
      </c>
      <c r="D654" s="104">
        <f>IFERROR(IF(DIVIDENDOS[[#This Row],[Data Pagamento]]="","",DIVIDENDOS[[#This Row],[Data Pagamento]]),"")</f>
        <v/>
      </c>
      <c r="E654" s="168" t="n"/>
      <c r="F654" s="106" t="n"/>
    </row>
    <row r="655">
      <c r="A655" s="101">
        <f>YEAR(DIVIDENDOS[[#This Row],[Data Pagamento]])</f>
        <v/>
      </c>
      <c r="C655" s="103">
        <f>IFERROR(IF(DIVIDENDOS[[#This Row],[Data Pagamento]]="","",EOMONTH(B655,0)),"")</f>
        <v/>
      </c>
      <c r="D655" s="104">
        <f>IFERROR(IF(DIVIDENDOS[[#This Row],[Data Pagamento]]="","",DIVIDENDOS[[#This Row],[Data Pagamento]]),"")</f>
        <v/>
      </c>
      <c r="E655" s="168" t="n"/>
      <c r="F655" s="106" t="n"/>
    </row>
    <row r="656">
      <c r="A656" s="101">
        <f>YEAR(DIVIDENDOS[[#This Row],[Data Pagamento]])</f>
        <v/>
      </c>
      <c r="C656" s="103">
        <f>IFERROR(IF(DIVIDENDOS[[#This Row],[Data Pagamento]]="","",EOMONTH(B656,0)),"")</f>
        <v/>
      </c>
      <c r="D656" s="104">
        <f>IFERROR(IF(DIVIDENDOS[[#This Row],[Data Pagamento]]="","",DIVIDENDOS[[#This Row],[Data Pagamento]]),"")</f>
        <v/>
      </c>
      <c r="E656" s="168" t="n"/>
      <c r="F656" s="106" t="n"/>
    </row>
    <row r="657">
      <c r="A657" s="101">
        <f>YEAR(DIVIDENDOS[[#This Row],[Data Pagamento]])</f>
        <v/>
      </c>
      <c r="C657" s="103">
        <f>IFERROR(IF(DIVIDENDOS[[#This Row],[Data Pagamento]]="","",EOMONTH(B657,0)),"")</f>
        <v/>
      </c>
      <c r="D657" s="104">
        <f>IFERROR(IF(DIVIDENDOS[[#This Row],[Data Pagamento]]="","",DIVIDENDOS[[#This Row],[Data Pagamento]]),"")</f>
        <v/>
      </c>
      <c r="E657" s="168" t="n"/>
      <c r="F657" s="106" t="n"/>
    </row>
    <row r="658">
      <c r="A658" s="101">
        <f>YEAR(DIVIDENDOS[[#This Row],[Data Pagamento]])</f>
        <v/>
      </c>
      <c r="C658" s="103">
        <f>IFERROR(IF(DIVIDENDOS[[#This Row],[Data Pagamento]]="","",EOMONTH(B658,0)),"")</f>
        <v/>
      </c>
      <c r="D658" s="104">
        <f>IFERROR(IF(DIVIDENDOS[[#This Row],[Data Pagamento]]="","",DIVIDENDOS[[#This Row],[Data Pagamento]]),"")</f>
        <v/>
      </c>
      <c r="E658" s="168" t="n"/>
      <c r="F658" s="106" t="n"/>
    </row>
    <row r="659">
      <c r="A659" s="101">
        <f>YEAR(DIVIDENDOS[[#This Row],[Data Pagamento]])</f>
        <v/>
      </c>
      <c r="C659" s="103">
        <f>IFERROR(IF(DIVIDENDOS[[#This Row],[Data Pagamento]]="","",EOMONTH(B659,0)),"")</f>
        <v/>
      </c>
      <c r="D659" s="104">
        <f>IFERROR(IF(DIVIDENDOS[[#This Row],[Data Pagamento]]="","",DIVIDENDOS[[#This Row],[Data Pagamento]]),"")</f>
        <v/>
      </c>
      <c r="E659" s="168" t="n"/>
      <c r="F659" s="106" t="n"/>
    </row>
    <row r="660">
      <c r="A660" s="101">
        <f>YEAR(DIVIDENDOS[[#This Row],[Data Pagamento]])</f>
        <v/>
      </c>
      <c r="C660" s="103">
        <f>IFERROR(IF(DIVIDENDOS[[#This Row],[Data Pagamento]]="","",EOMONTH(B660,0)),"")</f>
        <v/>
      </c>
      <c r="D660" s="104">
        <f>IFERROR(IF(DIVIDENDOS[[#This Row],[Data Pagamento]]="","",DIVIDENDOS[[#This Row],[Data Pagamento]]),"")</f>
        <v/>
      </c>
      <c r="E660" s="168" t="n"/>
      <c r="F660" s="106" t="n"/>
    </row>
    <row r="661">
      <c r="A661" s="101">
        <f>YEAR(DIVIDENDOS[[#This Row],[Data Pagamento]])</f>
        <v/>
      </c>
      <c r="C661" s="103">
        <f>IFERROR(IF(DIVIDENDOS[[#This Row],[Data Pagamento]]="","",EOMONTH(B661,0)),"")</f>
        <v/>
      </c>
      <c r="D661" s="104">
        <f>IFERROR(IF(DIVIDENDOS[[#This Row],[Data Pagamento]]="","",DIVIDENDOS[[#This Row],[Data Pagamento]]),"")</f>
        <v/>
      </c>
      <c r="E661" s="168" t="n"/>
      <c r="F661" s="106" t="n"/>
    </row>
    <row r="662">
      <c r="A662" s="101">
        <f>YEAR(DIVIDENDOS[[#This Row],[Data Pagamento]])</f>
        <v/>
      </c>
      <c r="C662" s="103">
        <f>IFERROR(IF(DIVIDENDOS[[#This Row],[Data Pagamento]]="","",EOMONTH(B662,0)),"")</f>
        <v/>
      </c>
      <c r="D662" s="104">
        <f>IFERROR(IF(DIVIDENDOS[[#This Row],[Data Pagamento]]="","",DIVIDENDOS[[#This Row],[Data Pagamento]]),"")</f>
        <v/>
      </c>
      <c r="E662" s="168" t="n"/>
      <c r="F662" s="106" t="n"/>
    </row>
    <row r="663">
      <c r="A663" s="101">
        <f>YEAR(DIVIDENDOS[[#This Row],[Data Pagamento]])</f>
        <v/>
      </c>
      <c r="C663" s="103">
        <f>IFERROR(IF(DIVIDENDOS[[#This Row],[Data Pagamento]]="","",EOMONTH(B663,0)),"")</f>
        <v/>
      </c>
      <c r="D663" s="104">
        <f>IFERROR(IF(DIVIDENDOS[[#This Row],[Data Pagamento]]="","",DIVIDENDOS[[#This Row],[Data Pagamento]]),"")</f>
        <v/>
      </c>
      <c r="E663" s="168" t="n"/>
      <c r="F663" s="106" t="n"/>
    </row>
    <row r="664">
      <c r="A664" s="101">
        <f>YEAR(DIVIDENDOS[[#This Row],[Data Pagamento]])</f>
        <v/>
      </c>
      <c r="C664" s="103">
        <f>IFERROR(IF(DIVIDENDOS[[#This Row],[Data Pagamento]]="","",EOMONTH(B664,0)),"")</f>
        <v/>
      </c>
      <c r="D664" s="104">
        <f>IFERROR(IF(DIVIDENDOS[[#This Row],[Data Pagamento]]="","",DIVIDENDOS[[#This Row],[Data Pagamento]]),"")</f>
        <v/>
      </c>
      <c r="E664" s="168" t="n"/>
      <c r="F664" s="106" t="n"/>
    </row>
    <row r="665">
      <c r="A665" s="101">
        <f>YEAR(DIVIDENDOS[[#This Row],[Data Pagamento]])</f>
        <v/>
      </c>
      <c r="C665" s="103">
        <f>IFERROR(IF(DIVIDENDOS[[#This Row],[Data Pagamento]]="","",EOMONTH(B665,0)),"")</f>
        <v/>
      </c>
      <c r="D665" s="104">
        <f>IFERROR(IF(DIVIDENDOS[[#This Row],[Data Pagamento]]="","",DIVIDENDOS[[#This Row],[Data Pagamento]]),"")</f>
        <v/>
      </c>
      <c r="E665" s="168" t="n"/>
      <c r="F665" s="106" t="n"/>
    </row>
    <row r="666">
      <c r="A666" s="101">
        <f>YEAR(DIVIDENDOS[[#This Row],[Data Pagamento]])</f>
        <v/>
      </c>
      <c r="C666" s="103">
        <f>IFERROR(IF(DIVIDENDOS[[#This Row],[Data Pagamento]]="","",EOMONTH(B666,0)),"")</f>
        <v/>
      </c>
      <c r="D666" s="104">
        <f>IFERROR(IF(DIVIDENDOS[[#This Row],[Data Pagamento]]="","",DIVIDENDOS[[#This Row],[Data Pagamento]]),"")</f>
        <v/>
      </c>
      <c r="E666" s="168" t="n"/>
      <c r="F666" s="106" t="n"/>
    </row>
    <row r="667">
      <c r="A667" s="101">
        <f>YEAR(DIVIDENDOS[[#This Row],[Data Pagamento]])</f>
        <v/>
      </c>
      <c r="C667" s="103">
        <f>IFERROR(IF(DIVIDENDOS[[#This Row],[Data Pagamento]]="","",EOMONTH(B667,0)),"")</f>
        <v/>
      </c>
      <c r="D667" s="104">
        <f>IFERROR(IF(DIVIDENDOS[[#This Row],[Data Pagamento]]="","",DIVIDENDOS[[#This Row],[Data Pagamento]]),"")</f>
        <v/>
      </c>
      <c r="E667" s="168" t="n"/>
      <c r="F667" s="106" t="n"/>
    </row>
    <row r="668">
      <c r="A668" s="101">
        <f>YEAR(DIVIDENDOS[[#This Row],[Data Pagamento]])</f>
        <v/>
      </c>
      <c r="C668" s="103">
        <f>IFERROR(IF(DIVIDENDOS[[#This Row],[Data Pagamento]]="","",EOMONTH(B668,0)),"")</f>
        <v/>
      </c>
      <c r="D668" s="104">
        <f>IFERROR(IF(DIVIDENDOS[[#This Row],[Data Pagamento]]="","",DIVIDENDOS[[#This Row],[Data Pagamento]]),"")</f>
        <v/>
      </c>
      <c r="E668" s="168" t="n"/>
      <c r="F668" s="106" t="n"/>
    </row>
    <row r="669">
      <c r="A669" s="101">
        <f>YEAR(DIVIDENDOS[[#This Row],[Data Pagamento]])</f>
        <v/>
      </c>
      <c r="C669" s="103">
        <f>IFERROR(IF(DIVIDENDOS[[#This Row],[Data Pagamento]]="","",EOMONTH(B669,0)),"")</f>
        <v/>
      </c>
      <c r="D669" s="104">
        <f>IFERROR(IF(DIVIDENDOS[[#This Row],[Data Pagamento]]="","",DIVIDENDOS[[#This Row],[Data Pagamento]]),"")</f>
        <v/>
      </c>
      <c r="E669" s="168" t="n"/>
      <c r="F669" s="106" t="n"/>
    </row>
    <row r="670">
      <c r="A670" s="101">
        <f>YEAR(DIVIDENDOS[[#This Row],[Data Pagamento]])</f>
        <v/>
      </c>
      <c r="C670" s="103">
        <f>IFERROR(IF(DIVIDENDOS[[#This Row],[Data Pagamento]]="","",EOMONTH(B670,0)),"")</f>
        <v/>
      </c>
      <c r="D670" s="104">
        <f>IFERROR(IF(DIVIDENDOS[[#This Row],[Data Pagamento]]="","",DIVIDENDOS[[#This Row],[Data Pagamento]]),"")</f>
        <v/>
      </c>
      <c r="E670" s="168" t="n"/>
      <c r="F670" s="106" t="n"/>
    </row>
    <row r="671">
      <c r="A671" s="101">
        <f>YEAR(DIVIDENDOS[[#This Row],[Data Pagamento]])</f>
        <v/>
      </c>
      <c r="C671" s="103">
        <f>IFERROR(IF(DIVIDENDOS[[#This Row],[Data Pagamento]]="","",EOMONTH(B671,0)),"")</f>
        <v/>
      </c>
      <c r="D671" s="104">
        <f>IFERROR(IF(DIVIDENDOS[[#This Row],[Data Pagamento]]="","",DIVIDENDOS[[#This Row],[Data Pagamento]]),"")</f>
        <v/>
      </c>
      <c r="E671" s="168" t="n"/>
      <c r="F671" s="106" t="n"/>
    </row>
    <row r="672">
      <c r="A672" s="101">
        <f>YEAR(DIVIDENDOS[[#This Row],[Data Pagamento]])</f>
        <v/>
      </c>
      <c r="C672" s="103">
        <f>IFERROR(IF(DIVIDENDOS[[#This Row],[Data Pagamento]]="","",EOMONTH(B672,0)),"")</f>
        <v/>
      </c>
      <c r="D672" s="104">
        <f>IFERROR(IF(DIVIDENDOS[[#This Row],[Data Pagamento]]="","",DIVIDENDOS[[#This Row],[Data Pagamento]]),"")</f>
        <v/>
      </c>
      <c r="E672" s="168" t="n"/>
      <c r="F672" s="106" t="n"/>
    </row>
    <row r="673">
      <c r="A673" s="101">
        <f>YEAR(DIVIDENDOS[[#This Row],[Data Pagamento]])</f>
        <v/>
      </c>
      <c r="C673" s="103">
        <f>IFERROR(IF(DIVIDENDOS[[#This Row],[Data Pagamento]]="","",EOMONTH(B673,0)),"")</f>
        <v/>
      </c>
      <c r="D673" s="104">
        <f>IFERROR(IF(DIVIDENDOS[[#This Row],[Data Pagamento]]="","",DIVIDENDOS[[#This Row],[Data Pagamento]]),"")</f>
        <v/>
      </c>
      <c r="E673" s="168" t="n"/>
      <c r="F673" s="106" t="n"/>
    </row>
    <row r="674">
      <c r="A674" s="101">
        <f>YEAR(DIVIDENDOS[[#This Row],[Data Pagamento]])</f>
        <v/>
      </c>
      <c r="C674" s="103">
        <f>IFERROR(IF(DIVIDENDOS[[#This Row],[Data Pagamento]]="","",EOMONTH(B674,0)),"")</f>
        <v/>
      </c>
      <c r="D674" s="104">
        <f>IFERROR(IF(DIVIDENDOS[[#This Row],[Data Pagamento]]="","",DIVIDENDOS[[#This Row],[Data Pagamento]]),"")</f>
        <v/>
      </c>
      <c r="E674" s="168" t="n"/>
      <c r="F674" s="106" t="n"/>
    </row>
    <row r="675">
      <c r="A675" s="101">
        <f>YEAR(DIVIDENDOS[[#This Row],[Data Pagamento]])</f>
        <v/>
      </c>
      <c r="C675" s="103">
        <f>IFERROR(IF(DIVIDENDOS[[#This Row],[Data Pagamento]]="","",EOMONTH(B675,0)),"")</f>
        <v/>
      </c>
      <c r="D675" s="104">
        <f>IFERROR(IF(DIVIDENDOS[[#This Row],[Data Pagamento]]="","",DIVIDENDOS[[#This Row],[Data Pagamento]]),"")</f>
        <v/>
      </c>
      <c r="E675" s="168" t="n"/>
      <c r="F675" s="106" t="n"/>
    </row>
    <row r="676">
      <c r="A676" s="101">
        <f>YEAR(DIVIDENDOS[[#This Row],[Data Pagamento]])</f>
        <v/>
      </c>
      <c r="C676" s="103">
        <f>IFERROR(IF(DIVIDENDOS[[#This Row],[Data Pagamento]]="","",EOMONTH(B676,0)),"")</f>
        <v/>
      </c>
      <c r="D676" s="104">
        <f>IFERROR(IF(DIVIDENDOS[[#This Row],[Data Pagamento]]="","",DIVIDENDOS[[#This Row],[Data Pagamento]]),"")</f>
        <v/>
      </c>
      <c r="E676" s="168" t="n"/>
      <c r="F676" s="106" t="n"/>
    </row>
    <row r="677">
      <c r="A677" s="101">
        <f>YEAR(DIVIDENDOS[[#This Row],[Data Pagamento]])</f>
        <v/>
      </c>
      <c r="C677" s="103">
        <f>IFERROR(IF(DIVIDENDOS[[#This Row],[Data Pagamento]]="","",EOMONTH(B677,0)),"")</f>
        <v/>
      </c>
      <c r="D677" s="104">
        <f>IFERROR(IF(DIVIDENDOS[[#This Row],[Data Pagamento]]="","",DIVIDENDOS[[#This Row],[Data Pagamento]]),"")</f>
        <v/>
      </c>
      <c r="E677" s="168" t="n"/>
      <c r="F677" s="106" t="n"/>
    </row>
    <row r="678">
      <c r="A678" s="101">
        <f>YEAR(DIVIDENDOS[[#This Row],[Data Pagamento]])</f>
        <v/>
      </c>
      <c r="C678" s="103">
        <f>IFERROR(IF(DIVIDENDOS[[#This Row],[Data Pagamento]]="","",EOMONTH(B678,0)),"")</f>
        <v/>
      </c>
      <c r="D678" s="104">
        <f>IFERROR(IF(DIVIDENDOS[[#This Row],[Data Pagamento]]="","",DIVIDENDOS[[#This Row],[Data Pagamento]]),"")</f>
        <v/>
      </c>
      <c r="E678" s="168" t="n"/>
      <c r="F678" s="106" t="n"/>
    </row>
    <row r="679">
      <c r="A679" s="101">
        <f>YEAR(DIVIDENDOS[[#This Row],[Data Pagamento]])</f>
        <v/>
      </c>
      <c r="C679" s="103">
        <f>IFERROR(IF(DIVIDENDOS[[#This Row],[Data Pagamento]]="","",EOMONTH(B679,0)),"")</f>
        <v/>
      </c>
      <c r="D679" s="104">
        <f>IFERROR(IF(DIVIDENDOS[[#This Row],[Data Pagamento]]="","",DIVIDENDOS[[#This Row],[Data Pagamento]]),"")</f>
        <v/>
      </c>
      <c r="E679" s="168" t="n"/>
      <c r="F679" s="106" t="n"/>
    </row>
    <row r="680">
      <c r="A680" s="101">
        <f>YEAR(DIVIDENDOS[[#This Row],[Data Pagamento]])</f>
        <v/>
      </c>
      <c r="C680" s="103">
        <f>IFERROR(IF(DIVIDENDOS[[#This Row],[Data Pagamento]]="","",EOMONTH(B680,0)),"")</f>
        <v/>
      </c>
      <c r="D680" s="104">
        <f>IFERROR(IF(DIVIDENDOS[[#This Row],[Data Pagamento]]="","",DIVIDENDOS[[#This Row],[Data Pagamento]]),"")</f>
        <v/>
      </c>
      <c r="E680" s="168" t="n"/>
      <c r="F680" s="106" t="n"/>
    </row>
    <row r="681">
      <c r="A681" s="101">
        <f>YEAR(DIVIDENDOS[[#This Row],[Data Pagamento]])</f>
        <v/>
      </c>
      <c r="C681" s="103">
        <f>IFERROR(IF(DIVIDENDOS[[#This Row],[Data Pagamento]]="","",EOMONTH(B681,0)),"")</f>
        <v/>
      </c>
      <c r="D681" s="104">
        <f>IFERROR(IF(DIVIDENDOS[[#This Row],[Data Pagamento]]="","",DIVIDENDOS[[#This Row],[Data Pagamento]]),"")</f>
        <v/>
      </c>
      <c r="E681" s="168" t="n"/>
      <c r="F681" s="106" t="n"/>
    </row>
    <row r="682">
      <c r="A682" s="101">
        <f>YEAR(DIVIDENDOS[[#This Row],[Data Pagamento]])</f>
        <v/>
      </c>
      <c r="C682" s="103">
        <f>IFERROR(IF(DIVIDENDOS[[#This Row],[Data Pagamento]]="","",EOMONTH(B682,0)),"")</f>
        <v/>
      </c>
      <c r="D682" s="104">
        <f>IFERROR(IF(DIVIDENDOS[[#This Row],[Data Pagamento]]="","",DIVIDENDOS[[#This Row],[Data Pagamento]]),"")</f>
        <v/>
      </c>
      <c r="E682" s="168" t="n"/>
      <c r="F682" s="106" t="n"/>
    </row>
    <row r="683">
      <c r="A683" s="101">
        <f>YEAR(DIVIDENDOS[[#This Row],[Data Pagamento]])</f>
        <v/>
      </c>
      <c r="C683" s="103">
        <f>IFERROR(IF(DIVIDENDOS[[#This Row],[Data Pagamento]]="","",EOMONTH(B683,0)),"")</f>
        <v/>
      </c>
      <c r="D683" s="104">
        <f>IFERROR(IF(DIVIDENDOS[[#This Row],[Data Pagamento]]="","",DIVIDENDOS[[#This Row],[Data Pagamento]]),"")</f>
        <v/>
      </c>
      <c r="E683" s="168" t="n"/>
      <c r="F683" s="106" t="n"/>
    </row>
    <row r="684">
      <c r="A684" s="101">
        <f>YEAR(DIVIDENDOS[[#This Row],[Data Pagamento]])</f>
        <v/>
      </c>
      <c r="C684" s="103">
        <f>IFERROR(IF(DIVIDENDOS[[#This Row],[Data Pagamento]]="","",EOMONTH(B684,0)),"")</f>
        <v/>
      </c>
      <c r="D684" s="104">
        <f>IFERROR(IF(DIVIDENDOS[[#This Row],[Data Pagamento]]="","",DIVIDENDOS[[#This Row],[Data Pagamento]]),"")</f>
        <v/>
      </c>
      <c r="E684" s="168" t="n"/>
      <c r="F684" s="106" t="n"/>
    </row>
    <row r="685">
      <c r="A685" s="101">
        <f>YEAR(DIVIDENDOS[[#This Row],[Data Pagamento]])</f>
        <v/>
      </c>
      <c r="C685" s="103">
        <f>IFERROR(IF(DIVIDENDOS[[#This Row],[Data Pagamento]]="","",EOMONTH(B685,0)),"")</f>
        <v/>
      </c>
      <c r="D685" s="104">
        <f>IFERROR(IF(DIVIDENDOS[[#This Row],[Data Pagamento]]="","",DIVIDENDOS[[#This Row],[Data Pagamento]]),"")</f>
        <v/>
      </c>
      <c r="E685" s="168" t="n"/>
      <c r="F685" s="106" t="n"/>
    </row>
    <row r="686">
      <c r="A686" s="101">
        <f>YEAR(DIVIDENDOS[[#This Row],[Data Pagamento]])</f>
        <v/>
      </c>
      <c r="C686" s="103">
        <f>IFERROR(IF(DIVIDENDOS[[#This Row],[Data Pagamento]]="","",EOMONTH(B686,0)),"")</f>
        <v/>
      </c>
      <c r="D686" s="104">
        <f>IFERROR(IF(DIVIDENDOS[[#This Row],[Data Pagamento]]="","",DIVIDENDOS[[#This Row],[Data Pagamento]]),"")</f>
        <v/>
      </c>
      <c r="E686" s="168" t="n"/>
      <c r="F686" s="106" t="n"/>
    </row>
    <row r="687">
      <c r="A687" s="101">
        <f>YEAR(DIVIDENDOS[[#This Row],[Data Pagamento]])</f>
        <v/>
      </c>
      <c r="C687" s="103">
        <f>IFERROR(IF(DIVIDENDOS[[#This Row],[Data Pagamento]]="","",EOMONTH(B687,0)),"")</f>
        <v/>
      </c>
      <c r="D687" s="104">
        <f>IFERROR(IF(DIVIDENDOS[[#This Row],[Data Pagamento]]="","",DIVIDENDOS[[#This Row],[Data Pagamento]]),"")</f>
        <v/>
      </c>
      <c r="E687" s="168" t="n"/>
      <c r="F687" s="106" t="n"/>
    </row>
    <row r="688">
      <c r="A688" s="101">
        <f>YEAR(DIVIDENDOS[[#This Row],[Data Pagamento]])</f>
        <v/>
      </c>
      <c r="C688" s="103">
        <f>IFERROR(IF(DIVIDENDOS[[#This Row],[Data Pagamento]]="","",EOMONTH(B688,0)),"")</f>
        <v/>
      </c>
      <c r="D688" s="104">
        <f>IFERROR(IF(DIVIDENDOS[[#This Row],[Data Pagamento]]="","",DIVIDENDOS[[#This Row],[Data Pagamento]]),"")</f>
        <v/>
      </c>
      <c r="E688" s="168" t="n"/>
      <c r="F688" s="106" t="n"/>
    </row>
    <row r="689">
      <c r="A689" s="101">
        <f>YEAR(DIVIDENDOS[[#This Row],[Data Pagamento]])</f>
        <v/>
      </c>
      <c r="C689" s="103">
        <f>IFERROR(IF(DIVIDENDOS[[#This Row],[Data Pagamento]]="","",EOMONTH(B689,0)),"")</f>
        <v/>
      </c>
      <c r="D689" s="104">
        <f>IFERROR(IF(DIVIDENDOS[[#This Row],[Data Pagamento]]="","",DIVIDENDOS[[#This Row],[Data Pagamento]]),"")</f>
        <v/>
      </c>
      <c r="E689" s="168" t="n"/>
      <c r="F689" s="106" t="n"/>
    </row>
    <row r="690">
      <c r="A690" s="101">
        <f>YEAR(DIVIDENDOS[[#This Row],[Data Pagamento]])</f>
        <v/>
      </c>
      <c r="C690" s="103">
        <f>IFERROR(IF(DIVIDENDOS[[#This Row],[Data Pagamento]]="","",EOMONTH(B690,0)),"")</f>
        <v/>
      </c>
      <c r="D690" s="104">
        <f>IFERROR(IF(DIVIDENDOS[[#This Row],[Data Pagamento]]="","",DIVIDENDOS[[#This Row],[Data Pagamento]]),"")</f>
        <v/>
      </c>
      <c r="E690" s="168" t="n"/>
      <c r="F690" s="106" t="n"/>
    </row>
    <row r="691">
      <c r="A691" s="101">
        <f>YEAR(DIVIDENDOS[[#This Row],[Data Pagamento]])</f>
        <v/>
      </c>
      <c r="C691" s="103">
        <f>IFERROR(IF(DIVIDENDOS[[#This Row],[Data Pagamento]]="","",EOMONTH(B691,0)),"")</f>
        <v/>
      </c>
      <c r="D691" s="104">
        <f>IFERROR(IF(DIVIDENDOS[[#This Row],[Data Pagamento]]="","",DIVIDENDOS[[#This Row],[Data Pagamento]]),"")</f>
        <v/>
      </c>
      <c r="E691" s="168" t="n"/>
      <c r="F691" s="106" t="n"/>
    </row>
    <row r="692">
      <c r="A692" s="101">
        <f>YEAR(DIVIDENDOS[[#This Row],[Data Pagamento]])</f>
        <v/>
      </c>
      <c r="C692" s="103">
        <f>IFERROR(IF(DIVIDENDOS[[#This Row],[Data Pagamento]]="","",EOMONTH(B692,0)),"")</f>
        <v/>
      </c>
      <c r="D692" s="104">
        <f>IFERROR(IF(DIVIDENDOS[[#This Row],[Data Pagamento]]="","",DIVIDENDOS[[#This Row],[Data Pagamento]]),"")</f>
        <v/>
      </c>
      <c r="E692" s="168" t="n"/>
      <c r="F692" s="106" t="n"/>
    </row>
    <row r="693">
      <c r="A693" s="101">
        <f>YEAR(DIVIDENDOS[[#This Row],[Data Pagamento]])</f>
        <v/>
      </c>
      <c r="C693" s="103">
        <f>IFERROR(IF(DIVIDENDOS[[#This Row],[Data Pagamento]]="","",EOMONTH(B693,0)),"")</f>
        <v/>
      </c>
      <c r="D693" s="104">
        <f>IFERROR(IF(DIVIDENDOS[[#This Row],[Data Pagamento]]="","",DIVIDENDOS[[#This Row],[Data Pagamento]]),"")</f>
        <v/>
      </c>
      <c r="E693" s="168" t="n"/>
      <c r="F693" s="106" t="n"/>
    </row>
    <row r="694">
      <c r="A694" s="101">
        <f>YEAR(DIVIDENDOS[[#This Row],[Data Pagamento]])</f>
        <v/>
      </c>
      <c r="C694" s="103">
        <f>IFERROR(IF(DIVIDENDOS[[#This Row],[Data Pagamento]]="","",EOMONTH(B694,0)),"")</f>
        <v/>
      </c>
      <c r="D694" s="104">
        <f>IFERROR(IF(DIVIDENDOS[[#This Row],[Data Pagamento]]="","",DIVIDENDOS[[#This Row],[Data Pagamento]]),"")</f>
        <v/>
      </c>
      <c r="E694" s="168" t="n"/>
      <c r="F694" s="106" t="n"/>
    </row>
    <row r="695">
      <c r="A695" s="101">
        <f>YEAR(DIVIDENDOS[[#This Row],[Data Pagamento]])</f>
        <v/>
      </c>
      <c r="C695" s="103">
        <f>IFERROR(IF(DIVIDENDOS[[#This Row],[Data Pagamento]]="","",EOMONTH(B695,0)),"")</f>
        <v/>
      </c>
      <c r="D695" s="104">
        <f>IFERROR(IF(DIVIDENDOS[[#This Row],[Data Pagamento]]="","",DIVIDENDOS[[#This Row],[Data Pagamento]]),"")</f>
        <v/>
      </c>
      <c r="E695" s="168" t="n"/>
      <c r="F695" s="106" t="n"/>
    </row>
    <row r="696">
      <c r="A696" s="101">
        <f>YEAR(DIVIDENDOS[[#This Row],[Data Pagamento]])</f>
        <v/>
      </c>
      <c r="C696" s="103">
        <f>IFERROR(IF(DIVIDENDOS[[#This Row],[Data Pagamento]]="","",EOMONTH(B696,0)),"")</f>
        <v/>
      </c>
      <c r="D696" s="104">
        <f>IFERROR(IF(DIVIDENDOS[[#This Row],[Data Pagamento]]="","",DIVIDENDOS[[#This Row],[Data Pagamento]]),"")</f>
        <v/>
      </c>
      <c r="E696" s="168" t="n"/>
      <c r="F696" s="106" t="n"/>
    </row>
    <row r="697">
      <c r="A697" s="101">
        <f>YEAR(DIVIDENDOS[[#This Row],[Data Pagamento]])</f>
        <v/>
      </c>
      <c r="C697" s="103">
        <f>IFERROR(IF(DIVIDENDOS[[#This Row],[Data Pagamento]]="","",EOMONTH(B697,0)),"")</f>
        <v/>
      </c>
      <c r="D697" s="104">
        <f>IFERROR(IF(DIVIDENDOS[[#This Row],[Data Pagamento]]="","",DIVIDENDOS[[#This Row],[Data Pagamento]]),"")</f>
        <v/>
      </c>
      <c r="E697" s="168" t="n"/>
      <c r="F697" s="106" t="n"/>
    </row>
    <row r="698">
      <c r="A698" s="101">
        <f>YEAR(DIVIDENDOS[[#This Row],[Data Pagamento]])</f>
        <v/>
      </c>
      <c r="C698" s="103">
        <f>IFERROR(IF(DIVIDENDOS[[#This Row],[Data Pagamento]]="","",EOMONTH(B698,0)),"")</f>
        <v/>
      </c>
      <c r="D698" s="104">
        <f>IFERROR(IF(DIVIDENDOS[[#This Row],[Data Pagamento]]="","",DIVIDENDOS[[#This Row],[Data Pagamento]]),"")</f>
        <v/>
      </c>
      <c r="E698" s="168" t="n"/>
      <c r="F698" s="106" t="n"/>
    </row>
    <row r="699">
      <c r="A699" s="101">
        <f>YEAR(DIVIDENDOS[[#This Row],[Data Pagamento]])</f>
        <v/>
      </c>
      <c r="C699" s="103">
        <f>IFERROR(IF(DIVIDENDOS[[#This Row],[Data Pagamento]]="","",EOMONTH(B699,0)),"")</f>
        <v/>
      </c>
      <c r="D699" s="104">
        <f>IFERROR(IF(DIVIDENDOS[[#This Row],[Data Pagamento]]="","",DIVIDENDOS[[#This Row],[Data Pagamento]]),"")</f>
        <v/>
      </c>
      <c r="E699" s="168" t="n"/>
      <c r="F699" s="106" t="n"/>
    </row>
    <row r="700">
      <c r="A700" s="101">
        <f>YEAR(DIVIDENDOS[[#This Row],[Data Pagamento]])</f>
        <v/>
      </c>
      <c r="C700" s="103">
        <f>IFERROR(IF(DIVIDENDOS[[#This Row],[Data Pagamento]]="","",EOMONTH(B700,0)),"")</f>
        <v/>
      </c>
      <c r="D700" s="104">
        <f>IFERROR(IF(DIVIDENDOS[[#This Row],[Data Pagamento]]="","",DIVIDENDOS[[#This Row],[Data Pagamento]]),"")</f>
        <v/>
      </c>
      <c r="E700" s="168" t="n"/>
      <c r="F700" s="106" t="n"/>
    </row>
    <row r="701">
      <c r="A701" s="101">
        <f>YEAR(DIVIDENDOS[[#This Row],[Data Pagamento]])</f>
        <v/>
      </c>
      <c r="C701" s="103">
        <f>IFERROR(IF(DIVIDENDOS[[#This Row],[Data Pagamento]]="","",EOMONTH(B701,0)),"")</f>
        <v/>
      </c>
      <c r="D701" s="104">
        <f>IFERROR(IF(DIVIDENDOS[[#This Row],[Data Pagamento]]="","",DIVIDENDOS[[#This Row],[Data Pagamento]]),"")</f>
        <v/>
      </c>
      <c r="E701" s="168" t="n"/>
      <c r="F701" s="106" t="n"/>
    </row>
    <row r="702">
      <c r="A702" s="101">
        <f>YEAR(DIVIDENDOS[[#This Row],[Data Pagamento]])</f>
        <v/>
      </c>
      <c r="C702" s="103">
        <f>IFERROR(IF(DIVIDENDOS[[#This Row],[Data Pagamento]]="","",EOMONTH(B702,0)),"")</f>
        <v/>
      </c>
      <c r="D702" s="104">
        <f>IFERROR(IF(DIVIDENDOS[[#This Row],[Data Pagamento]]="","",DIVIDENDOS[[#This Row],[Data Pagamento]]),"")</f>
        <v/>
      </c>
      <c r="E702" s="168" t="n"/>
      <c r="F702" s="106" t="n"/>
    </row>
    <row r="703">
      <c r="A703" s="101">
        <f>YEAR(DIVIDENDOS[[#This Row],[Data Pagamento]])</f>
        <v/>
      </c>
      <c r="C703" s="103">
        <f>IFERROR(IF(DIVIDENDOS[[#This Row],[Data Pagamento]]="","",EOMONTH(B703,0)),"")</f>
        <v/>
      </c>
      <c r="D703" s="104">
        <f>IFERROR(IF(DIVIDENDOS[[#This Row],[Data Pagamento]]="","",DIVIDENDOS[[#This Row],[Data Pagamento]]),"")</f>
        <v/>
      </c>
      <c r="E703" s="168" t="n"/>
      <c r="F703" s="106" t="n"/>
    </row>
    <row r="704">
      <c r="A704" s="101">
        <f>YEAR(DIVIDENDOS[[#This Row],[Data Pagamento]])</f>
        <v/>
      </c>
      <c r="C704" s="103">
        <f>IFERROR(IF(DIVIDENDOS[[#This Row],[Data Pagamento]]="","",EOMONTH(B704,0)),"")</f>
        <v/>
      </c>
      <c r="D704" s="104">
        <f>IFERROR(IF(DIVIDENDOS[[#This Row],[Data Pagamento]]="","",DIVIDENDOS[[#This Row],[Data Pagamento]]),"")</f>
        <v/>
      </c>
      <c r="E704" s="168" t="n"/>
      <c r="F704" s="106" t="n"/>
    </row>
    <row r="705">
      <c r="A705" s="101">
        <f>YEAR(DIVIDENDOS[[#This Row],[Data Pagamento]])</f>
        <v/>
      </c>
      <c r="C705" s="103">
        <f>IFERROR(IF(DIVIDENDOS[[#This Row],[Data Pagamento]]="","",EOMONTH(B705,0)),"")</f>
        <v/>
      </c>
      <c r="D705" s="104">
        <f>IFERROR(IF(DIVIDENDOS[[#This Row],[Data Pagamento]]="","",DIVIDENDOS[[#This Row],[Data Pagamento]]),"")</f>
        <v/>
      </c>
      <c r="E705" s="168" t="n"/>
      <c r="F705" s="106" t="n"/>
    </row>
    <row r="706">
      <c r="A706" s="101">
        <f>YEAR(DIVIDENDOS[[#This Row],[Data Pagamento]])</f>
        <v/>
      </c>
      <c r="C706" s="103">
        <f>IFERROR(IF(DIVIDENDOS[[#This Row],[Data Pagamento]]="","",EOMONTH(B706,0)),"")</f>
        <v/>
      </c>
      <c r="D706" s="104">
        <f>IFERROR(IF(DIVIDENDOS[[#This Row],[Data Pagamento]]="","",DIVIDENDOS[[#This Row],[Data Pagamento]]),"")</f>
        <v/>
      </c>
      <c r="E706" s="168" t="n"/>
      <c r="F706" s="106" t="n"/>
    </row>
    <row r="707">
      <c r="A707" s="101">
        <f>YEAR(DIVIDENDOS[[#This Row],[Data Pagamento]])</f>
        <v/>
      </c>
      <c r="C707" s="103">
        <f>IFERROR(IF(DIVIDENDOS[[#This Row],[Data Pagamento]]="","",EOMONTH(B707,0)),"")</f>
        <v/>
      </c>
      <c r="D707" s="104">
        <f>IFERROR(IF(DIVIDENDOS[[#This Row],[Data Pagamento]]="","",DIVIDENDOS[[#This Row],[Data Pagamento]]),"")</f>
        <v/>
      </c>
      <c r="E707" s="168" t="n"/>
      <c r="F707" s="106" t="n"/>
    </row>
    <row r="708">
      <c r="A708" s="101">
        <f>YEAR(DIVIDENDOS[[#This Row],[Data Pagamento]])</f>
        <v/>
      </c>
      <c r="C708" s="103">
        <f>IFERROR(IF(DIVIDENDOS[[#This Row],[Data Pagamento]]="","",EOMONTH(B708,0)),"")</f>
        <v/>
      </c>
      <c r="D708" s="104">
        <f>IFERROR(IF(DIVIDENDOS[[#This Row],[Data Pagamento]]="","",DIVIDENDOS[[#This Row],[Data Pagamento]]),"")</f>
        <v/>
      </c>
      <c r="E708" s="168" t="n"/>
      <c r="F708" s="106" t="n"/>
    </row>
    <row r="709">
      <c r="A709" s="101">
        <f>YEAR(DIVIDENDOS[[#This Row],[Data Pagamento]])</f>
        <v/>
      </c>
      <c r="C709" s="103">
        <f>IFERROR(IF(DIVIDENDOS[[#This Row],[Data Pagamento]]="","",EOMONTH(B709,0)),"")</f>
        <v/>
      </c>
      <c r="D709" s="104">
        <f>IFERROR(IF(DIVIDENDOS[[#This Row],[Data Pagamento]]="","",DIVIDENDOS[[#This Row],[Data Pagamento]]),"")</f>
        <v/>
      </c>
      <c r="E709" s="168" t="n"/>
      <c r="F709" s="106" t="n"/>
    </row>
    <row r="710">
      <c r="A710" s="101">
        <f>YEAR(DIVIDENDOS[[#This Row],[Data Pagamento]])</f>
        <v/>
      </c>
      <c r="C710" s="103">
        <f>IFERROR(IF(DIVIDENDOS[[#This Row],[Data Pagamento]]="","",EOMONTH(B710,0)),"")</f>
        <v/>
      </c>
      <c r="D710" s="104">
        <f>IFERROR(IF(DIVIDENDOS[[#This Row],[Data Pagamento]]="","",DIVIDENDOS[[#This Row],[Data Pagamento]]),"")</f>
        <v/>
      </c>
      <c r="E710" s="168" t="n"/>
      <c r="F710" s="106" t="n"/>
    </row>
    <row r="711">
      <c r="A711" s="101">
        <f>YEAR(DIVIDENDOS[[#This Row],[Data Pagamento]])</f>
        <v/>
      </c>
      <c r="C711" s="103">
        <f>IFERROR(IF(DIVIDENDOS[[#This Row],[Data Pagamento]]="","",EOMONTH(B711,0)),"")</f>
        <v/>
      </c>
      <c r="D711" s="104">
        <f>IFERROR(IF(DIVIDENDOS[[#This Row],[Data Pagamento]]="","",DIVIDENDOS[[#This Row],[Data Pagamento]]),"")</f>
        <v/>
      </c>
      <c r="E711" s="168" t="n"/>
      <c r="F711" s="106" t="n"/>
    </row>
    <row r="712">
      <c r="A712" s="101">
        <f>YEAR(DIVIDENDOS[[#This Row],[Data Pagamento]])</f>
        <v/>
      </c>
      <c r="C712" s="103">
        <f>IFERROR(IF(DIVIDENDOS[[#This Row],[Data Pagamento]]="","",EOMONTH(B712,0)),"")</f>
        <v/>
      </c>
      <c r="D712" s="104">
        <f>IFERROR(IF(DIVIDENDOS[[#This Row],[Data Pagamento]]="","",DIVIDENDOS[[#This Row],[Data Pagamento]]),"")</f>
        <v/>
      </c>
      <c r="E712" s="168" t="n"/>
      <c r="F712" s="106" t="n"/>
    </row>
    <row r="713">
      <c r="A713" s="101">
        <f>YEAR(DIVIDENDOS[[#This Row],[Data Pagamento]])</f>
        <v/>
      </c>
      <c r="C713" s="103">
        <f>IFERROR(IF(DIVIDENDOS[[#This Row],[Data Pagamento]]="","",EOMONTH(B713,0)),"")</f>
        <v/>
      </c>
      <c r="D713" s="104">
        <f>IFERROR(IF(DIVIDENDOS[[#This Row],[Data Pagamento]]="","",DIVIDENDOS[[#This Row],[Data Pagamento]]),"")</f>
        <v/>
      </c>
      <c r="E713" s="168" t="n"/>
      <c r="F713" s="106" t="n"/>
    </row>
    <row r="714">
      <c r="A714" s="101">
        <f>YEAR(DIVIDENDOS[[#This Row],[Data Pagamento]])</f>
        <v/>
      </c>
      <c r="C714" s="103">
        <f>IFERROR(IF(DIVIDENDOS[[#This Row],[Data Pagamento]]="","",EOMONTH(B714,0)),"")</f>
        <v/>
      </c>
      <c r="D714" s="104">
        <f>IFERROR(IF(DIVIDENDOS[[#This Row],[Data Pagamento]]="","",DIVIDENDOS[[#This Row],[Data Pagamento]]),"")</f>
        <v/>
      </c>
      <c r="E714" s="168" t="n"/>
      <c r="F714" s="106" t="n"/>
    </row>
    <row r="715">
      <c r="A715" s="101">
        <f>YEAR(DIVIDENDOS[[#This Row],[Data Pagamento]])</f>
        <v/>
      </c>
      <c r="C715" s="103">
        <f>IFERROR(IF(DIVIDENDOS[[#This Row],[Data Pagamento]]="","",EOMONTH(B715,0)),"")</f>
        <v/>
      </c>
      <c r="D715" s="104">
        <f>IFERROR(IF(DIVIDENDOS[[#This Row],[Data Pagamento]]="","",DIVIDENDOS[[#This Row],[Data Pagamento]]),"")</f>
        <v/>
      </c>
      <c r="E715" s="168" t="n"/>
      <c r="F715" s="106" t="n"/>
    </row>
    <row r="716">
      <c r="A716" s="101">
        <f>YEAR(DIVIDENDOS[[#This Row],[Data Pagamento]])</f>
        <v/>
      </c>
      <c r="C716" s="103">
        <f>IFERROR(IF(DIVIDENDOS[[#This Row],[Data Pagamento]]="","",EOMONTH(B716,0)),"")</f>
        <v/>
      </c>
      <c r="D716" s="104">
        <f>IFERROR(IF(DIVIDENDOS[[#This Row],[Data Pagamento]]="","",DIVIDENDOS[[#This Row],[Data Pagamento]]),"")</f>
        <v/>
      </c>
      <c r="E716" s="168" t="n"/>
      <c r="F716" s="106" t="n"/>
    </row>
    <row r="717">
      <c r="A717" s="101">
        <f>YEAR(DIVIDENDOS[[#This Row],[Data Pagamento]])</f>
        <v/>
      </c>
      <c r="C717" s="103">
        <f>IFERROR(IF(DIVIDENDOS[[#This Row],[Data Pagamento]]="","",EOMONTH(B717,0)),"")</f>
        <v/>
      </c>
      <c r="D717" s="104">
        <f>IFERROR(IF(DIVIDENDOS[[#This Row],[Data Pagamento]]="","",DIVIDENDOS[[#This Row],[Data Pagamento]]),"")</f>
        <v/>
      </c>
      <c r="E717" s="168" t="n"/>
      <c r="F717" s="106" t="n"/>
    </row>
    <row r="718">
      <c r="A718" s="101">
        <f>YEAR(DIVIDENDOS[[#This Row],[Data Pagamento]])</f>
        <v/>
      </c>
      <c r="C718" s="103">
        <f>IFERROR(IF(DIVIDENDOS[[#This Row],[Data Pagamento]]="","",EOMONTH(B718,0)),"")</f>
        <v/>
      </c>
      <c r="D718" s="104">
        <f>IFERROR(IF(DIVIDENDOS[[#This Row],[Data Pagamento]]="","",DIVIDENDOS[[#This Row],[Data Pagamento]]),"")</f>
        <v/>
      </c>
      <c r="E718" s="168" t="n"/>
      <c r="F718" s="106" t="n"/>
    </row>
    <row r="719">
      <c r="A719" s="101">
        <f>YEAR(DIVIDENDOS[[#This Row],[Data Pagamento]])</f>
        <v/>
      </c>
      <c r="C719" s="103">
        <f>IFERROR(IF(DIVIDENDOS[[#This Row],[Data Pagamento]]="","",EOMONTH(B719,0)),"")</f>
        <v/>
      </c>
      <c r="D719" s="104">
        <f>IFERROR(IF(DIVIDENDOS[[#This Row],[Data Pagamento]]="","",DIVIDENDOS[[#This Row],[Data Pagamento]]),"")</f>
        <v/>
      </c>
      <c r="E719" s="168" t="n"/>
      <c r="F719" s="106" t="n"/>
    </row>
    <row r="720">
      <c r="A720" s="101">
        <f>YEAR(DIVIDENDOS[[#This Row],[Data Pagamento]])</f>
        <v/>
      </c>
      <c r="C720" s="103">
        <f>IFERROR(IF(DIVIDENDOS[[#This Row],[Data Pagamento]]="","",EOMONTH(B720,0)),"")</f>
        <v/>
      </c>
      <c r="D720" s="104">
        <f>IFERROR(IF(DIVIDENDOS[[#This Row],[Data Pagamento]]="","",DIVIDENDOS[[#This Row],[Data Pagamento]]),"")</f>
        <v/>
      </c>
      <c r="E720" s="168" t="n"/>
      <c r="F720" s="106" t="n"/>
    </row>
    <row r="721">
      <c r="A721" s="101">
        <f>YEAR(DIVIDENDOS[[#This Row],[Data Pagamento]])</f>
        <v/>
      </c>
      <c r="C721" s="103">
        <f>IFERROR(IF(DIVIDENDOS[[#This Row],[Data Pagamento]]="","",EOMONTH(B721,0)),"")</f>
        <v/>
      </c>
      <c r="D721" s="104">
        <f>IFERROR(IF(DIVIDENDOS[[#This Row],[Data Pagamento]]="","",DIVIDENDOS[[#This Row],[Data Pagamento]]),"")</f>
        <v/>
      </c>
      <c r="E721" s="168" t="n"/>
      <c r="F721" s="106" t="n"/>
    </row>
    <row r="722">
      <c r="A722" s="101">
        <f>YEAR(DIVIDENDOS[[#This Row],[Data Pagamento]])</f>
        <v/>
      </c>
      <c r="C722" s="103">
        <f>IFERROR(IF(DIVIDENDOS[[#This Row],[Data Pagamento]]="","",EOMONTH(B722,0)),"")</f>
        <v/>
      </c>
      <c r="D722" s="104">
        <f>IFERROR(IF(DIVIDENDOS[[#This Row],[Data Pagamento]]="","",DIVIDENDOS[[#This Row],[Data Pagamento]]),"")</f>
        <v/>
      </c>
      <c r="E722" s="168" t="n"/>
      <c r="F722" s="106" t="n"/>
    </row>
    <row r="723">
      <c r="A723" s="101">
        <f>YEAR(DIVIDENDOS[[#This Row],[Data Pagamento]])</f>
        <v/>
      </c>
      <c r="C723" s="103">
        <f>IFERROR(IF(DIVIDENDOS[[#This Row],[Data Pagamento]]="","",EOMONTH(B723,0)),"")</f>
        <v/>
      </c>
      <c r="D723" s="104">
        <f>IFERROR(IF(DIVIDENDOS[[#This Row],[Data Pagamento]]="","",DIVIDENDOS[[#This Row],[Data Pagamento]]),"")</f>
        <v/>
      </c>
      <c r="E723" s="168" t="n"/>
      <c r="F723" s="106" t="n"/>
    </row>
    <row r="724">
      <c r="A724" s="101">
        <f>YEAR(DIVIDENDOS[[#This Row],[Data Pagamento]])</f>
        <v/>
      </c>
      <c r="C724" s="103">
        <f>IFERROR(IF(DIVIDENDOS[[#This Row],[Data Pagamento]]="","",EOMONTH(B724,0)),"")</f>
        <v/>
      </c>
      <c r="D724" s="104">
        <f>IFERROR(IF(DIVIDENDOS[[#This Row],[Data Pagamento]]="","",DIVIDENDOS[[#This Row],[Data Pagamento]]),"")</f>
        <v/>
      </c>
      <c r="E724" s="168" t="n"/>
      <c r="F724" s="106" t="n"/>
    </row>
    <row r="725">
      <c r="A725" s="101">
        <f>YEAR(DIVIDENDOS[[#This Row],[Data Pagamento]])</f>
        <v/>
      </c>
      <c r="C725" s="103">
        <f>IFERROR(IF(DIVIDENDOS[[#This Row],[Data Pagamento]]="","",EOMONTH(B725,0)),"")</f>
        <v/>
      </c>
      <c r="D725" s="104">
        <f>IFERROR(IF(DIVIDENDOS[[#This Row],[Data Pagamento]]="","",DIVIDENDOS[[#This Row],[Data Pagamento]]),"")</f>
        <v/>
      </c>
      <c r="E725" s="168" t="n"/>
      <c r="F725" s="106" t="n"/>
    </row>
    <row r="726">
      <c r="A726" s="101">
        <f>YEAR(DIVIDENDOS[[#This Row],[Data Pagamento]])</f>
        <v/>
      </c>
      <c r="C726" s="103">
        <f>IFERROR(IF(DIVIDENDOS[[#This Row],[Data Pagamento]]="","",EOMONTH(B726,0)),"")</f>
        <v/>
      </c>
      <c r="D726" s="104">
        <f>IFERROR(IF(DIVIDENDOS[[#This Row],[Data Pagamento]]="","",DIVIDENDOS[[#This Row],[Data Pagamento]]),"")</f>
        <v/>
      </c>
      <c r="E726" s="168" t="n"/>
      <c r="F726" s="106" t="n"/>
    </row>
    <row r="727">
      <c r="A727" s="101">
        <f>YEAR(DIVIDENDOS[[#This Row],[Data Pagamento]])</f>
        <v/>
      </c>
      <c r="C727" s="103">
        <f>IFERROR(IF(DIVIDENDOS[[#This Row],[Data Pagamento]]="","",EOMONTH(B727,0)),"")</f>
        <v/>
      </c>
      <c r="D727" s="104">
        <f>IFERROR(IF(DIVIDENDOS[[#This Row],[Data Pagamento]]="","",DIVIDENDOS[[#This Row],[Data Pagamento]]),"")</f>
        <v/>
      </c>
      <c r="E727" s="168" t="n"/>
      <c r="F727" s="106" t="n"/>
    </row>
    <row r="728">
      <c r="A728" s="101">
        <f>YEAR(DIVIDENDOS[[#This Row],[Data Pagamento]])</f>
        <v/>
      </c>
      <c r="C728" s="103">
        <f>IFERROR(IF(DIVIDENDOS[[#This Row],[Data Pagamento]]="","",EOMONTH(B728,0)),"")</f>
        <v/>
      </c>
      <c r="D728" s="104">
        <f>IFERROR(IF(DIVIDENDOS[[#This Row],[Data Pagamento]]="","",DIVIDENDOS[[#This Row],[Data Pagamento]]),"")</f>
        <v/>
      </c>
      <c r="E728" s="168" t="n"/>
      <c r="F728" s="106" t="n"/>
    </row>
    <row r="729">
      <c r="A729" s="101">
        <f>YEAR(DIVIDENDOS[[#This Row],[Data Pagamento]])</f>
        <v/>
      </c>
      <c r="C729" s="103">
        <f>IFERROR(IF(DIVIDENDOS[[#This Row],[Data Pagamento]]="","",EOMONTH(B729,0)),"")</f>
        <v/>
      </c>
      <c r="D729" s="104">
        <f>IFERROR(IF(DIVIDENDOS[[#This Row],[Data Pagamento]]="","",DIVIDENDOS[[#This Row],[Data Pagamento]]),"")</f>
        <v/>
      </c>
      <c r="E729" s="168" t="n"/>
      <c r="F729" s="106" t="n"/>
    </row>
    <row r="730">
      <c r="A730" s="101">
        <f>YEAR(DIVIDENDOS[[#This Row],[Data Pagamento]])</f>
        <v/>
      </c>
      <c r="C730" s="103">
        <f>IFERROR(IF(DIVIDENDOS[[#This Row],[Data Pagamento]]="","",EOMONTH(B730,0)),"")</f>
        <v/>
      </c>
      <c r="D730" s="104">
        <f>IFERROR(IF(DIVIDENDOS[[#This Row],[Data Pagamento]]="","",DIVIDENDOS[[#This Row],[Data Pagamento]]),"")</f>
        <v/>
      </c>
      <c r="E730" s="168" t="n"/>
      <c r="F730" s="106" t="n"/>
    </row>
    <row r="731">
      <c r="A731" s="101">
        <f>YEAR(DIVIDENDOS[[#This Row],[Data Pagamento]])</f>
        <v/>
      </c>
      <c r="C731" s="103">
        <f>IFERROR(IF(DIVIDENDOS[[#This Row],[Data Pagamento]]="","",EOMONTH(B731,0)),"")</f>
        <v/>
      </c>
      <c r="D731" s="104">
        <f>IFERROR(IF(DIVIDENDOS[[#This Row],[Data Pagamento]]="","",DIVIDENDOS[[#This Row],[Data Pagamento]]),"")</f>
        <v/>
      </c>
      <c r="E731" s="168" t="n"/>
      <c r="F731" s="106" t="n"/>
    </row>
    <row r="732">
      <c r="A732" s="101">
        <f>YEAR(DIVIDENDOS[[#This Row],[Data Pagamento]])</f>
        <v/>
      </c>
      <c r="C732" s="103">
        <f>IFERROR(IF(DIVIDENDOS[[#This Row],[Data Pagamento]]="","",EOMONTH(B732,0)),"")</f>
        <v/>
      </c>
      <c r="D732" s="104">
        <f>IFERROR(IF(DIVIDENDOS[[#This Row],[Data Pagamento]]="","",DIVIDENDOS[[#This Row],[Data Pagamento]]),"")</f>
        <v/>
      </c>
      <c r="E732" s="168" t="n"/>
      <c r="F732" s="106" t="n"/>
    </row>
    <row r="733">
      <c r="A733" s="101">
        <f>YEAR(DIVIDENDOS[[#This Row],[Data Pagamento]])</f>
        <v/>
      </c>
      <c r="C733" s="103">
        <f>IFERROR(IF(DIVIDENDOS[[#This Row],[Data Pagamento]]="","",EOMONTH(B733,0)),"")</f>
        <v/>
      </c>
      <c r="D733" s="104">
        <f>IFERROR(IF(DIVIDENDOS[[#This Row],[Data Pagamento]]="","",DIVIDENDOS[[#This Row],[Data Pagamento]]),"")</f>
        <v/>
      </c>
      <c r="E733" s="168" t="n"/>
      <c r="F733" s="106" t="n"/>
    </row>
    <row r="734">
      <c r="A734" s="101">
        <f>YEAR(DIVIDENDOS[[#This Row],[Data Pagamento]])</f>
        <v/>
      </c>
      <c r="C734" s="103">
        <f>IFERROR(IF(DIVIDENDOS[[#This Row],[Data Pagamento]]="","",EOMONTH(B734,0)),"")</f>
        <v/>
      </c>
      <c r="D734" s="104">
        <f>IFERROR(IF(DIVIDENDOS[[#This Row],[Data Pagamento]]="","",DIVIDENDOS[[#This Row],[Data Pagamento]]),"")</f>
        <v/>
      </c>
      <c r="E734" s="168" t="n"/>
      <c r="F734" s="106" t="n"/>
    </row>
    <row r="735">
      <c r="A735" s="101">
        <f>YEAR(DIVIDENDOS[[#This Row],[Data Pagamento]])</f>
        <v/>
      </c>
      <c r="C735" s="103">
        <f>IFERROR(IF(DIVIDENDOS[[#This Row],[Data Pagamento]]="","",EOMONTH(B735,0)),"")</f>
        <v/>
      </c>
      <c r="D735" s="104">
        <f>IFERROR(IF(DIVIDENDOS[[#This Row],[Data Pagamento]]="","",DIVIDENDOS[[#This Row],[Data Pagamento]]),"")</f>
        <v/>
      </c>
      <c r="E735" s="168" t="n"/>
      <c r="F735" s="106" t="n"/>
    </row>
    <row r="736">
      <c r="A736" s="101">
        <f>YEAR(DIVIDENDOS[[#This Row],[Data Pagamento]])</f>
        <v/>
      </c>
      <c r="C736" s="103">
        <f>IFERROR(IF(DIVIDENDOS[[#This Row],[Data Pagamento]]="","",EOMONTH(B736,0)),"")</f>
        <v/>
      </c>
      <c r="D736" s="104">
        <f>IFERROR(IF(DIVIDENDOS[[#This Row],[Data Pagamento]]="","",DIVIDENDOS[[#This Row],[Data Pagamento]]),"")</f>
        <v/>
      </c>
      <c r="E736" s="168" t="n"/>
      <c r="F736" s="106" t="n"/>
    </row>
    <row r="737">
      <c r="A737" s="101">
        <f>YEAR(DIVIDENDOS[[#This Row],[Data Pagamento]])</f>
        <v/>
      </c>
      <c r="C737" s="103">
        <f>IFERROR(IF(DIVIDENDOS[[#This Row],[Data Pagamento]]="","",EOMONTH(B737,0)),"")</f>
        <v/>
      </c>
      <c r="D737" s="104">
        <f>IFERROR(IF(DIVIDENDOS[[#This Row],[Data Pagamento]]="","",DIVIDENDOS[[#This Row],[Data Pagamento]]),"")</f>
        <v/>
      </c>
      <c r="E737" s="168" t="n"/>
      <c r="F737" s="106" t="n"/>
    </row>
    <row r="738">
      <c r="A738" s="101">
        <f>YEAR(DIVIDENDOS[[#This Row],[Data Pagamento]])</f>
        <v/>
      </c>
      <c r="C738" s="103">
        <f>IFERROR(IF(DIVIDENDOS[[#This Row],[Data Pagamento]]="","",EOMONTH(B738,0)),"")</f>
        <v/>
      </c>
      <c r="D738" s="104">
        <f>IFERROR(IF(DIVIDENDOS[[#This Row],[Data Pagamento]]="","",DIVIDENDOS[[#This Row],[Data Pagamento]]),"")</f>
        <v/>
      </c>
      <c r="E738" s="168" t="n"/>
      <c r="F738" s="106" t="n"/>
    </row>
    <row r="739">
      <c r="A739" s="101">
        <f>YEAR(DIVIDENDOS[[#This Row],[Data Pagamento]])</f>
        <v/>
      </c>
      <c r="C739" s="103">
        <f>IFERROR(IF(DIVIDENDOS[[#This Row],[Data Pagamento]]="","",EOMONTH(B739,0)),"")</f>
        <v/>
      </c>
      <c r="D739" s="104">
        <f>IFERROR(IF(DIVIDENDOS[[#This Row],[Data Pagamento]]="","",DIVIDENDOS[[#This Row],[Data Pagamento]]),"")</f>
        <v/>
      </c>
      <c r="E739" s="168" t="n"/>
      <c r="F739" s="106" t="n"/>
    </row>
    <row r="740">
      <c r="A740" s="101">
        <f>YEAR(DIVIDENDOS[[#This Row],[Data Pagamento]])</f>
        <v/>
      </c>
      <c r="C740" s="103">
        <f>IFERROR(IF(DIVIDENDOS[[#This Row],[Data Pagamento]]="","",EOMONTH(B740,0)),"")</f>
        <v/>
      </c>
      <c r="D740" s="104">
        <f>IFERROR(IF(DIVIDENDOS[[#This Row],[Data Pagamento]]="","",DIVIDENDOS[[#This Row],[Data Pagamento]]),"")</f>
        <v/>
      </c>
      <c r="E740" s="168" t="n"/>
      <c r="F740" s="106" t="n"/>
    </row>
    <row r="741">
      <c r="A741" s="101">
        <f>YEAR(DIVIDENDOS[[#This Row],[Data Pagamento]])</f>
        <v/>
      </c>
      <c r="C741" s="103">
        <f>IFERROR(IF(DIVIDENDOS[[#This Row],[Data Pagamento]]="","",EOMONTH(B741,0)),"")</f>
        <v/>
      </c>
      <c r="D741" s="104">
        <f>IFERROR(IF(DIVIDENDOS[[#This Row],[Data Pagamento]]="","",DIVIDENDOS[[#This Row],[Data Pagamento]]),"")</f>
        <v/>
      </c>
      <c r="E741" s="168" t="n"/>
      <c r="F741" s="106" t="n"/>
    </row>
    <row r="742">
      <c r="A742" s="101">
        <f>YEAR(DIVIDENDOS[[#This Row],[Data Pagamento]])</f>
        <v/>
      </c>
      <c r="C742" s="103">
        <f>IFERROR(IF(DIVIDENDOS[[#This Row],[Data Pagamento]]="","",EOMONTH(B742,0)),"")</f>
        <v/>
      </c>
      <c r="D742" s="104">
        <f>IFERROR(IF(DIVIDENDOS[[#This Row],[Data Pagamento]]="","",DIVIDENDOS[[#This Row],[Data Pagamento]]),"")</f>
        <v/>
      </c>
      <c r="E742" s="168" t="n"/>
      <c r="F742" s="106" t="n"/>
    </row>
    <row r="743">
      <c r="A743" s="101">
        <f>YEAR(DIVIDENDOS[[#This Row],[Data Pagamento]])</f>
        <v/>
      </c>
      <c r="C743" s="103">
        <f>IFERROR(IF(DIVIDENDOS[[#This Row],[Data Pagamento]]="","",EOMONTH(B743,0)),"")</f>
        <v/>
      </c>
      <c r="D743" s="104">
        <f>IFERROR(IF(DIVIDENDOS[[#This Row],[Data Pagamento]]="","",DIVIDENDOS[[#This Row],[Data Pagamento]]),"")</f>
        <v/>
      </c>
      <c r="E743" s="168" t="n"/>
      <c r="F743" s="106" t="n"/>
    </row>
    <row r="744">
      <c r="A744" s="101">
        <f>YEAR(DIVIDENDOS[[#This Row],[Data Pagamento]])</f>
        <v/>
      </c>
      <c r="C744" s="103">
        <f>IFERROR(IF(DIVIDENDOS[[#This Row],[Data Pagamento]]="","",EOMONTH(B744,0)),"")</f>
        <v/>
      </c>
      <c r="D744" s="104">
        <f>IFERROR(IF(DIVIDENDOS[[#This Row],[Data Pagamento]]="","",DIVIDENDOS[[#This Row],[Data Pagamento]]),"")</f>
        <v/>
      </c>
      <c r="E744" s="168" t="n"/>
      <c r="F744" s="106" t="n"/>
    </row>
    <row r="745">
      <c r="A745" s="101">
        <f>YEAR(DIVIDENDOS[[#This Row],[Data Pagamento]])</f>
        <v/>
      </c>
      <c r="C745" s="103">
        <f>IFERROR(IF(DIVIDENDOS[[#This Row],[Data Pagamento]]="","",EOMONTH(B745,0)),"")</f>
        <v/>
      </c>
      <c r="D745" s="104">
        <f>IFERROR(IF(DIVIDENDOS[[#This Row],[Data Pagamento]]="","",DIVIDENDOS[[#This Row],[Data Pagamento]]),"")</f>
        <v/>
      </c>
      <c r="E745" s="168" t="n"/>
      <c r="F745" s="106" t="n"/>
    </row>
    <row r="746">
      <c r="A746" s="101">
        <f>YEAR(DIVIDENDOS[[#This Row],[Data Pagamento]])</f>
        <v/>
      </c>
      <c r="C746" s="103">
        <f>IFERROR(IF(DIVIDENDOS[[#This Row],[Data Pagamento]]="","",EOMONTH(B746,0)),"")</f>
        <v/>
      </c>
      <c r="D746" s="104">
        <f>IFERROR(IF(DIVIDENDOS[[#This Row],[Data Pagamento]]="","",DIVIDENDOS[[#This Row],[Data Pagamento]]),"")</f>
        <v/>
      </c>
      <c r="E746" s="168" t="n"/>
      <c r="F746" s="106" t="n"/>
    </row>
    <row r="747">
      <c r="A747" s="101">
        <f>YEAR(DIVIDENDOS[[#This Row],[Data Pagamento]])</f>
        <v/>
      </c>
      <c r="C747" s="103">
        <f>IFERROR(IF(DIVIDENDOS[[#This Row],[Data Pagamento]]="","",EOMONTH(B747,0)),"")</f>
        <v/>
      </c>
      <c r="D747" s="104">
        <f>IFERROR(IF(DIVIDENDOS[[#This Row],[Data Pagamento]]="","",DIVIDENDOS[[#This Row],[Data Pagamento]]),"")</f>
        <v/>
      </c>
      <c r="E747" s="168" t="n"/>
      <c r="F747" s="106" t="n"/>
    </row>
    <row r="748">
      <c r="A748" s="101">
        <f>YEAR(DIVIDENDOS[[#This Row],[Data Pagamento]])</f>
        <v/>
      </c>
      <c r="C748" s="103">
        <f>IFERROR(IF(DIVIDENDOS[[#This Row],[Data Pagamento]]="","",EOMONTH(B748,0)),"")</f>
        <v/>
      </c>
      <c r="D748" s="104">
        <f>IFERROR(IF(DIVIDENDOS[[#This Row],[Data Pagamento]]="","",DIVIDENDOS[[#This Row],[Data Pagamento]]),"")</f>
        <v/>
      </c>
      <c r="E748" s="168" t="n"/>
      <c r="F748" s="106" t="n"/>
    </row>
    <row r="749">
      <c r="A749" s="101">
        <f>YEAR(DIVIDENDOS[[#This Row],[Data Pagamento]])</f>
        <v/>
      </c>
      <c r="C749" s="103">
        <f>IFERROR(IF(DIVIDENDOS[[#This Row],[Data Pagamento]]="","",EOMONTH(B749,0)),"")</f>
        <v/>
      </c>
      <c r="D749" s="104">
        <f>IFERROR(IF(DIVIDENDOS[[#This Row],[Data Pagamento]]="","",DIVIDENDOS[[#This Row],[Data Pagamento]]),"")</f>
        <v/>
      </c>
      <c r="E749" s="168" t="n"/>
      <c r="F749" s="106" t="n"/>
    </row>
    <row r="750">
      <c r="A750" s="101">
        <f>YEAR(DIVIDENDOS[[#This Row],[Data Pagamento]])</f>
        <v/>
      </c>
      <c r="C750" s="103">
        <f>IFERROR(IF(DIVIDENDOS[[#This Row],[Data Pagamento]]="","",EOMONTH(B750,0)),"")</f>
        <v/>
      </c>
      <c r="D750" s="104">
        <f>IFERROR(IF(DIVIDENDOS[[#This Row],[Data Pagamento]]="","",DIVIDENDOS[[#This Row],[Data Pagamento]]),"")</f>
        <v/>
      </c>
      <c r="E750" s="168" t="n"/>
      <c r="F750" s="106" t="n"/>
    </row>
    <row r="751">
      <c r="A751" s="101">
        <f>YEAR(DIVIDENDOS[[#This Row],[Data Pagamento]])</f>
        <v/>
      </c>
      <c r="C751" s="103">
        <f>IFERROR(IF(DIVIDENDOS[[#This Row],[Data Pagamento]]="","",EOMONTH(B751,0)),"")</f>
        <v/>
      </c>
      <c r="D751" s="104">
        <f>IFERROR(IF(DIVIDENDOS[[#This Row],[Data Pagamento]]="","",DIVIDENDOS[[#This Row],[Data Pagamento]]),"")</f>
        <v/>
      </c>
      <c r="E751" s="168" t="n"/>
      <c r="F751" s="106" t="n"/>
    </row>
    <row r="752">
      <c r="A752" s="101">
        <f>YEAR(DIVIDENDOS[[#This Row],[Data Pagamento]])</f>
        <v/>
      </c>
      <c r="C752" s="103">
        <f>IFERROR(IF(DIVIDENDOS[[#This Row],[Data Pagamento]]="","",EOMONTH(B752,0)),"")</f>
        <v/>
      </c>
      <c r="D752" s="104">
        <f>IFERROR(IF(DIVIDENDOS[[#This Row],[Data Pagamento]]="","",DIVIDENDOS[[#This Row],[Data Pagamento]]),"")</f>
        <v/>
      </c>
      <c r="E752" s="168" t="n"/>
      <c r="F752" s="106" t="n"/>
    </row>
    <row r="753">
      <c r="A753" s="101">
        <f>YEAR(DIVIDENDOS[[#This Row],[Data Pagamento]])</f>
        <v/>
      </c>
      <c r="C753" s="103">
        <f>IFERROR(IF(DIVIDENDOS[[#This Row],[Data Pagamento]]="","",EOMONTH(B753,0)),"")</f>
        <v/>
      </c>
      <c r="D753" s="104">
        <f>IFERROR(IF(DIVIDENDOS[[#This Row],[Data Pagamento]]="","",DIVIDENDOS[[#This Row],[Data Pagamento]]),"")</f>
        <v/>
      </c>
      <c r="E753" s="168" t="n"/>
      <c r="F753" s="106" t="n"/>
    </row>
    <row r="754">
      <c r="A754" s="101">
        <f>YEAR(DIVIDENDOS[[#This Row],[Data Pagamento]])</f>
        <v/>
      </c>
      <c r="C754" s="103">
        <f>IFERROR(IF(DIVIDENDOS[[#This Row],[Data Pagamento]]="","",EOMONTH(B754,0)),"")</f>
        <v/>
      </c>
      <c r="D754" s="104">
        <f>IFERROR(IF(DIVIDENDOS[[#This Row],[Data Pagamento]]="","",DIVIDENDOS[[#This Row],[Data Pagamento]]),"")</f>
        <v/>
      </c>
      <c r="E754" s="168" t="n"/>
      <c r="F754" s="106" t="n"/>
    </row>
    <row r="755">
      <c r="A755" s="101">
        <f>YEAR(DIVIDENDOS[[#This Row],[Data Pagamento]])</f>
        <v/>
      </c>
      <c r="C755" s="103">
        <f>IFERROR(IF(DIVIDENDOS[[#This Row],[Data Pagamento]]="","",EOMONTH(B755,0)),"")</f>
        <v/>
      </c>
      <c r="D755" s="104">
        <f>IFERROR(IF(DIVIDENDOS[[#This Row],[Data Pagamento]]="","",DIVIDENDOS[[#This Row],[Data Pagamento]]),"")</f>
        <v/>
      </c>
      <c r="E755" s="168" t="n"/>
      <c r="F755" s="106" t="n"/>
    </row>
    <row r="756">
      <c r="A756" s="101">
        <f>YEAR(DIVIDENDOS[[#This Row],[Data Pagamento]])</f>
        <v/>
      </c>
      <c r="C756" s="103">
        <f>IFERROR(IF(DIVIDENDOS[[#This Row],[Data Pagamento]]="","",EOMONTH(B756,0)),"")</f>
        <v/>
      </c>
      <c r="D756" s="104">
        <f>IFERROR(IF(DIVIDENDOS[[#This Row],[Data Pagamento]]="","",DIVIDENDOS[[#This Row],[Data Pagamento]]),"")</f>
        <v/>
      </c>
      <c r="E756" s="168" t="n"/>
      <c r="F756" s="106" t="n"/>
    </row>
    <row r="757">
      <c r="A757" s="101">
        <f>YEAR(DIVIDENDOS[[#This Row],[Data Pagamento]])</f>
        <v/>
      </c>
      <c r="C757" s="103">
        <f>IFERROR(IF(DIVIDENDOS[[#This Row],[Data Pagamento]]="","",EOMONTH(B757,0)),"")</f>
        <v/>
      </c>
      <c r="D757" s="104">
        <f>IFERROR(IF(DIVIDENDOS[[#This Row],[Data Pagamento]]="","",DIVIDENDOS[[#This Row],[Data Pagamento]]),"")</f>
        <v/>
      </c>
      <c r="E757" s="168" t="n"/>
      <c r="F757" s="106" t="n"/>
    </row>
    <row r="758">
      <c r="A758" s="101">
        <f>YEAR(DIVIDENDOS[[#This Row],[Data Pagamento]])</f>
        <v/>
      </c>
      <c r="C758" s="103">
        <f>IFERROR(IF(DIVIDENDOS[[#This Row],[Data Pagamento]]="","",EOMONTH(B758,0)),"")</f>
        <v/>
      </c>
      <c r="D758" s="104">
        <f>IFERROR(IF(DIVIDENDOS[[#This Row],[Data Pagamento]]="","",DIVIDENDOS[[#This Row],[Data Pagamento]]),"")</f>
        <v/>
      </c>
      <c r="E758" s="168" t="n"/>
      <c r="F758" s="106" t="n"/>
    </row>
    <row r="759">
      <c r="A759" s="101">
        <f>YEAR(DIVIDENDOS[[#This Row],[Data Pagamento]])</f>
        <v/>
      </c>
      <c r="C759" s="103">
        <f>IFERROR(IF(DIVIDENDOS[[#This Row],[Data Pagamento]]="","",EOMONTH(B759,0)),"")</f>
        <v/>
      </c>
      <c r="D759" s="104">
        <f>IFERROR(IF(DIVIDENDOS[[#This Row],[Data Pagamento]]="","",DIVIDENDOS[[#This Row],[Data Pagamento]]),"")</f>
        <v/>
      </c>
      <c r="E759" s="168" t="n"/>
      <c r="F759" s="106" t="n"/>
    </row>
    <row r="760">
      <c r="A760" s="101">
        <f>YEAR(DIVIDENDOS[[#This Row],[Data Pagamento]])</f>
        <v/>
      </c>
      <c r="C760" s="103">
        <f>IFERROR(IF(DIVIDENDOS[[#This Row],[Data Pagamento]]="","",EOMONTH(B760,0)),"")</f>
        <v/>
      </c>
      <c r="D760" s="104">
        <f>IFERROR(IF(DIVIDENDOS[[#This Row],[Data Pagamento]]="","",DIVIDENDOS[[#This Row],[Data Pagamento]]),"")</f>
        <v/>
      </c>
      <c r="E760" s="168" t="n"/>
      <c r="F760" s="106" t="n"/>
    </row>
    <row r="761">
      <c r="A761" s="101">
        <f>YEAR(DIVIDENDOS[[#This Row],[Data Pagamento]])</f>
        <v/>
      </c>
      <c r="C761" s="103">
        <f>IFERROR(IF(DIVIDENDOS[[#This Row],[Data Pagamento]]="","",EOMONTH(B761,0)),"")</f>
        <v/>
      </c>
      <c r="D761" s="104">
        <f>IFERROR(IF(DIVIDENDOS[[#This Row],[Data Pagamento]]="","",DIVIDENDOS[[#This Row],[Data Pagamento]]),"")</f>
        <v/>
      </c>
      <c r="E761" s="168" t="n"/>
      <c r="F761" s="106" t="n"/>
    </row>
    <row r="762">
      <c r="A762" s="101">
        <f>YEAR(DIVIDENDOS[[#This Row],[Data Pagamento]])</f>
        <v/>
      </c>
      <c r="C762" s="103">
        <f>IFERROR(IF(DIVIDENDOS[[#This Row],[Data Pagamento]]="","",EOMONTH(B762,0)),"")</f>
        <v/>
      </c>
      <c r="D762" s="104">
        <f>IFERROR(IF(DIVIDENDOS[[#This Row],[Data Pagamento]]="","",DIVIDENDOS[[#This Row],[Data Pagamento]]),"")</f>
        <v/>
      </c>
      <c r="E762" s="168" t="n"/>
      <c r="F762" s="106" t="n"/>
    </row>
    <row r="763">
      <c r="A763" s="101">
        <f>YEAR(DIVIDENDOS[[#This Row],[Data Pagamento]])</f>
        <v/>
      </c>
      <c r="C763" s="103">
        <f>IFERROR(IF(DIVIDENDOS[[#This Row],[Data Pagamento]]="","",EOMONTH(B763,0)),"")</f>
        <v/>
      </c>
      <c r="D763" s="104">
        <f>IFERROR(IF(DIVIDENDOS[[#This Row],[Data Pagamento]]="","",DIVIDENDOS[[#This Row],[Data Pagamento]]),"")</f>
        <v/>
      </c>
      <c r="E763" s="168" t="n"/>
      <c r="F763" s="106" t="n"/>
    </row>
    <row r="764">
      <c r="A764" s="101">
        <f>YEAR(DIVIDENDOS[[#This Row],[Data Pagamento]])</f>
        <v/>
      </c>
      <c r="C764" s="103">
        <f>IFERROR(IF(DIVIDENDOS[[#This Row],[Data Pagamento]]="","",EOMONTH(B764,0)),"")</f>
        <v/>
      </c>
      <c r="D764" s="104">
        <f>IFERROR(IF(DIVIDENDOS[[#This Row],[Data Pagamento]]="","",DIVIDENDOS[[#This Row],[Data Pagamento]]),"")</f>
        <v/>
      </c>
      <c r="E764" s="168" t="n"/>
      <c r="F764" s="106" t="n"/>
    </row>
    <row r="765">
      <c r="A765" s="101">
        <f>YEAR(DIVIDENDOS[[#This Row],[Data Pagamento]])</f>
        <v/>
      </c>
      <c r="C765" s="103">
        <f>IFERROR(IF(DIVIDENDOS[[#This Row],[Data Pagamento]]="","",EOMONTH(B765,0)),"")</f>
        <v/>
      </c>
      <c r="D765" s="104">
        <f>IFERROR(IF(DIVIDENDOS[[#This Row],[Data Pagamento]]="","",DIVIDENDOS[[#This Row],[Data Pagamento]]),"")</f>
        <v/>
      </c>
      <c r="E765" s="168" t="n"/>
      <c r="F765" s="106" t="n"/>
    </row>
    <row r="766">
      <c r="A766" s="101">
        <f>YEAR(DIVIDENDOS[[#This Row],[Data Pagamento]])</f>
        <v/>
      </c>
      <c r="C766" s="103">
        <f>IFERROR(IF(DIVIDENDOS[[#This Row],[Data Pagamento]]="","",EOMONTH(B766,0)),"")</f>
        <v/>
      </c>
      <c r="D766" s="104">
        <f>IFERROR(IF(DIVIDENDOS[[#This Row],[Data Pagamento]]="","",DIVIDENDOS[[#This Row],[Data Pagamento]]),"")</f>
        <v/>
      </c>
      <c r="E766" s="168" t="n"/>
      <c r="F766" s="106" t="n"/>
    </row>
    <row r="767">
      <c r="A767" s="101">
        <f>YEAR(DIVIDENDOS[[#This Row],[Data Pagamento]])</f>
        <v/>
      </c>
      <c r="C767" s="103">
        <f>IFERROR(IF(DIVIDENDOS[[#This Row],[Data Pagamento]]="","",EOMONTH(B767,0)),"")</f>
        <v/>
      </c>
      <c r="D767" s="104">
        <f>IFERROR(IF(DIVIDENDOS[[#This Row],[Data Pagamento]]="","",DIVIDENDOS[[#This Row],[Data Pagamento]]),"")</f>
        <v/>
      </c>
      <c r="E767" s="168" t="n"/>
      <c r="F767" s="106" t="n"/>
    </row>
    <row r="768">
      <c r="A768" s="101">
        <f>YEAR(DIVIDENDOS[[#This Row],[Data Pagamento]])</f>
        <v/>
      </c>
      <c r="C768" s="103">
        <f>IFERROR(IF(DIVIDENDOS[[#This Row],[Data Pagamento]]="","",EOMONTH(B768,0)),"")</f>
        <v/>
      </c>
      <c r="D768" s="104">
        <f>IFERROR(IF(DIVIDENDOS[[#This Row],[Data Pagamento]]="","",DIVIDENDOS[[#This Row],[Data Pagamento]]),"")</f>
        <v/>
      </c>
      <c r="E768" s="168" t="n"/>
      <c r="F768" s="106" t="n"/>
    </row>
    <row r="769">
      <c r="A769" s="101">
        <f>YEAR(DIVIDENDOS[[#This Row],[Data Pagamento]])</f>
        <v/>
      </c>
      <c r="C769" s="103">
        <f>IFERROR(IF(DIVIDENDOS[[#This Row],[Data Pagamento]]="","",EOMONTH(B769,0)),"")</f>
        <v/>
      </c>
      <c r="D769" s="104">
        <f>IFERROR(IF(DIVIDENDOS[[#This Row],[Data Pagamento]]="","",DIVIDENDOS[[#This Row],[Data Pagamento]]),"")</f>
        <v/>
      </c>
      <c r="E769" s="168" t="n"/>
      <c r="F769" s="106" t="n"/>
    </row>
    <row r="770">
      <c r="A770" s="101">
        <f>YEAR(DIVIDENDOS[[#This Row],[Data Pagamento]])</f>
        <v/>
      </c>
      <c r="C770" s="103">
        <f>IFERROR(IF(DIVIDENDOS[[#This Row],[Data Pagamento]]="","",EOMONTH(B770,0)),"")</f>
        <v/>
      </c>
      <c r="D770" s="104">
        <f>IFERROR(IF(DIVIDENDOS[[#This Row],[Data Pagamento]]="","",DIVIDENDOS[[#This Row],[Data Pagamento]]),"")</f>
        <v/>
      </c>
      <c r="E770" s="168" t="n"/>
      <c r="F770" s="106" t="n"/>
    </row>
    <row r="771">
      <c r="A771" s="101">
        <f>YEAR(DIVIDENDOS[[#This Row],[Data Pagamento]])</f>
        <v/>
      </c>
      <c r="C771" s="103">
        <f>IFERROR(IF(DIVIDENDOS[[#This Row],[Data Pagamento]]="","",EOMONTH(B771,0)),"")</f>
        <v/>
      </c>
      <c r="D771" s="104">
        <f>IFERROR(IF(DIVIDENDOS[[#This Row],[Data Pagamento]]="","",DIVIDENDOS[[#This Row],[Data Pagamento]]),"")</f>
        <v/>
      </c>
      <c r="E771" s="168" t="n"/>
      <c r="F771" s="106" t="n"/>
    </row>
    <row r="772">
      <c r="A772" s="101">
        <f>YEAR(DIVIDENDOS[[#This Row],[Data Pagamento]])</f>
        <v/>
      </c>
      <c r="C772" s="103">
        <f>IFERROR(IF(DIVIDENDOS[[#This Row],[Data Pagamento]]="","",EOMONTH(B772,0)),"")</f>
        <v/>
      </c>
      <c r="D772" s="104">
        <f>IFERROR(IF(DIVIDENDOS[[#This Row],[Data Pagamento]]="","",DIVIDENDOS[[#This Row],[Data Pagamento]]),"")</f>
        <v/>
      </c>
      <c r="E772" s="168" t="n"/>
      <c r="F772" s="106" t="n"/>
    </row>
    <row r="773">
      <c r="A773" s="101">
        <f>YEAR(DIVIDENDOS[[#This Row],[Data Pagamento]])</f>
        <v/>
      </c>
      <c r="C773" s="103">
        <f>IFERROR(IF(DIVIDENDOS[[#This Row],[Data Pagamento]]="","",EOMONTH(B773,0)),"")</f>
        <v/>
      </c>
      <c r="D773" s="104">
        <f>IFERROR(IF(DIVIDENDOS[[#This Row],[Data Pagamento]]="","",DIVIDENDOS[[#This Row],[Data Pagamento]]),"")</f>
        <v/>
      </c>
      <c r="E773" s="168" t="n"/>
      <c r="F773" s="106" t="n"/>
    </row>
    <row r="774">
      <c r="A774" s="101">
        <f>YEAR(DIVIDENDOS[[#This Row],[Data Pagamento]])</f>
        <v/>
      </c>
      <c r="C774" s="103">
        <f>IFERROR(IF(DIVIDENDOS[[#This Row],[Data Pagamento]]="","",EOMONTH(B774,0)),"")</f>
        <v/>
      </c>
      <c r="D774" s="104">
        <f>IFERROR(IF(DIVIDENDOS[[#This Row],[Data Pagamento]]="","",DIVIDENDOS[[#This Row],[Data Pagamento]]),"")</f>
        <v/>
      </c>
      <c r="E774" s="168" t="n"/>
      <c r="F774" s="106" t="n"/>
    </row>
    <row r="775">
      <c r="A775" s="101">
        <f>YEAR(DIVIDENDOS[[#This Row],[Data Pagamento]])</f>
        <v/>
      </c>
      <c r="C775" s="103">
        <f>IFERROR(IF(DIVIDENDOS[[#This Row],[Data Pagamento]]="","",EOMONTH(B775,0)),"")</f>
        <v/>
      </c>
      <c r="D775" s="104">
        <f>IFERROR(IF(DIVIDENDOS[[#This Row],[Data Pagamento]]="","",DIVIDENDOS[[#This Row],[Data Pagamento]]),"")</f>
        <v/>
      </c>
      <c r="E775" s="168" t="n"/>
      <c r="F775" s="106" t="n"/>
    </row>
    <row r="776">
      <c r="A776" s="101">
        <f>YEAR(DIVIDENDOS[[#This Row],[Data Pagamento]])</f>
        <v/>
      </c>
      <c r="C776" s="103">
        <f>IFERROR(IF(DIVIDENDOS[[#This Row],[Data Pagamento]]="","",EOMONTH(B776,0)),"")</f>
        <v/>
      </c>
      <c r="D776" s="104">
        <f>IFERROR(IF(DIVIDENDOS[[#This Row],[Data Pagamento]]="","",DIVIDENDOS[[#This Row],[Data Pagamento]]),"")</f>
        <v/>
      </c>
      <c r="E776" s="168" t="n"/>
      <c r="F776" s="106" t="n"/>
    </row>
    <row r="777">
      <c r="A777" s="101">
        <f>YEAR(DIVIDENDOS[[#This Row],[Data Pagamento]])</f>
        <v/>
      </c>
      <c r="C777" s="103">
        <f>IFERROR(IF(DIVIDENDOS[[#This Row],[Data Pagamento]]="","",EOMONTH(B777,0)),"")</f>
        <v/>
      </c>
      <c r="D777" s="104">
        <f>IFERROR(IF(DIVIDENDOS[[#This Row],[Data Pagamento]]="","",DIVIDENDOS[[#This Row],[Data Pagamento]]),"")</f>
        <v/>
      </c>
      <c r="E777" s="168" t="n"/>
      <c r="F777" s="106" t="n"/>
    </row>
    <row r="778">
      <c r="A778" s="101">
        <f>YEAR(DIVIDENDOS[[#This Row],[Data Pagamento]])</f>
        <v/>
      </c>
      <c r="C778" s="103">
        <f>IFERROR(IF(DIVIDENDOS[[#This Row],[Data Pagamento]]="","",EOMONTH(B778,0)),"")</f>
        <v/>
      </c>
      <c r="D778" s="104">
        <f>IFERROR(IF(DIVIDENDOS[[#This Row],[Data Pagamento]]="","",DIVIDENDOS[[#This Row],[Data Pagamento]]),"")</f>
        <v/>
      </c>
      <c r="E778" s="168" t="n"/>
      <c r="F778" s="106" t="n"/>
    </row>
    <row r="779">
      <c r="A779" s="101">
        <f>YEAR(DIVIDENDOS[[#This Row],[Data Pagamento]])</f>
        <v/>
      </c>
      <c r="C779" s="103">
        <f>IFERROR(IF(DIVIDENDOS[[#This Row],[Data Pagamento]]="","",EOMONTH(B779,0)),"")</f>
        <v/>
      </c>
      <c r="D779" s="104">
        <f>IFERROR(IF(DIVIDENDOS[[#This Row],[Data Pagamento]]="","",DIVIDENDOS[[#This Row],[Data Pagamento]]),"")</f>
        <v/>
      </c>
      <c r="E779" s="168" t="n"/>
      <c r="F779" s="106" t="n"/>
    </row>
    <row r="780">
      <c r="A780" s="101">
        <f>YEAR(DIVIDENDOS[[#This Row],[Data Pagamento]])</f>
        <v/>
      </c>
      <c r="C780" s="103">
        <f>IFERROR(IF(DIVIDENDOS[[#This Row],[Data Pagamento]]="","",EOMONTH(B780,0)),"")</f>
        <v/>
      </c>
      <c r="D780" s="104">
        <f>IFERROR(IF(DIVIDENDOS[[#This Row],[Data Pagamento]]="","",DIVIDENDOS[[#This Row],[Data Pagamento]]),"")</f>
        <v/>
      </c>
      <c r="E780" s="168" t="n"/>
      <c r="F780" s="106" t="n"/>
    </row>
    <row r="781">
      <c r="A781" s="101">
        <f>YEAR(DIVIDENDOS[[#This Row],[Data Pagamento]])</f>
        <v/>
      </c>
      <c r="C781" s="103">
        <f>IFERROR(IF(DIVIDENDOS[[#This Row],[Data Pagamento]]="","",EOMONTH(B781,0)),"")</f>
        <v/>
      </c>
      <c r="D781" s="104">
        <f>IFERROR(IF(DIVIDENDOS[[#This Row],[Data Pagamento]]="","",DIVIDENDOS[[#This Row],[Data Pagamento]]),"")</f>
        <v/>
      </c>
      <c r="E781" s="168" t="n"/>
      <c r="F781" s="106" t="n"/>
    </row>
    <row r="782">
      <c r="A782" s="101">
        <f>YEAR(DIVIDENDOS[[#This Row],[Data Pagamento]])</f>
        <v/>
      </c>
      <c r="C782" s="103">
        <f>IFERROR(IF(DIVIDENDOS[[#This Row],[Data Pagamento]]="","",EOMONTH(B782,0)),"")</f>
        <v/>
      </c>
      <c r="D782" s="104">
        <f>IFERROR(IF(DIVIDENDOS[[#This Row],[Data Pagamento]]="","",DIVIDENDOS[[#This Row],[Data Pagamento]]),"")</f>
        <v/>
      </c>
      <c r="E782" s="168" t="n"/>
      <c r="F782" s="106" t="n"/>
    </row>
    <row r="783">
      <c r="A783" s="101">
        <f>YEAR(DIVIDENDOS[[#This Row],[Data Pagamento]])</f>
        <v/>
      </c>
      <c r="C783" s="103">
        <f>IFERROR(IF(DIVIDENDOS[[#This Row],[Data Pagamento]]="","",EOMONTH(B783,0)),"")</f>
        <v/>
      </c>
      <c r="D783" s="104">
        <f>IFERROR(IF(DIVIDENDOS[[#This Row],[Data Pagamento]]="","",DIVIDENDOS[[#This Row],[Data Pagamento]]),"")</f>
        <v/>
      </c>
      <c r="E783" s="168" t="n"/>
      <c r="F783" s="106" t="n"/>
    </row>
    <row r="784">
      <c r="A784" s="101">
        <f>YEAR(DIVIDENDOS[[#This Row],[Data Pagamento]])</f>
        <v/>
      </c>
      <c r="C784" s="103">
        <f>IFERROR(IF(DIVIDENDOS[[#This Row],[Data Pagamento]]="","",EOMONTH(B784,0)),"")</f>
        <v/>
      </c>
      <c r="D784" s="104">
        <f>IFERROR(IF(DIVIDENDOS[[#This Row],[Data Pagamento]]="","",DIVIDENDOS[[#This Row],[Data Pagamento]]),"")</f>
        <v/>
      </c>
      <c r="E784" s="168" t="n"/>
      <c r="F784" s="106" t="n"/>
    </row>
    <row r="785">
      <c r="A785" s="101">
        <f>YEAR(DIVIDENDOS[[#This Row],[Data Pagamento]])</f>
        <v/>
      </c>
      <c r="C785" s="103">
        <f>IFERROR(IF(DIVIDENDOS[[#This Row],[Data Pagamento]]="","",EOMONTH(B785,0)),"")</f>
        <v/>
      </c>
      <c r="D785" s="104">
        <f>IFERROR(IF(DIVIDENDOS[[#This Row],[Data Pagamento]]="","",DIVIDENDOS[[#This Row],[Data Pagamento]]),"")</f>
        <v/>
      </c>
      <c r="E785" s="168" t="n"/>
      <c r="F785" s="106" t="n"/>
    </row>
    <row r="786">
      <c r="A786" s="101">
        <f>YEAR(DIVIDENDOS[[#This Row],[Data Pagamento]])</f>
        <v/>
      </c>
      <c r="C786" s="103">
        <f>IFERROR(IF(DIVIDENDOS[[#This Row],[Data Pagamento]]="","",EOMONTH(B786,0)),"")</f>
        <v/>
      </c>
      <c r="D786" s="104">
        <f>IFERROR(IF(DIVIDENDOS[[#This Row],[Data Pagamento]]="","",DIVIDENDOS[[#This Row],[Data Pagamento]]),"")</f>
        <v/>
      </c>
      <c r="E786" s="168" t="n"/>
      <c r="F786" s="106" t="n"/>
    </row>
    <row r="787">
      <c r="A787" s="101">
        <f>YEAR(DIVIDENDOS[[#This Row],[Data Pagamento]])</f>
        <v/>
      </c>
      <c r="C787" s="103">
        <f>IFERROR(IF(DIVIDENDOS[[#This Row],[Data Pagamento]]="","",EOMONTH(B787,0)),"")</f>
        <v/>
      </c>
      <c r="D787" s="104">
        <f>IFERROR(IF(DIVIDENDOS[[#This Row],[Data Pagamento]]="","",DIVIDENDOS[[#This Row],[Data Pagamento]]),"")</f>
        <v/>
      </c>
      <c r="E787" s="168" t="n"/>
      <c r="F787" s="106" t="n"/>
    </row>
    <row r="788">
      <c r="A788" s="101">
        <f>YEAR(DIVIDENDOS[[#This Row],[Data Pagamento]])</f>
        <v/>
      </c>
      <c r="C788" s="103">
        <f>IFERROR(IF(DIVIDENDOS[[#This Row],[Data Pagamento]]="","",EOMONTH(B788,0)),"")</f>
        <v/>
      </c>
      <c r="D788" s="104">
        <f>IFERROR(IF(DIVIDENDOS[[#This Row],[Data Pagamento]]="","",DIVIDENDOS[[#This Row],[Data Pagamento]]),"")</f>
        <v/>
      </c>
      <c r="E788" s="168" t="n"/>
      <c r="F788" s="106" t="n"/>
    </row>
    <row r="789">
      <c r="A789" s="101">
        <f>YEAR(DIVIDENDOS[[#This Row],[Data Pagamento]])</f>
        <v/>
      </c>
      <c r="C789" s="103">
        <f>IFERROR(IF(DIVIDENDOS[[#This Row],[Data Pagamento]]="","",EOMONTH(B789,0)),"")</f>
        <v/>
      </c>
      <c r="D789" s="104">
        <f>IFERROR(IF(DIVIDENDOS[[#This Row],[Data Pagamento]]="","",DIVIDENDOS[[#This Row],[Data Pagamento]]),"")</f>
        <v/>
      </c>
      <c r="E789" s="168" t="n"/>
      <c r="F789" s="106" t="n"/>
    </row>
    <row r="790">
      <c r="A790" s="101">
        <f>YEAR(DIVIDENDOS[[#This Row],[Data Pagamento]])</f>
        <v/>
      </c>
      <c r="C790" s="103">
        <f>IFERROR(IF(DIVIDENDOS[[#This Row],[Data Pagamento]]="","",EOMONTH(B790,0)),"")</f>
        <v/>
      </c>
      <c r="D790" s="104">
        <f>IFERROR(IF(DIVIDENDOS[[#This Row],[Data Pagamento]]="","",DIVIDENDOS[[#This Row],[Data Pagamento]]),"")</f>
        <v/>
      </c>
      <c r="E790" s="168" t="n"/>
      <c r="F790" s="106" t="n"/>
    </row>
    <row r="791">
      <c r="A791" s="101">
        <f>YEAR(DIVIDENDOS[[#This Row],[Data Pagamento]])</f>
        <v/>
      </c>
      <c r="C791" s="103">
        <f>IFERROR(IF(DIVIDENDOS[[#This Row],[Data Pagamento]]="","",EOMONTH(B791,0)),"")</f>
        <v/>
      </c>
      <c r="D791" s="104">
        <f>IFERROR(IF(DIVIDENDOS[[#This Row],[Data Pagamento]]="","",DIVIDENDOS[[#This Row],[Data Pagamento]]),"")</f>
        <v/>
      </c>
      <c r="E791" s="168" t="n"/>
      <c r="F791" s="106" t="n"/>
    </row>
    <row r="792">
      <c r="A792" s="101">
        <f>YEAR(DIVIDENDOS[[#This Row],[Data Pagamento]])</f>
        <v/>
      </c>
      <c r="C792" s="103">
        <f>IFERROR(IF(DIVIDENDOS[[#This Row],[Data Pagamento]]="","",EOMONTH(B792,0)),"")</f>
        <v/>
      </c>
      <c r="D792" s="104">
        <f>IFERROR(IF(DIVIDENDOS[[#This Row],[Data Pagamento]]="","",DIVIDENDOS[[#This Row],[Data Pagamento]]),"")</f>
        <v/>
      </c>
      <c r="E792" s="168" t="n"/>
      <c r="F792" s="106" t="n"/>
    </row>
    <row r="793">
      <c r="A793" s="101">
        <f>YEAR(DIVIDENDOS[[#This Row],[Data Pagamento]])</f>
        <v/>
      </c>
      <c r="C793" s="103">
        <f>IFERROR(IF(DIVIDENDOS[[#This Row],[Data Pagamento]]="","",EOMONTH(B793,0)),"")</f>
        <v/>
      </c>
      <c r="D793" s="104">
        <f>IFERROR(IF(DIVIDENDOS[[#This Row],[Data Pagamento]]="","",DIVIDENDOS[[#This Row],[Data Pagamento]]),"")</f>
        <v/>
      </c>
      <c r="E793" s="168" t="n"/>
      <c r="F793" s="106" t="n"/>
    </row>
    <row r="794">
      <c r="A794" s="101">
        <f>YEAR(DIVIDENDOS[[#This Row],[Data Pagamento]])</f>
        <v/>
      </c>
      <c r="C794" s="103">
        <f>IFERROR(IF(DIVIDENDOS[[#This Row],[Data Pagamento]]="","",EOMONTH(B794,0)),"")</f>
        <v/>
      </c>
      <c r="D794" s="104">
        <f>IFERROR(IF(DIVIDENDOS[[#This Row],[Data Pagamento]]="","",DIVIDENDOS[[#This Row],[Data Pagamento]]),"")</f>
        <v/>
      </c>
      <c r="E794" s="168" t="n"/>
      <c r="F794" s="106" t="n"/>
    </row>
    <row r="795">
      <c r="A795" s="101">
        <f>YEAR(DIVIDENDOS[[#This Row],[Data Pagamento]])</f>
        <v/>
      </c>
      <c r="C795" s="103">
        <f>IFERROR(IF(DIVIDENDOS[[#This Row],[Data Pagamento]]="","",EOMONTH(B795,0)),"")</f>
        <v/>
      </c>
      <c r="D795" s="104">
        <f>IFERROR(IF(DIVIDENDOS[[#This Row],[Data Pagamento]]="","",DIVIDENDOS[[#This Row],[Data Pagamento]]),"")</f>
        <v/>
      </c>
      <c r="E795" s="168" t="n"/>
      <c r="F795" s="106" t="n"/>
    </row>
    <row r="796">
      <c r="A796" s="101">
        <f>YEAR(DIVIDENDOS[[#This Row],[Data Pagamento]])</f>
        <v/>
      </c>
      <c r="C796" s="103">
        <f>IFERROR(IF(DIVIDENDOS[[#This Row],[Data Pagamento]]="","",EOMONTH(B796,0)),"")</f>
        <v/>
      </c>
      <c r="D796" s="104">
        <f>IFERROR(IF(DIVIDENDOS[[#This Row],[Data Pagamento]]="","",DIVIDENDOS[[#This Row],[Data Pagamento]]),"")</f>
        <v/>
      </c>
      <c r="E796" s="168" t="n"/>
      <c r="F796" s="106" t="n"/>
    </row>
    <row r="797">
      <c r="A797" s="101">
        <f>YEAR(DIVIDENDOS[[#This Row],[Data Pagamento]])</f>
        <v/>
      </c>
      <c r="C797" s="103">
        <f>IFERROR(IF(DIVIDENDOS[[#This Row],[Data Pagamento]]="","",EOMONTH(B797,0)),"")</f>
        <v/>
      </c>
      <c r="D797" s="104">
        <f>IFERROR(IF(DIVIDENDOS[[#This Row],[Data Pagamento]]="","",DIVIDENDOS[[#This Row],[Data Pagamento]]),"")</f>
        <v/>
      </c>
      <c r="E797" s="168" t="n"/>
      <c r="F797" s="106" t="n"/>
    </row>
    <row r="798">
      <c r="A798" s="101">
        <f>YEAR(DIVIDENDOS[[#This Row],[Data Pagamento]])</f>
        <v/>
      </c>
      <c r="C798" s="103">
        <f>IFERROR(IF(DIVIDENDOS[[#This Row],[Data Pagamento]]="","",EOMONTH(B798,0)),"")</f>
        <v/>
      </c>
      <c r="D798" s="104">
        <f>IFERROR(IF(DIVIDENDOS[[#This Row],[Data Pagamento]]="","",DIVIDENDOS[[#This Row],[Data Pagamento]]),"")</f>
        <v/>
      </c>
      <c r="E798" s="168" t="n"/>
      <c r="F798" s="106" t="n"/>
    </row>
    <row r="799">
      <c r="A799" s="101">
        <f>YEAR(DIVIDENDOS[[#This Row],[Data Pagamento]])</f>
        <v/>
      </c>
      <c r="C799" s="103">
        <f>IFERROR(IF(DIVIDENDOS[[#This Row],[Data Pagamento]]="","",EOMONTH(B799,0)),"")</f>
        <v/>
      </c>
      <c r="D799" s="104">
        <f>IFERROR(IF(DIVIDENDOS[[#This Row],[Data Pagamento]]="","",DIVIDENDOS[[#This Row],[Data Pagamento]]),"")</f>
        <v/>
      </c>
      <c r="E799" s="168" t="n"/>
      <c r="F799" s="106" t="n"/>
    </row>
    <row r="800">
      <c r="A800" s="101">
        <f>YEAR(DIVIDENDOS[[#This Row],[Data Pagamento]])</f>
        <v/>
      </c>
      <c r="C800" s="103">
        <f>IFERROR(IF(DIVIDENDOS[[#This Row],[Data Pagamento]]="","",EOMONTH(B800,0)),"")</f>
        <v/>
      </c>
      <c r="D800" s="104">
        <f>IFERROR(IF(DIVIDENDOS[[#This Row],[Data Pagamento]]="","",DIVIDENDOS[[#This Row],[Data Pagamento]]),"")</f>
        <v/>
      </c>
      <c r="E800" s="168" t="n"/>
      <c r="F800" s="106" t="n"/>
    </row>
    <row r="801">
      <c r="A801" s="101">
        <f>YEAR(DIVIDENDOS[[#This Row],[Data Pagamento]])</f>
        <v/>
      </c>
      <c r="C801" s="103">
        <f>IFERROR(IF(DIVIDENDOS[[#This Row],[Data Pagamento]]="","",EOMONTH(B801,0)),"")</f>
        <v/>
      </c>
      <c r="D801" s="104">
        <f>IFERROR(IF(DIVIDENDOS[[#This Row],[Data Pagamento]]="","",DIVIDENDOS[[#This Row],[Data Pagamento]]),"")</f>
        <v/>
      </c>
      <c r="E801" s="168" t="n"/>
      <c r="F801" s="106" t="n"/>
    </row>
    <row r="802">
      <c r="A802" s="101">
        <f>YEAR(DIVIDENDOS[[#This Row],[Data Pagamento]])</f>
        <v/>
      </c>
      <c r="C802" s="103">
        <f>IFERROR(IF(DIVIDENDOS[[#This Row],[Data Pagamento]]="","",EOMONTH(B802,0)),"")</f>
        <v/>
      </c>
      <c r="D802" s="104">
        <f>IFERROR(IF(DIVIDENDOS[[#This Row],[Data Pagamento]]="","",DIVIDENDOS[[#This Row],[Data Pagamento]]),"")</f>
        <v/>
      </c>
      <c r="E802" s="168" t="n"/>
      <c r="F802" s="106" t="n"/>
    </row>
    <row r="803">
      <c r="A803" s="101">
        <f>YEAR(DIVIDENDOS[[#This Row],[Data Pagamento]])</f>
        <v/>
      </c>
      <c r="C803" s="103">
        <f>IFERROR(IF(DIVIDENDOS[[#This Row],[Data Pagamento]]="","",EOMONTH(B803,0)),"")</f>
        <v/>
      </c>
      <c r="D803" s="104">
        <f>IFERROR(IF(DIVIDENDOS[[#This Row],[Data Pagamento]]="","",DIVIDENDOS[[#This Row],[Data Pagamento]]),"")</f>
        <v/>
      </c>
      <c r="E803" s="168" t="n"/>
      <c r="F803" s="106" t="n"/>
    </row>
    <row r="804">
      <c r="A804" s="101">
        <f>YEAR(DIVIDENDOS[[#This Row],[Data Pagamento]])</f>
        <v/>
      </c>
      <c r="C804" s="103">
        <f>IFERROR(IF(DIVIDENDOS[[#This Row],[Data Pagamento]]="","",EOMONTH(B804,0)),"")</f>
        <v/>
      </c>
      <c r="D804" s="104">
        <f>IFERROR(IF(DIVIDENDOS[[#This Row],[Data Pagamento]]="","",DIVIDENDOS[[#This Row],[Data Pagamento]]),"")</f>
        <v/>
      </c>
      <c r="E804" s="168" t="n"/>
      <c r="F804" s="106" t="n"/>
    </row>
    <row r="805">
      <c r="A805" s="101">
        <f>YEAR(DIVIDENDOS[[#This Row],[Data Pagamento]])</f>
        <v/>
      </c>
      <c r="C805" s="103">
        <f>IFERROR(IF(DIVIDENDOS[[#This Row],[Data Pagamento]]="","",EOMONTH(B805,0)),"")</f>
        <v/>
      </c>
      <c r="D805" s="104">
        <f>IFERROR(IF(DIVIDENDOS[[#This Row],[Data Pagamento]]="","",DIVIDENDOS[[#This Row],[Data Pagamento]]),"")</f>
        <v/>
      </c>
      <c r="E805" s="168" t="n"/>
      <c r="F805" s="106" t="n"/>
    </row>
    <row r="806">
      <c r="A806" s="101">
        <f>YEAR(DIVIDENDOS[[#This Row],[Data Pagamento]])</f>
        <v/>
      </c>
      <c r="C806" s="103">
        <f>IFERROR(IF(DIVIDENDOS[[#This Row],[Data Pagamento]]="","",EOMONTH(B806,0)),"")</f>
        <v/>
      </c>
      <c r="D806" s="104">
        <f>IFERROR(IF(DIVIDENDOS[[#This Row],[Data Pagamento]]="","",DIVIDENDOS[[#This Row],[Data Pagamento]]),"")</f>
        <v/>
      </c>
      <c r="E806" s="168" t="n"/>
      <c r="F806" s="106" t="n"/>
    </row>
    <row r="807">
      <c r="A807" s="101">
        <f>YEAR(DIVIDENDOS[[#This Row],[Data Pagamento]])</f>
        <v/>
      </c>
      <c r="C807" s="103">
        <f>IFERROR(IF(DIVIDENDOS[[#This Row],[Data Pagamento]]="","",EOMONTH(B807,0)),"")</f>
        <v/>
      </c>
      <c r="D807" s="104">
        <f>IFERROR(IF(DIVIDENDOS[[#This Row],[Data Pagamento]]="","",DIVIDENDOS[[#This Row],[Data Pagamento]]),"")</f>
        <v/>
      </c>
      <c r="E807" s="168" t="n"/>
      <c r="F807" s="106" t="n"/>
    </row>
    <row r="808">
      <c r="A808" s="101">
        <f>YEAR(DIVIDENDOS[[#This Row],[Data Pagamento]])</f>
        <v/>
      </c>
      <c r="C808" s="103">
        <f>IFERROR(IF(DIVIDENDOS[[#This Row],[Data Pagamento]]="","",EOMONTH(B808,0)),"")</f>
        <v/>
      </c>
      <c r="D808" s="104">
        <f>IFERROR(IF(DIVIDENDOS[[#This Row],[Data Pagamento]]="","",DIVIDENDOS[[#This Row],[Data Pagamento]]),"")</f>
        <v/>
      </c>
      <c r="E808" s="168" t="n"/>
      <c r="F808" s="106" t="n"/>
    </row>
    <row r="809">
      <c r="A809" s="101">
        <f>YEAR(DIVIDENDOS[[#This Row],[Data Pagamento]])</f>
        <v/>
      </c>
      <c r="C809" s="103">
        <f>IFERROR(IF(DIVIDENDOS[[#This Row],[Data Pagamento]]="","",EOMONTH(B809,0)),"")</f>
        <v/>
      </c>
      <c r="D809" s="104">
        <f>IFERROR(IF(DIVIDENDOS[[#This Row],[Data Pagamento]]="","",DIVIDENDOS[[#This Row],[Data Pagamento]]),"")</f>
        <v/>
      </c>
      <c r="E809" s="168" t="n"/>
      <c r="F809" s="106" t="n"/>
    </row>
    <row r="810">
      <c r="A810" s="101">
        <f>YEAR(DIVIDENDOS[[#This Row],[Data Pagamento]])</f>
        <v/>
      </c>
      <c r="C810" s="103">
        <f>IFERROR(IF(DIVIDENDOS[[#This Row],[Data Pagamento]]="","",EOMONTH(B810,0)),"")</f>
        <v/>
      </c>
      <c r="D810" s="104">
        <f>IFERROR(IF(DIVIDENDOS[[#This Row],[Data Pagamento]]="","",DIVIDENDOS[[#This Row],[Data Pagamento]]),"")</f>
        <v/>
      </c>
      <c r="E810" s="168" t="n"/>
      <c r="F810" s="106" t="n"/>
    </row>
    <row r="811">
      <c r="A811" s="101">
        <f>YEAR(DIVIDENDOS[[#This Row],[Data Pagamento]])</f>
        <v/>
      </c>
      <c r="C811" s="103">
        <f>IFERROR(IF(DIVIDENDOS[[#This Row],[Data Pagamento]]="","",EOMONTH(B811,0)),"")</f>
        <v/>
      </c>
      <c r="D811" s="104">
        <f>IFERROR(IF(DIVIDENDOS[[#This Row],[Data Pagamento]]="","",DIVIDENDOS[[#This Row],[Data Pagamento]]),"")</f>
        <v/>
      </c>
      <c r="E811" s="168" t="n"/>
      <c r="F811" s="106" t="n"/>
    </row>
    <row r="812">
      <c r="A812" s="101">
        <f>YEAR(DIVIDENDOS[[#This Row],[Data Pagamento]])</f>
        <v/>
      </c>
      <c r="C812" s="103">
        <f>IFERROR(IF(DIVIDENDOS[[#This Row],[Data Pagamento]]="","",EOMONTH(B812,0)),"")</f>
        <v/>
      </c>
      <c r="D812" s="104">
        <f>IFERROR(IF(DIVIDENDOS[[#This Row],[Data Pagamento]]="","",DIVIDENDOS[[#This Row],[Data Pagamento]]),"")</f>
        <v/>
      </c>
      <c r="E812" s="168" t="n"/>
      <c r="F812" s="106" t="n"/>
    </row>
    <row r="813">
      <c r="A813" s="101">
        <f>YEAR(DIVIDENDOS[[#This Row],[Data Pagamento]])</f>
        <v/>
      </c>
      <c r="C813" s="103">
        <f>IFERROR(IF(DIVIDENDOS[[#This Row],[Data Pagamento]]="","",EOMONTH(B813,0)),"")</f>
        <v/>
      </c>
      <c r="D813" s="104">
        <f>IFERROR(IF(DIVIDENDOS[[#This Row],[Data Pagamento]]="","",DIVIDENDOS[[#This Row],[Data Pagamento]]),"")</f>
        <v/>
      </c>
      <c r="E813" s="168" t="n"/>
      <c r="F813" s="106" t="n"/>
    </row>
    <row r="814">
      <c r="A814" s="101">
        <f>YEAR(DIVIDENDOS[[#This Row],[Data Pagamento]])</f>
        <v/>
      </c>
      <c r="C814" s="103">
        <f>IFERROR(IF(DIVIDENDOS[[#This Row],[Data Pagamento]]="","",EOMONTH(B814,0)),"")</f>
        <v/>
      </c>
      <c r="D814" s="104">
        <f>IFERROR(IF(DIVIDENDOS[[#This Row],[Data Pagamento]]="","",DIVIDENDOS[[#This Row],[Data Pagamento]]),"")</f>
        <v/>
      </c>
      <c r="E814" s="168" t="n"/>
      <c r="F814" s="106" t="n"/>
    </row>
    <row r="815">
      <c r="A815" s="101">
        <f>YEAR(DIVIDENDOS[[#This Row],[Data Pagamento]])</f>
        <v/>
      </c>
      <c r="C815" s="103">
        <f>IFERROR(IF(DIVIDENDOS[[#This Row],[Data Pagamento]]="","",EOMONTH(B815,0)),"")</f>
        <v/>
      </c>
      <c r="D815" s="104">
        <f>IFERROR(IF(DIVIDENDOS[[#This Row],[Data Pagamento]]="","",DIVIDENDOS[[#This Row],[Data Pagamento]]),"")</f>
        <v/>
      </c>
      <c r="E815" s="168" t="n"/>
      <c r="F815" s="106" t="n"/>
    </row>
    <row r="816">
      <c r="A816" s="101">
        <f>YEAR(DIVIDENDOS[[#This Row],[Data Pagamento]])</f>
        <v/>
      </c>
      <c r="C816" s="103">
        <f>IFERROR(IF(DIVIDENDOS[[#This Row],[Data Pagamento]]="","",EOMONTH(B816,0)),"")</f>
        <v/>
      </c>
      <c r="D816" s="104">
        <f>IFERROR(IF(DIVIDENDOS[[#This Row],[Data Pagamento]]="","",DIVIDENDOS[[#This Row],[Data Pagamento]]),"")</f>
        <v/>
      </c>
      <c r="E816" s="168" t="n"/>
      <c r="F816" s="106" t="n"/>
    </row>
    <row r="817">
      <c r="A817" s="101">
        <f>YEAR(DIVIDENDOS[[#This Row],[Data Pagamento]])</f>
        <v/>
      </c>
      <c r="C817" s="103">
        <f>IFERROR(IF(DIVIDENDOS[[#This Row],[Data Pagamento]]="","",EOMONTH(B817,0)),"")</f>
        <v/>
      </c>
      <c r="D817" s="104">
        <f>IFERROR(IF(DIVIDENDOS[[#This Row],[Data Pagamento]]="","",DIVIDENDOS[[#This Row],[Data Pagamento]]),"")</f>
        <v/>
      </c>
      <c r="E817" s="168" t="n"/>
      <c r="F817" s="106" t="n"/>
    </row>
    <row r="818">
      <c r="A818" s="101">
        <f>YEAR(DIVIDENDOS[[#This Row],[Data Pagamento]])</f>
        <v/>
      </c>
      <c r="C818" s="103">
        <f>IFERROR(IF(DIVIDENDOS[[#This Row],[Data Pagamento]]="","",EOMONTH(B818,0)),"")</f>
        <v/>
      </c>
      <c r="D818" s="104">
        <f>IFERROR(IF(DIVIDENDOS[[#This Row],[Data Pagamento]]="","",DIVIDENDOS[[#This Row],[Data Pagamento]]),"")</f>
        <v/>
      </c>
      <c r="E818" s="168" t="n"/>
      <c r="F818" s="106" t="n"/>
    </row>
    <row r="819">
      <c r="A819" s="101">
        <f>YEAR(DIVIDENDOS[[#This Row],[Data Pagamento]])</f>
        <v/>
      </c>
      <c r="C819" s="103">
        <f>IFERROR(IF(DIVIDENDOS[[#This Row],[Data Pagamento]]="","",EOMONTH(B819,0)),"")</f>
        <v/>
      </c>
      <c r="D819" s="104">
        <f>IFERROR(IF(DIVIDENDOS[[#This Row],[Data Pagamento]]="","",DIVIDENDOS[[#This Row],[Data Pagamento]]),"")</f>
        <v/>
      </c>
      <c r="E819" s="168" t="n"/>
      <c r="F819" s="106" t="n"/>
    </row>
    <row r="820">
      <c r="A820" s="101">
        <f>YEAR(DIVIDENDOS[[#This Row],[Data Pagamento]])</f>
        <v/>
      </c>
      <c r="C820" s="103">
        <f>IFERROR(IF(DIVIDENDOS[[#This Row],[Data Pagamento]]="","",EOMONTH(B820,0)),"")</f>
        <v/>
      </c>
      <c r="D820" s="104">
        <f>IFERROR(IF(DIVIDENDOS[[#This Row],[Data Pagamento]]="","",DIVIDENDOS[[#This Row],[Data Pagamento]]),"")</f>
        <v/>
      </c>
      <c r="E820" s="168" t="n"/>
      <c r="F820" s="106" t="n"/>
    </row>
    <row r="821">
      <c r="A821" s="101">
        <f>YEAR(DIVIDENDOS[[#This Row],[Data Pagamento]])</f>
        <v/>
      </c>
      <c r="C821" s="103">
        <f>IFERROR(IF(DIVIDENDOS[[#This Row],[Data Pagamento]]="","",EOMONTH(B821,0)),"")</f>
        <v/>
      </c>
      <c r="D821" s="104">
        <f>IFERROR(IF(DIVIDENDOS[[#This Row],[Data Pagamento]]="","",DIVIDENDOS[[#This Row],[Data Pagamento]]),"")</f>
        <v/>
      </c>
      <c r="E821" s="168" t="n"/>
      <c r="F821" s="106" t="n"/>
    </row>
    <row r="822">
      <c r="A822" s="101">
        <f>YEAR(DIVIDENDOS[[#This Row],[Data Pagamento]])</f>
        <v/>
      </c>
      <c r="C822" s="103">
        <f>IFERROR(IF(DIVIDENDOS[[#This Row],[Data Pagamento]]="","",EOMONTH(B822,0)),"")</f>
        <v/>
      </c>
      <c r="D822" s="104">
        <f>IFERROR(IF(DIVIDENDOS[[#This Row],[Data Pagamento]]="","",DIVIDENDOS[[#This Row],[Data Pagamento]]),"")</f>
        <v/>
      </c>
      <c r="E822" s="168" t="n"/>
      <c r="F822" s="106" t="n"/>
    </row>
    <row r="823">
      <c r="A823" s="101">
        <f>YEAR(DIVIDENDOS[[#This Row],[Data Pagamento]])</f>
        <v/>
      </c>
      <c r="C823" s="103">
        <f>IFERROR(IF(DIVIDENDOS[[#This Row],[Data Pagamento]]="","",EOMONTH(B823,0)),"")</f>
        <v/>
      </c>
      <c r="D823" s="104">
        <f>IFERROR(IF(DIVIDENDOS[[#This Row],[Data Pagamento]]="","",DIVIDENDOS[[#This Row],[Data Pagamento]]),"")</f>
        <v/>
      </c>
      <c r="E823" s="168" t="n"/>
      <c r="F823" s="106" t="n"/>
    </row>
    <row r="824">
      <c r="A824" s="101">
        <f>YEAR(DIVIDENDOS[[#This Row],[Data Pagamento]])</f>
        <v/>
      </c>
      <c r="C824" s="103">
        <f>IFERROR(IF(DIVIDENDOS[[#This Row],[Data Pagamento]]="","",EOMONTH(B824,0)),"")</f>
        <v/>
      </c>
      <c r="D824" s="104">
        <f>IFERROR(IF(DIVIDENDOS[[#This Row],[Data Pagamento]]="","",DIVIDENDOS[[#This Row],[Data Pagamento]]),"")</f>
        <v/>
      </c>
      <c r="E824" s="168" t="n"/>
      <c r="F824" s="106" t="n"/>
    </row>
    <row r="825">
      <c r="A825" s="101">
        <f>YEAR(DIVIDENDOS[[#This Row],[Data Pagamento]])</f>
        <v/>
      </c>
      <c r="C825" s="103">
        <f>IFERROR(IF(DIVIDENDOS[[#This Row],[Data Pagamento]]="","",EOMONTH(B825,0)),"")</f>
        <v/>
      </c>
      <c r="D825" s="104">
        <f>IFERROR(IF(DIVIDENDOS[[#This Row],[Data Pagamento]]="","",DIVIDENDOS[[#This Row],[Data Pagamento]]),"")</f>
        <v/>
      </c>
      <c r="E825" s="168" t="n"/>
      <c r="F825" s="106" t="n"/>
    </row>
    <row r="826">
      <c r="A826" s="101">
        <f>YEAR(DIVIDENDOS[[#This Row],[Data Pagamento]])</f>
        <v/>
      </c>
      <c r="C826" s="103">
        <f>IFERROR(IF(DIVIDENDOS[[#This Row],[Data Pagamento]]="","",EOMONTH(B826,0)),"")</f>
        <v/>
      </c>
      <c r="D826" s="104">
        <f>IFERROR(IF(DIVIDENDOS[[#This Row],[Data Pagamento]]="","",DIVIDENDOS[[#This Row],[Data Pagamento]]),"")</f>
        <v/>
      </c>
      <c r="E826" s="168" t="n"/>
      <c r="F826" s="106" t="n"/>
    </row>
    <row r="827">
      <c r="A827" s="101">
        <f>YEAR(DIVIDENDOS[[#This Row],[Data Pagamento]])</f>
        <v/>
      </c>
      <c r="C827" s="103">
        <f>IFERROR(IF(DIVIDENDOS[[#This Row],[Data Pagamento]]="","",EOMONTH(B827,0)),"")</f>
        <v/>
      </c>
      <c r="D827" s="104">
        <f>IFERROR(IF(DIVIDENDOS[[#This Row],[Data Pagamento]]="","",DIVIDENDOS[[#This Row],[Data Pagamento]]),"")</f>
        <v/>
      </c>
      <c r="E827" s="168" t="n"/>
      <c r="F827" s="106" t="n"/>
    </row>
    <row r="828">
      <c r="A828" s="101">
        <f>YEAR(DIVIDENDOS[[#This Row],[Data Pagamento]])</f>
        <v/>
      </c>
      <c r="C828" s="103">
        <f>IFERROR(IF(DIVIDENDOS[[#This Row],[Data Pagamento]]="","",EOMONTH(B828,0)),"")</f>
        <v/>
      </c>
      <c r="D828" s="104">
        <f>IFERROR(IF(DIVIDENDOS[[#This Row],[Data Pagamento]]="","",DIVIDENDOS[[#This Row],[Data Pagamento]]),"")</f>
        <v/>
      </c>
      <c r="E828" s="168" t="n"/>
      <c r="F828" s="106" t="n"/>
    </row>
    <row r="829">
      <c r="A829" s="101">
        <f>YEAR(DIVIDENDOS[[#This Row],[Data Pagamento]])</f>
        <v/>
      </c>
      <c r="C829" s="103">
        <f>IFERROR(IF(DIVIDENDOS[[#This Row],[Data Pagamento]]="","",EOMONTH(B829,0)),"")</f>
        <v/>
      </c>
      <c r="D829" s="104">
        <f>IFERROR(IF(DIVIDENDOS[[#This Row],[Data Pagamento]]="","",DIVIDENDOS[[#This Row],[Data Pagamento]]),"")</f>
        <v/>
      </c>
      <c r="E829" s="168" t="n"/>
      <c r="F829" s="106" t="n"/>
    </row>
    <row r="830">
      <c r="A830" s="101">
        <f>YEAR(DIVIDENDOS[[#This Row],[Data Pagamento]])</f>
        <v/>
      </c>
      <c r="C830" s="103">
        <f>IFERROR(IF(DIVIDENDOS[[#This Row],[Data Pagamento]]="","",EOMONTH(B830,0)),"")</f>
        <v/>
      </c>
      <c r="D830" s="104">
        <f>IFERROR(IF(DIVIDENDOS[[#This Row],[Data Pagamento]]="","",DIVIDENDOS[[#This Row],[Data Pagamento]]),"")</f>
        <v/>
      </c>
      <c r="E830" s="168" t="n"/>
      <c r="F830" s="106" t="n"/>
    </row>
    <row r="831">
      <c r="A831" s="101">
        <f>YEAR(DIVIDENDOS[[#This Row],[Data Pagamento]])</f>
        <v/>
      </c>
      <c r="C831" s="103">
        <f>IFERROR(IF(DIVIDENDOS[[#This Row],[Data Pagamento]]="","",EOMONTH(B831,0)),"")</f>
        <v/>
      </c>
      <c r="D831" s="104">
        <f>IFERROR(IF(DIVIDENDOS[[#This Row],[Data Pagamento]]="","",DIVIDENDOS[[#This Row],[Data Pagamento]]),"")</f>
        <v/>
      </c>
      <c r="E831" s="168" t="n"/>
      <c r="F831" s="106" t="n"/>
    </row>
    <row r="832">
      <c r="A832" s="101">
        <f>YEAR(DIVIDENDOS[[#This Row],[Data Pagamento]])</f>
        <v/>
      </c>
      <c r="C832" s="103">
        <f>IFERROR(IF(DIVIDENDOS[[#This Row],[Data Pagamento]]="","",EOMONTH(B832,0)),"")</f>
        <v/>
      </c>
      <c r="D832" s="104">
        <f>IFERROR(IF(DIVIDENDOS[[#This Row],[Data Pagamento]]="","",DIVIDENDOS[[#This Row],[Data Pagamento]]),"")</f>
        <v/>
      </c>
      <c r="E832" s="168" t="n"/>
      <c r="F832" s="106" t="n"/>
    </row>
    <row r="833">
      <c r="A833" s="101">
        <f>YEAR(DIVIDENDOS[[#This Row],[Data Pagamento]])</f>
        <v/>
      </c>
      <c r="C833" s="103">
        <f>IFERROR(IF(DIVIDENDOS[[#This Row],[Data Pagamento]]="","",EOMONTH(B833,0)),"")</f>
        <v/>
      </c>
      <c r="D833" s="104">
        <f>IFERROR(IF(DIVIDENDOS[[#This Row],[Data Pagamento]]="","",DIVIDENDOS[[#This Row],[Data Pagamento]]),"")</f>
        <v/>
      </c>
      <c r="E833" s="168" t="n"/>
      <c r="F833" s="106" t="n"/>
    </row>
    <row r="834">
      <c r="A834" s="101">
        <f>YEAR(DIVIDENDOS[[#This Row],[Data Pagamento]])</f>
        <v/>
      </c>
      <c r="C834" s="103">
        <f>IFERROR(IF(DIVIDENDOS[[#This Row],[Data Pagamento]]="","",EOMONTH(B834,0)),"")</f>
        <v/>
      </c>
      <c r="D834" s="104">
        <f>IFERROR(IF(DIVIDENDOS[[#This Row],[Data Pagamento]]="","",DIVIDENDOS[[#This Row],[Data Pagamento]]),"")</f>
        <v/>
      </c>
      <c r="E834" s="168" t="n"/>
      <c r="F834" s="106" t="n"/>
    </row>
    <row r="835">
      <c r="A835" s="101">
        <f>YEAR(DIVIDENDOS[[#This Row],[Data Pagamento]])</f>
        <v/>
      </c>
      <c r="C835" s="103">
        <f>IFERROR(IF(DIVIDENDOS[[#This Row],[Data Pagamento]]="","",EOMONTH(B835,0)),"")</f>
        <v/>
      </c>
      <c r="D835" s="104">
        <f>IFERROR(IF(DIVIDENDOS[[#This Row],[Data Pagamento]]="","",DIVIDENDOS[[#This Row],[Data Pagamento]]),"")</f>
        <v/>
      </c>
      <c r="E835" s="168" t="n"/>
      <c r="F835" s="106" t="n"/>
    </row>
    <row r="836">
      <c r="A836" s="101">
        <f>YEAR(DIVIDENDOS[[#This Row],[Data Pagamento]])</f>
        <v/>
      </c>
      <c r="C836" s="103">
        <f>IFERROR(IF(DIVIDENDOS[[#This Row],[Data Pagamento]]="","",EOMONTH(B836,0)),"")</f>
        <v/>
      </c>
      <c r="D836" s="104">
        <f>IFERROR(IF(DIVIDENDOS[[#This Row],[Data Pagamento]]="","",DIVIDENDOS[[#This Row],[Data Pagamento]]),"")</f>
        <v/>
      </c>
      <c r="E836" s="168" t="n"/>
      <c r="F836" s="106" t="n"/>
    </row>
    <row r="837">
      <c r="A837" s="101">
        <f>YEAR(DIVIDENDOS[[#This Row],[Data Pagamento]])</f>
        <v/>
      </c>
      <c r="C837" s="103">
        <f>IFERROR(IF(DIVIDENDOS[[#This Row],[Data Pagamento]]="","",EOMONTH(B837,0)),"")</f>
        <v/>
      </c>
      <c r="D837" s="104">
        <f>IFERROR(IF(DIVIDENDOS[[#This Row],[Data Pagamento]]="","",DIVIDENDOS[[#This Row],[Data Pagamento]]),"")</f>
        <v/>
      </c>
      <c r="E837" s="168" t="n"/>
      <c r="F837" s="106" t="n"/>
    </row>
    <row r="838">
      <c r="A838" s="101">
        <f>YEAR(DIVIDENDOS[[#This Row],[Data Pagamento]])</f>
        <v/>
      </c>
      <c r="C838" s="103">
        <f>IFERROR(IF(DIVIDENDOS[[#This Row],[Data Pagamento]]="","",EOMONTH(B838,0)),"")</f>
        <v/>
      </c>
      <c r="D838" s="104">
        <f>IFERROR(IF(DIVIDENDOS[[#This Row],[Data Pagamento]]="","",DIVIDENDOS[[#This Row],[Data Pagamento]]),"")</f>
        <v/>
      </c>
      <c r="E838" s="168" t="n"/>
      <c r="F838" s="106" t="n"/>
    </row>
    <row r="839">
      <c r="A839" s="101">
        <f>YEAR(DIVIDENDOS[[#This Row],[Data Pagamento]])</f>
        <v/>
      </c>
      <c r="C839" s="103">
        <f>IFERROR(IF(DIVIDENDOS[[#This Row],[Data Pagamento]]="","",EOMONTH(B839,0)),"")</f>
        <v/>
      </c>
      <c r="D839" s="104">
        <f>IFERROR(IF(DIVIDENDOS[[#This Row],[Data Pagamento]]="","",DIVIDENDOS[[#This Row],[Data Pagamento]]),"")</f>
        <v/>
      </c>
      <c r="E839" s="168" t="n"/>
      <c r="F839" s="106" t="n"/>
    </row>
    <row r="840">
      <c r="A840" s="101">
        <f>YEAR(DIVIDENDOS[[#This Row],[Data Pagamento]])</f>
        <v/>
      </c>
      <c r="C840" s="103">
        <f>IFERROR(IF(DIVIDENDOS[[#This Row],[Data Pagamento]]="","",EOMONTH(B840,0)),"")</f>
        <v/>
      </c>
      <c r="D840" s="104">
        <f>IFERROR(IF(DIVIDENDOS[[#This Row],[Data Pagamento]]="","",DIVIDENDOS[[#This Row],[Data Pagamento]]),"")</f>
        <v/>
      </c>
      <c r="E840" s="168" t="n"/>
      <c r="F840" s="106" t="n"/>
    </row>
    <row r="841">
      <c r="A841" s="101">
        <f>YEAR(DIVIDENDOS[[#This Row],[Data Pagamento]])</f>
        <v/>
      </c>
      <c r="C841" s="103">
        <f>IFERROR(IF(DIVIDENDOS[[#This Row],[Data Pagamento]]="","",EOMONTH(B841,0)),"")</f>
        <v/>
      </c>
      <c r="D841" s="104">
        <f>IFERROR(IF(DIVIDENDOS[[#This Row],[Data Pagamento]]="","",DIVIDENDOS[[#This Row],[Data Pagamento]]),"")</f>
        <v/>
      </c>
      <c r="E841" s="168" t="n"/>
      <c r="F841" s="106" t="n"/>
    </row>
    <row r="842">
      <c r="A842" s="101">
        <f>YEAR(DIVIDENDOS[[#This Row],[Data Pagamento]])</f>
        <v/>
      </c>
      <c r="C842" s="103">
        <f>IFERROR(IF(DIVIDENDOS[[#This Row],[Data Pagamento]]="","",EOMONTH(B842,0)),"")</f>
        <v/>
      </c>
      <c r="D842" s="104">
        <f>IFERROR(IF(DIVIDENDOS[[#This Row],[Data Pagamento]]="","",DIVIDENDOS[[#This Row],[Data Pagamento]]),"")</f>
        <v/>
      </c>
      <c r="E842" s="168" t="n"/>
      <c r="F842" s="106" t="n"/>
    </row>
    <row r="843">
      <c r="A843" s="101">
        <f>YEAR(DIVIDENDOS[[#This Row],[Data Pagamento]])</f>
        <v/>
      </c>
      <c r="C843" s="103">
        <f>IFERROR(IF(DIVIDENDOS[[#This Row],[Data Pagamento]]="","",EOMONTH(B843,0)),"")</f>
        <v/>
      </c>
      <c r="D843" s="104">
        <f>IFERROR(IF(DIVIDENDOS[[#This Row],[Data Pagamento]]="","",DIVIDENDOS[[#This Row],[Data Pagamento]]),"")</f>
        <v/>
      </c>
      <c r="E843" s="168" t="n"/>
      <c r="F843" s="106" t="n"/>
    </row>
    <row r="844">
      <c r="A844" s="101">
        <f>YEAR(DIVIDENDOS[[#This Row],[Data Pagamento]])</f>
        <v/>
      </c>
      <c r="C844" s="103">
        <f>IFERROR(IF(DIVIDENDOS[[#This Row],[Data Pagamento]]="","",EOMONTH(B844,0)),"")</f>
        <v/>
      </c>
      <c r="D844" s="104">
        <f>IFERROR(IF(DIVIDENDOS[[#This Row],[Data Pagamento]]="","",DIVIDENDOS[[#This Row],[Data Pagamento]]),"")</f>
        <v/>
      </c>
      <c r="E844" s="168" t="n"/>
      <c r="F844" s="106" t="n"/>
    </row>
    <row r="845">
      <c r="A845" s="101">
        <f>YEAR(DIVIDENDOS[[#This Row],[Data Pagamento]])</f>
        <v/>
      </c>
      <c r="C845" s="103">
        <f>IFERROR(IF(DIVIDENDOS[[#This Row],[Data Pagamento]]="","",EOMONTH(B845,0)),"")</f>
        <v/>
      </c>
      <c r="D845" s="104">
        <f>IFERROR(IF(DIVIDENDOS[[#This Row],[Data Pagamento]]="","",DIVIDENDOS[[#This Row],[Data Pagamento]]),"")</f>
        <v/>
      </c>
      <c r="E845" s="168" t="n"/>
      <c r="F845" s="106" t="n"/>
    </row>
    <row r="846">
      <c r="A846" s="101">
        <f>YEAR(DIVIDENDOS[[#This Row],[Data Pagamento]])</f>
        <v/>
      </c>
      <c r="C846" s="103">
        <f>IFERROR(IF(DIVIDENDOS[[#This Row],[Data Pagamento]]="","",EOMONTH(B846,0)),"")</f>
        <v/>
      </c>
      <c r="D846" s="104">
        <f>IFERROR(IF(DIVIDENDOS[[#This Row],[Data Pagamento]]="","",DIVIDENDOS[[#This Row],[Data Pagamento]]),"")</f>
        <v/>
      </c>
      <c r="E846" s="168" t="n"/>
      <c r="F846" s="106" t="n"/>
    </row>
    <row r="847">
      <c r="A847" s="101">
        <f>YEAR(DIVIDENDOS[[#This Row],[Data Pagamento]])</f>
        <v/>
      </c>
      <c r="C847" s="103">
        <f>IFERROR(IF(DIVIDENDOS[[#This Row],[Data Pagamento]]="","",EOMONTH(B847,0)),"")</f>
        <v/>
      </c>
      <c r="D847" s="104">
        <f>IFERROR(IF(DIVIDENDOS[[#This Row],[Data Pagamento]]="","",DIVIDENDOS[[#This Row],[Data Pagamento]]),"")</f>
        <v/>
      </c>
      <c r="E847" s="168" t="n"/>
      <c r="F847" s="106" t="n"/>
    </row>
    <row r="848">
      <c r="A848" s="101">
        <f>YEAR(DIVIDENDOS[[#This Row],[Data Pagamento]])</f>
        <v/>
      </c>
      <c r="C848" s="103">
        <f>IFERROR(IF(DIVIDENDOS[[#This Row],[Data Pagamento]]="","",EOMONTH(B848,0)),"")</f>
        <v/>
      </c>
      <c r="D848" s="104">
        <f>IFERROR(IF(DIVIDENDOS[[#This Row],[Data Pagamento]]="","",DIVIDENDOS[[#This Row],[Data Pagamento]]),"")</f>
        <v/>
      </c>
      <c r="E848" s="168" t="n"/>
      <c r="F848" s="106" t="n"/>
    </row>
    <row r="849">
      <c r="A849" s="101">
        <f>YEAR(DIVIDENDOS[[#This Row],[Data Pagamento]])</f>
        <v/>
      </c>
      <c r="C849" s="103">
        <f>IFERROR(IF(DIVIDENDOS[[#This Row],[Data Pagamento]]="","",EOMONTH(B849,0)),"")</f>
        <v/>
      </c>
      <c r="D849" s="104">
        <f>IFERROR(IF(DIVIDENDOS[[#This Row],[Data Pagamento]]="","",DIVIDENDOS[[#This Row],[Data Pagamento]]),"")</f>
        <v/>
      </c>
      <c r="E849" s="168" t="n"/>
      <c r="F849" s="106" t="n"/>
    </row>
    <row r="850">
      <c r="A850" s="101">
        <f>YEAR(DIVIDENDOS[[#This Row],[Data Pagamento]])</f>
        <v/>
      </c>
      <c r="C850" s="103">
        <f>IFERROR(IF(DIVIDENDOS[[#This Row],[Data Pagamento]]="","",EOMONTH(B850,0)),"")</f>
        <v/>
      </c>
      <c r="D850" s="104">
        <f>IFERROR(IF(DIVIDENDOS[[#This Row],[Data Pagamento]]="","",DIVIDENDOS[[#This Row],[Data Pagamento]]),"")</f>
        <v/>
      </c>
      <c r="E850" s="168" t="n"/>
      <c r="F850" s="106" t="n"/>
    </row>
    <row r="851">
      <c r="A851" s="101">
        <f>YEAR(DIVIDENDOS[[#This Row],[Data Pagamento]])</f>
        <v/>
      </c>
      <c r="C851" s="103">
        <f>IFERROR(IF(DIVIDENDOS[[#This Row],[Data Pagamento]]="","",EOMONTH(B851,0)),"")</f>
        <v/>
      </c>
      <c r="D851" s="104">
        <f>IFERROR(IF(DIVIDENDOS[[#This Row],[Data Pagamento]]="","",DIVIDENDOS[[#This Row],[Data Pagamento]]),"")</f>
        <v/>
      </c>
      <c r="E851" s="168" t="n"/>
      <c r="F851" s="106" t="n"/>
    </row>
    <row r="852">
      <c r="A852" s="101">
        <f>YEAR(DIVIDENDOS[[#This Row],[Data Pagamento]])</f>
        <v/>
      </c>
      <c r="C852" s="103">
        <f>IFERROR(IF(DIVIDENDOS[[#This Row],[Data Pagamento]]="","",EOMONTH(B852,0)),"")</f>
        <v/>
      </c>
      <c r="D852" s="104">
        <f>IFERROR(IF(DIVIDENDOS[[#This Row],[Data Pagamento]]="","",DIVIDENDOS[[#This Row],[Data Pagamento]]),"")</f>
        <v/>
      </c>
      <c r="E852" s="168" t="n"/>
      <c r="F852" s="106" t="n"/>
    </row>
    <row r="853">
      <c r="A853" s="101">
        <f>YEAR(DIVIDENDOS[[#This Row],[Data Pagamento]])</f>
        <v/>
      </c>
      <c r="C853" s="103">
        <f>IFERROR(IF(DIVIDENDOS[[#This Row],[Data Pagamento]]="","",EOMONTH(B853,0)),"")</f>
        <v/>
      </c>
      <c r="D853" s="104">
        <f>IFERROR(IF(DIVIDENDOS[[#This Row],[Data Pagamento]]="","",DIVIDENDOS[[#This Row],[Data Pagamento]]),"")</f>
        <v/>
      </c>
      <c r="E853" s="168" t="n"/>
      <c r="F853" s="106" t="n"/>
    </row>
    <row r="854">
      <c r="A854" s="101">
        <f>YEAR(DIVIDENDOS[[#This Row],[Data Pagamento]])</f>
        <v/>
      </c>
      <c r="C854" s="103">
        <f>IFERROR(IF(DIVIDENDOS[[#This Row],[Data Pagamento]]="","",EOMONTH(B854,0)),"")</f>
        <v/>
      </c>
      <c r="D854" s="104">
        <f>IFERROR(IF(DIVIDENDOS[[#This Row],[Data Pagamento]]="","",DIVIDENDOS[[#This Row],[Data Pagamento]]),"")</f>
        <v/>
      </c>
      <c r="E854" s="168" t="n"/>
      <c r="F854" s="106" t="n"/>
    </row>
    <row r="855">
      <c r="A855" s="101">
        <f>YEAR(DIVIDENDOS[[#This Row],[Data Pagamento]])</f>
        <v/>
      </c>
      <c r="C855" s="103">
        <f>IFERROR(IF(DIVIDENDOS[[#This Row],[Data Pagamento]]="","",EOMONTH(B855,0)),"")</f>
        <v/>
      </c>
      <c r="D855" s="104">
        <f>IFERROR(IF(DIVIDENDOS[[#This Row],[Data Pagamento]]="","",DIVIDENDOS[[#This Row],[Data Pagamento]]),"")</f>
        <v/>
      </c>
      <c r="E855" s="168" t="n"/>
      <c r="F855" s="106" t="n"/>
    </row>
    <row r="856">
      <c r="A856" s="101">
        <f>YEAR(DIVIDENDOS[[#This Row],[Data Pagamento]])</f>
        <v/>
      </c>
      <c r="C856" s="103">
        <f>IFERROR(IF(DIVIDENDOS[[#This Row],[Data Pagamento]]="","",EOMONTH(B856,0)),"")</f>
        <v/>
      </c>
      <c r="D856" s="104">
        <f>IFERROR(IF(DIVIDENDOS[[#This Row],[Data Pagamento]]="","",DIVIDENDOS[[#This Row],[Data Pagamento]]),"")</f>
        <v/>
      </c>
      <c r="E856" s="168" t="n"/>
      <c r="F856" s="106" t="n"/>
    </row>
    <row r="857">
      <c r="A857" s="101">
        <f>YEAR(DIVIDENDOS[[#This Row],[Data Pagamento]])</f>
        <v/>
      </c>
      <c r="C857" s="103">
        <f>IFERROR(IF(DIVIDENDOS[[#This Row],[Data Pagamento]]="","",EOMONTH(B857,0)),"")</f>
        <v/>
      </c>
      <c r="D857" s="104">
        <f>IFERROR(IF(DIVIDENDOS[[#This Row],[Data Pagamento]]="","",DIVIDENDOS[[#This Row],[Data Pagamento]]),"")</f>
        <v/>
      </c>
      <c r="E857" s="168" t="n"/>
      <c r="F857" s="106" t="n"/>
    </row>
    <row r="858">
      <c r="A858" s="101">
        <f>YEAR(DIVIDENDOS[[#This Row],[Data Pagamento]])</f>
        <v/>
      </c>
      <c r="C858" s="103">
        <f>IFERROR(IF(DIVIDENDOS[[#This Row],[Data Pagamento]]="","",EOMONTH(B858,0)),"")</f>
        <v/>
      </c>
      <c r="D858" s="104">
        <f>IFERROR(IF(DIVIDENDOS[[#This Row],[Data Pagamento]]="","",DIVIDENDOS[[#This Row],[Data Pagamento]]),"")</f>
        <v/>
      </c>
      <c r="E858" s="168" t="n"/>
      <c r="F858" s="106" t="n"/>
    </row>
    <row r="859">
      <c r="A859" s="101">
        <f>YEAR(DIVIDENDOS[[#This Row],[Data Pagamento]])</f>
        <v/>
      </c>
      <c r="C859" s="103">
        <f>IFERROR(IF(DIVIDENDOS[[#This Row],[Data Pagamento]]="","",EOMONTH(B859,0)),"")</f>
        <v/>
      </c>
      <c r="D859" s="104">
        <f>IFERROR(IF(DIVIDENDOS[[#This Row],[Data Pagamento]]="","",DIVIDENDOS[[#This Row],[Data Pagamento]]),"")</f>
        <v/>
      </c>
      <c r="E859" s="168" t="n"/>
      <c r="F859" s="106" t="n"/>
    </row>
    <row r="860">
      <c r="A860" s="101">
        <f>YEAR(DIVIDENDOS[[#This Row],[Data Pagamento]])</f>
        <v/>
      </c>
      <c r="C860" s="103">
        <f>IFERROR(IF(DIVIDENDOS[[#This Row],[Data Pagamento]]="","",EOMONTH(B860,0)),"")</f>
        <v/>
      </c>
      <c r="D860" s="104">
        <f>IFERROR(IF(DIVIDENDOS[[#This Row],[Data Pagamento]]="","",DIVIDENDOS[[#This Row],[Data Pagamento]]),"")</f>
        <v/>
      </c>
      <c r="E860" s="168" t="n"/>
      <c r="F860" s="106" t="n"/>
    </row>
    <row r="861">
      <c r="A861" s="101">
        <f>YEAR(DIVIDENDOS[[#This Row],[Data Pagamento]])</f>
        <v/>
      </c>
      <c r="C861" s="103">
        <f>IFERROR(IF(DIVIDENDOS[[#This Row],[Data Pagamento]]="","",EOMONTH(B861,0)),"")</f>
        <v/>
      </c>
      <c r="D861" s="104">
        <f>IFERROR(IF(DIVIDENDOS[[#This Row],[Data Pagamento]]="","",DIVIDENDOS[[#This Row],[Data Pagamento]]),"")</f>
        <v/>
      </c>
      <c r="E861" s="168" t="n"/>
      <c r="F861" s="106" t="n"/>
    </row>
    <row r="862">
      <c r="A862" s="101">
        <f>YEAR(DIVIDENDOS[[#This Row],[Data Pagamento]])</f>
        <v/>
      </c>
      <c r="C862" s="103">
        <f>IFERROR(IF(DIVIDENDOS[[#This Row],[Data Pagamento]]="","",EOMONTH(B862,0)),"")</f>
        <v/>
      </c>
      <c r="D862" s="104">
        <f>IFERROR(IF(DIVIDENDOS[[#This Row],[Data Pagamento]]="","",DIVIDENDOS[[#This Row],[Data Pagamento]]),"")</f>
        <v/>
      </c>
      <c r="E862" s="168" t="n"/>
      <c r="F862" s="106" t="n"/>
    </row>
    <row r="863">
      <c r="A863" s="101">
        <f>YEAR(DIVIDENDOS[[#This Row],[Data Pagamento]])</f>
        <v/>
      </c>
      <c r="C863" s="103">
        <f>IFERROR(IF(DIVIDENDOS[[#This Row],[Data Pagamento]]="","",EOMONTH(B863,0)),"")</f>
        <v/>
      </c>
      <c r="D863" s="104">
        <f>IFERROR(IF(DIVIDENDOS[[#This Row],[Data Pagamento]]="","",DIVIDENDOS[[#This Row],[Data Pagamento]]),"")</f>
        <v/>
      </c>
      <c r="E863" s="168" t="n"/>
      <c r="F863" s="106" t="n"/>
    </row>
    <row r="864">
      <c r="A864" s="101">
        <f>YEAR(DIVIDENDOS[[#This Row],[Data Pagamento]])</f>
        <v/>
      </c>
      <c r="C864" s="103">
        <f>IFERROR(IF(DIVIDENDOS[[#This Row],[Data Pagamento]]="","",EOMONTH(B864,0)),"")</f>
        <v/>
      </c>
      <c r="D864" s="104">
        <f>IFERROR(IF(DIVIDENDOS[[#This Row],[Data Pagamento]]="","",DIVIDENDOS[[#This Row],[Data Pagamento]]),"")</f>
        <v/>
      </c>
      <c r="E864" s="168" t="n"/>
      <c r="F864" s="106" t="n"/>
    </row>
    <row r="865">
      <c r="A865" s="101">
        <f>YEAR(DIVIDENDOS[[#This Row],[Data Pagamento]])</f>
        <v/>
      </c>
      <c r="C865" s="103">
        <f>IFERROR(IF(DIVIDENDOS[[#This Row],[Data Pagamento]]="","",EOMONTH(B865,0)),"")</f>
        <v/>
      </c>
      <c r="D865" s="104">
        <f>IFERROR(IF(DIVIDENDOS[[#This Row],[Data Pagamento]]="","",DIVIDENDOS[[#This Row],[Data Pagamento]]),"")</f>
        <v/>
      </c>
      <c r="E865" s="168" t="n"/>
      <c r="F865" s="106" t="n"/>
    </row>
    <row r="866">
      <c r="A866" s="101">
        <f>YEAR(DIVIDENDOS[[#This Row],[Data Pagamento]])</f>
        <v/>
      </c>
      <c r="C866" s="103">
        <f>IFERROR(IF(DIVIDENDOS[[#This Row],[Data Pagamento]]="","",EOMONTH(B866,0)),"")</f>
        <v/>
      </c>
      <c r="D866" s="104">
        <f>IFERROR(IF(DIVIDENDOS[[#This Row],[Data Pagamento]]="","",DIVIDENDOS[[#This Row],[Data Pagamento]]),"")</f>
        <v/>
      </c>
      <c r="E866" s="168" t="n"/>
      <c r="F866" s="106" t="n"/>
    </row>
    <row r="867">
      <c r="A867" s="101">
        <f>YEAR(DIVIDENDOS[[#This Row],[Data Pagamento]])</f>
        <v/>
      </c>
      <c r="C867" s="103">
        <f>IFERROR(IF(DIVIDENDOS[[#This Row],[Data Pagamento]]="","",EOMONTH(B867,0)),"")</f>
        <v/>
      </c>
      <c r="D867" s="104">
        <f>IFERROR(IF(DIVIDENDOS[[#This Row],[Data Pagamento]]="","",DIVIDENDOS[[#This Row],[Data Pagamento]]),"")</f>
        <v/>
      </c>
      <c r="E867" s="168" t="n"/>
      <c r="F867" s="106" t="n"/>
    </row>
    <row r="868">
      <c r="A868" s="101">
        <f>YEAR(DIVIDENDOS[[#This Row],[Data Pagamento]])</f>
        <v/>
      </c>
      <c r="C868" s="103">
        <f>IFERROR(IF(DIVIDENDOS[[#This Row],[Data Pagamento]]="","",EOMONTH(B868,0)),"")</f>
        <v/>
      </c>
      <c r="D868" s="104">
        <f>IFERROR(IF(DIVIDENDOS[[#This Row],[Data Pagamento]]="","",DIVIDENDOS[[#This Row],[Data Pagamento]]),"")</f>
        <v/>
      </c>
      <c r="E868" s="168" t="n"/>
      <c r="F868" s="106" t="n"/>
    </row>
    <row r="869">
      <c r="A869" s="101">
        <f>YEAR(DIVIDENDOS[[#This Row],[Data Pagamento]])</f>
        <v/>
      </c>
      <c r="C869" s="103">
        <f>IFERROR(IF(DIVIDENDOS[[#This Row],[Data Pagamento]]="","",EOMONTH(B869,0)),"")</f>
        <v/>
      </c>
      <c r="D869" s="104">
        <f>IFERROR(IF(DIVIDENDOS[[#This Row],[Data Pagamento]]="","",DIVIDENDOS[[#This Row],[Data Pagamento]]),"")</f>
        <v/>
      </c>
      <c r="E869" s="168" t="n"/>
      <c r="F869" s="106" t="n"/>
    </row>
    <row r="870">
      <c r="A870" s="101">
        <f>YEAR(DIVIDENDOS[[#This Row],[Data Pagamento]])</f>
        <v/>
      </c>
      <c r="C870" s="103">
        <f>IFERROR(IF(DIVIDENDOS[[#This Row],[Data Pagamento]]="","",EOMONTH(B870,0)),"")</f>
        <v/>
      </c>
      <c r="D870" s="104">
        <f>IFERROR(IF(DIVIDENDOS[[#This Row],[Data Pagamento]]="","",DIVIDENDOS[[#This Row],[Data Pagamento]]),"")</f>
        <v/>
      </c>
      <c r="E870" s="168" t="n"/>
      <c r="F870" s="106" t="n"/>
    </row>
    <row r="871">
      <c r="A871" s="101">
        <f>YEAR(DIVIDENDOS[[#This Row],[Data Pagamento]])</f>
        <v/>
      </c>
      <c r="C871" s="103">
        <f>IFERROR(IF(DIVIDENDOS[[#This Row],[Data Pagamento]]="","",EOMONTH(B871,0)),"")</f>
        <v/>
      </c>
      <c r="D871" s="104">
        <f>IFERROR(IF(DIVIDENDOS[[#This Row],[Data Pagamento]]="","",DIVIDENDOS[[#This Row],[Data Pagamento]]),"")</f>
        <v/>
      </c>
      <c r="E871" s="168" t="n"/>
      <c r="F871" s="106" t="n"/>
    </row>
    <row r="872">
      <c r="A872" s="101">
        <f>YEAR(DIVIDENDOS[[#This Row],[Data Pagamento]])</f>
        <v/>
      </c>
      <c r="C872" s="103">
        <f>IFERROR(IF(DIVIDENDOS[[#This Row],[Data Pagamento]]="","",EOMONTH(B872,0)),"")</f>
        <v/>
      </c>
      <c r="D872" s="104">
        <f>IFERROR(IF(DIVIDENDOS[[#This Row],[Data Pagamento]]="","",DIVIDENDOS[[#This Row],[Data Pagamento]]),"")</f>
        <v/>
      </c>
      <c r="E872" s="168" t="n"/>
      <c r="F872" s="106" t="n"/>
    </row>
    <row r="873">
      <c r="A873" s="101">
        <f>YEAR(DIVIDENDOS[[#This Row],[Data Pagamento]])</f>
        <v/>
      </c>
      <c r="C873" s="103">
        <f>IFERROR(IF(DIVIDENDOS[[#This Row],[Data Pagamento]]="","",EOMONTH(B873,0)),"")</f>
        <v/>
      </c>
      <c r="D873" s="104">
        <f>IFERROR(IF(DIVIDENDOS[[#This Row],[Data Pagamento]]="","",DIVIDENDOS[[#This Row],[Data Pagamento]]),"")</f>
        <v/>
      </c>
      <c r="E873" s="168" t="n"/>
      <c r="F873" s="106" t="n"/>
    </row>
    <row r="874">
      <c r="A874" s="101">
        <f>YEAR(DIVIDENDOS[[#This Row],[Data Pagamento]])</f>
        <v/>
      </c>
      <c r="C874" s="103">
        <f>IFERROR(IF(DIVIDENDOS[[#This Row],[Data Pagamento]]="","",EOMONTH(B874,0)),"")</f>
        <v/>
      </c>
      <c r="D874" s="104">
        <f>IFERROR(IF(DIVIDENDOS[[#This Row],[Data Pagamento]]="","",DIVIDENDOS[[#This Row],[Data Pagamento]]),"")</f>
        <v/>
      </c>
      <c r="E874" s="168" t="n"/>
      <c r="F874" s="106" t="n"/>
    </row>
    <row r="875">
      <c r="A875" s="101">
        <f>YEAR(DIVIDENDOS[[#This Row],[Data Pagamento]])</f>
        <v/>
      </c>
      <c r="C875" s="103">
        <f>IFERROR(IF(DIVIDENDOS[[#This Row],[Data Pagamento]]="","",EOMONTH(B875,0)),"")</f>
        <v/>
      </c>
      <c r="D875" s="104">
        <f>IFERROR(IF(DIVIDENDOS[[#This Row],[Data Pagamento]]="","",DIVIDENDOS[[#This Row],[Data Pagamento]]),"")</f>
        <v/>
      </c>
      <c r="E875" s="168" t="n"/>
      <c r="F875" s="106" t="n"/>
    </row>
    <row r="876">
      <c r="A876" s="101">
        <f>YEAR(DIVIDENDOS[[#This Row],[Data Pagamento]])</f>
        <v/>
      </c>
      <c r="C876" s="103">
        <f>IFERROR(IF(DIVIDENDOS[[#This Row],[Data Pagamento]]="","",EOMONTH(B876,0)),"")</f>
        <v/>
      </c>
      <c r="D876" s="104">
        <f>IFERROR(IF(DIVIDENDOS[[#This Row],[Data Pagamento]]="","",DIVIDENDOS[[#This Row],[Data Pagamento]]),"")</f>
        <v/>
      </c>
      <c r="E876" s="168" t="n"/>
      <c r="F876" s="106" t="n"/>
    </row>
    <row r="877">
      <c r="A877" s="101">
        <f>YEAR(DIVIDENDOS[[#This Row],[Data Pagamento]])</f>
        <v/>
      </c>
      <c r="C877" s="103">
        <f>IFERROR(IF(DIVIDENDOS[[#This Row],[Data Pagamento]]="","",EOMONTH(B877,0)),"")</f>
        <v/>
      </c>
      <c r="D877" s="104">
        <f>IFERROR(IF(DIVIDENDOS[[#This Row],[Data Pagamento]]="","",DIVIDENDOS[[#This Row],[Data Pagamento]]),"")</f>
        <v/>
      </c>
      <c r="E877" s="168" t="n"/>
      <c r="F877" s="106" t="n"/>
    </row>
    <row r="878">
      <c r="A878" s="101">
        <f>YEAR(DIVIDENDOS[[#This Row],[Data Pagamento]])</f>
        <v/>
      </c>
      <c r="C878" s="103">
        <f>IFERROR(IF(DIVIDENDOS[[#This Row],[Data Pagamento]]="","",EOMONTH(B878,0)),"")</f>
        <v/>
      </c>
      <c r="D878" s="104">
        <f>IFERROR(IF(DIVIDENDOS[[#This Row],[Data Pagamento]]="","",DIVIDENDOS[[#This Row],[Data Pagamento]]),"")</f>
        <v/>
      </c>
      <c r="E878" s="168" t="n"/>
      <c r="F878" s="106" t="n"/>
    </row>
    <row r="879">
      <c r="A879" s="101">
        <f>YEAR(DIVIDENDOS[[#This Row],[Data Pagamento]])</f>
        <v/>
      </c>
      <c r="C879" s="103">
        <f>IFERROR(IF(DIVIDENDOS[[#This Row],[Data Pagamento]]="","",EOMONTH(B879,0)),"")</f>
        <v/>
      </c>
      <c r="D879" s="104">
        <f>IFERROR(IF(DIVIDENDOS[[#This Row],[Data Pagamento]]="","",DIVIDENDOS[[#This Row],[Data Pagamento]]),"")</f>
        <v/>
      </c>
      <c r="E879" s="168" t="n"/>
      <c r="F879" s="106" t="n"/>
    </row>
    <row r="880">
      <c r="A880" s="101">
        <f>YEAR(DIVIDENDOS[[#This Row],[Data Pagamento]])</f>
        <v/>
      </c>
      <c r="C880" s="103">
        <f>IFERROR(IF(DIVIDENDOS[[#This Row],[Data Pagamento]]="","",EOMONTH(B880,0)),"")</f>
        <v/>
      </c>
      <c r="D880" s="104">
        <f>IFERROR(IF(DIVIDENDOS[[#This Row],[Data Pagamento]]="","",DIVIDENDOS[[#This Row],[Data Pagamento]]),"")</f>
        <v/>
      </c>
      <c r="E880" s="168" t="n"/>
      <c r="F880" s="106" t="n"/>
    </row>
    <row r="881">
      <c r="A881" s="101">
        <f>YEAR(DIVIDENDOS[[#This Row],[Data Pagamento]])</f>
        <v/>
      </c>
      <c r="C881" s="103">
        <f>IFERROR(IF(DIVIDENDOS[[#This Row],[Data Pagamento]]="","",EOMONTH(B881,0)),"")</f>
        <v/>
      </c>
      <c r="D881" s="104">
        <f>IFERROR(IF(DIVIDENDOS[[#This Row],[Data Pagamento]]="","",DIVIDENDOS[[#This Row],[Data Pagamento]]),"")</f>
        <v/>
      </c>
      <c r="E881" s="168" t="n"/>
      <c r="F881" s="106" t="n"/>
    </row>
    <row r="882">
      <c r="A882" s="101">
        <f>YEAR(DIVIDENDOS[[#This Row],[Data Pagamento]])</f>
        <v/>
      </c>
      <c r="C882" s="103">
        <f>IFERROR(IF(DIVIDENDOS[[#This Row],[Data Pagamento]]="","",EOMONTH(B882,0)),"")</f>
        <v/>
      </c>
      <c r="D882" s="104">
        <f>IFERROR(IF(DIVIDENDOS[[#This Row],[Data Pagamento]]="","",DIVIDENDOS[[#This Row],[Data Pagamento]]),"")</f>
        <v/>
      </c>
      <c r="E882" s="168" t="n"/>
      <c r="F882" s="106" t="n"/>
    </row>
    <row r="883">
      <c r="A883" s="101">
        <f>YEAR(DIVIDENDOS[[#This Row],[Data Pagamento]])</f>
        <v/>
      </c>
      <c r="C883" s="103">
        <f>IFERROR(IF(DIVIDENDOS[[#This Row],[Data Pagamento]]="","",EOMONTH(B883,0)),"")</f>
        <v/>
      </c>
      <c r="D883" s="104">
        <f>IFERROR(IF(DIVIDENDOS[[#This Row],[Data Pagamento]]="","",DIVIDENDOS[[#This Row],[Data Pagamento]]),"")</f>
        <v/>
      </c>
      <c r="E883" s="168" t="n"/>
      <c r="F883" s="106" t="n"/>
    </row>
    <row r="884">
      <c r="A884" s="101">
        <f>YEAR(DIVIDENDOS[[#This Row],[Data Pagamento]])</f>
        <v/>
      </c>
      <c r="C884" s="103">
        <f>IFERROR(IF(DIVIDENDOS[[#This Row],[Data Pagamento]]="","",EOMONTH(B884,0)),"")</f>
        <v/>
      </c>
      <c r="D884" s="104">
        <f>IFERROR(IF(DIVIDENDOS[[#This Row],[Data Pagamento]]="","",DIVIDENDOS[[#This Row],[Data Pagamento]]),"")</f>
        <v/>
      </c>
      <c r="E884" s="168" t="n"/>
      <c r="F884" s="106" t="n"/>
    </row>
    <row r="885">
      <c r="A885" s="101">
        <f>YEAR(DIVIDENDOS[[#This Row],[Data Pagamento]])</f>
        <v/>
      </c>
      <c r="C885" s="103">
        <f>IFERROR(IF(DIVIDENDOS[[#This Row],[Data Pagamento]]="","",EOMONTH(B885,0)),"")</f>
        <v/>
      </c>
      <c r="D885" s="104">
        <f>IFERROR(IF(DIVIDENDOS[[#This Row],[Data Pagamento]]="","",DIVIDENDOS[[#This Row],[Data Pagamento]]),"")</f>
        <v/>
      </c>
      <c r="E885" s="168" t="n"/>
      <c r="F885" s="106" t="n"/>
    </row>
    <row r="886">
      <c r="A886" s="101">
        <f>YEAR(DIVIDENDOS[[#This Row],[Data Pagamento]])</f>
        <v/>
      </c>
      <c r="C886" s="103">
        <f>IFERROR(IF(DIVIDENDOS[[#This Row],[Data Pagamento]]="","",EOMONTH(B886,0)),"")</f>
        <v/>
      </c>
      <c r="D886" s="104">
        <f>IFERROR(IF(DIVIDENDOS[[#This Row],[Data Pagamento]]="","",DIVIDENDOS[[#This Row],[Data Pagamento]]),"")</f>
        <v/>
      </c>
      <c r="E886" s="168" t="n"/>
      <c r="F886" s="106" t="n"/>
    </row>
    <row r="887">
      <c r="A887" s="101">
        <f>YEAR(DIVIDENDOS[[#This Row],[Data Pagamento]])</f>
        <v/>
      </c>
      <c r="C887" s="103">
        <f>IFERROR(IF(DIVIDENDOS[[#This Row],[Data Pagamento]]="","",EOMONTH(B887,0)),"")</f>
        <v/>
      </c>
      <c r="D887" s="104">
        <f>IFERROR(IF(DIVIDENDOS[[#This Row],[Data Pagamento]]="","",DIVIDENDOS[[#This Row],[Data Pagamento]]),"")</f>
        <v/>
      </c>
      <c r="E887" s="168" t="n"/>
      <c r="F887" s="106" t="n"/>
    </row>
    <row r="888">
      <c r="A888" s="101">
        <f>YEAR(DIVIDENDOS[[#This Row],[Data Pagamento]])</f>
        <v/>
      </c>
      <c r="C888" s="103">
        <f>IFERROR(IF(DIVIDENDOS[[#This Row],[Data Pagamento]]="","",EOMONTH(B888,0)),"")</f>
        <v/>
      </c>
      <c r="D888" s="104">
        <f>IFERROR(IF(DIVIDENDOS[[#This Row],[Data Pagamento]]="","",DIVIDENDOS[[#This Row],[Data Pagamento]]),"")</f>
        <v/>
      </c>
      <c r="E888" s="168" t="n"/>
      <c r="F888" s="106" t="n"/>
    </row>
    <row r="889">
      <c r="A889" s="101">
        <f>YEAR(DIVIDENDOS[[#This Row],[Data Pagamento]])</f>
        <v/>
      </c>
      <c r="C889" s="103">
        <f>IFERROR(IF(DIVIDENDOS[[#This Row],[Data Pagamento]]="","",EOMONTH(B889,0)),"")</f>
        <v/>
      </c>
      <c r="D889" s="104">
        <f>IFERROR(IF(DIVIDENDOS[[#This Row],[Data Pagamento]]="","",DIVIDENDOS[[#This Row],[Data Pagamento]]),"")</f>
        <v/>
      </c>
      <c r="E889" s="168" t="n"/>
      <c r="F889" s="106" t="n"/>
    </row>
    <row r="890">
      <c r="A890" s="101">
        <f>YEAR(DIVIDENDOS[[#This Row],[Data Pagamento]])</f>
        <v/>
      </c>
      <c r="C890" s="103">
        <f>IFERROR(IF(DIVIDENDOS[[#This Row],[Data Pagamento]]="","",EOMONTH(B890,0)),"")</f>
        <v/>
      </c>
      <c r="D890" s="104">
        <f>IFERROR(IF(DIVIDENDOS[[#This Row],[Data Pagamento]]="","",DIVIDENDOS[[#This Row],[Data Pagamento]]),"")</f>
        <v/>
      </c>
      <c r="E890" s="168" t="n"/>
      <c r="F890" s="106" t="n"/>
    </row>
    <row r="891">
      <c r="A891" s="101">
        <f>YEAR(DIVIDENDOS[[#This Row],[Data Pagamento]])</f>
        <v/>
      </c>
      <c r="C891" s="103">
        <f>IFERROR(IF(DIVIDENDOS[[#This Row],[Data Pagamento]]="","",EOMONTH(B891,0)),"")</f>
        <v/>
      </c>
      <c r="D891" s="104">
        <f>IFERROR(IF(DIVIDENDOS[[#This Row],[Data Pagamento]]="","",DIVIDENDOS[[#This Row],[Data Pagamento]]),"")</f>
        <v/>
      </c>
      <c r="E891" s="168" t="n"/>
      <c r="F891" s="106" t="n"/>
    </row>
    <row r="892">
      <c r="A892" s="101">
        <f>YEAR(DIVIDENDOS[[#This Row],[Data Pagamento]])</f>
        <v/>
      </c>
      <c r="C892" s="103">
        <f>IFERROR(IF(DIVIDENDOS[[#This Row],[Data Pagamento]]="","",EOMONTH(B892,0)),"")</f>
        <v/>
      </c>
      <c r="D892" s="104">
        <f>IFERROR(IF(DIVIDENDOS[[#This Row],[Data Pagamento]]="","",DIVIDENDOS[[#This Row],[Data Pagamento]]),"")</f>
        <v/>
      </c>
      <c r="E892" s="168" t="n"/>
      <c r="F892" s="106" t="n"/>
    </row>
    <row r="893">
      <c r="A893" s="101">
        <f>YEAR(DIVIDENDOS[[#This Row],[Data Pagamento]])</f>
        <v/>
      </c>
      <c r="C893" s="103">
        <f>IFERROR(IF(DIVIDENDOS[[#This Row],[Data Pagamento]]="","",EOMONTH(B893,0)),"")</f>
        <v/>
      </c>
      <c r="D893" s="104">
        <f>IFERROR(IF(DIVIDENDOS[[#This Row],[Data Pagamento]]="","",DIVIDENDOS[[#This Row],[Data Pagamento]]),"")</f>
        <v/>
      </c>
      <c r="E893" s="168" t="n"/>
      <c r="F893" s="106" t="n"/>
    </row>
    <row r="894">
      <c r="A894" s="101">
        <f>YEAR(DIVIDENDOS[[#This Row],[Data Pagamento]])</f>
        <v/>
      </c>
      <c r="C894" s="103">
        <f>IFERROR(IF(DIVIDENDOS[[#This Row],[Data Pagamento]]="","",EOMONTH(B894,0)),"")</f>
        <v/>
      </c>
      <c r="D894" s="104">
        <f>IFERROR(IF(DIVIDENDOS[[#This Row],[Data Pagamento]]="","",DIVIDENDOS[[#This Row],[Data Pagamento]]),"")</f>
        <v/>
      </c>
      <c r="E894" s="168" t="n"/>
      <c r="F894" s="106" t="n"/>
    </row>
    <row r="895">
      <c r="A895" s="101">
        <f>YEAR(DIVIDENDOS[[#This Row],[Data Pagamento]])</f>
        <v/>
      </c>
      <c r="C895" s="103">
        <f>IFERROR(IF(DIVIDENDOS[[#This Row],[Data Pagamento]]="","",EOMONTH(B895,0)),"")</f>
        <v/>
      </c>
      <c r="D895" s="104">
        <f>IFERROR(IF(DIVIDENDOS[[#This Row],[Data Pagamento]]="","",DIVIDENDOS[[#This Row],[Data Pagamento]]),"")</f>
        <v/>
      </c>
      <c r="F895" s="106" t="n"/>
    </row>
    <row r="896">
      <c r="A896" s="101">
        <f>YEAR(DIVIDENDOS[[#This Row],[Data Pagamento]])</f>
        <v/>
      </c>
      <c r="C896" s="103">
        <f>IFERROR(IF(DIVIDENDOS[[#This Row],[Data Pagamento]]="","",EOMONTH(B896,0)),"")</f>
        <v/>
      </c>
      <c r="D896" s="104">
        <f>IFERROR(IF(DIVIDENDOS[[#This Row],[Data Pagamento]]="","",DIVIDENDOS[[#This Row],[Data Pagamento]]),"")</f>
        <v/>
      </c>
      <c r="F896" s="106" t="n"/>
    </row>
    <row r="897">
      <c r="A897" s="101">
        <f>YEAR(DIVIDENDOS[[#This Row],[Data Pagamento]])</f>
        <v/>
      </c>
      <c r="C897" s="103">
        <f>IFERROR(IF(DIVIDENDOS[[#This Row],[Data Pagamento]]="","",EOMONTH(B897,0)),"")</f>
        <v/>
      </c>
      <c r="D897" s="104">
        <f>IFERROR(IF(DIVIDENDOS[[#This Row],[Data Pagamento]]="","",DIVIDENDOS[[#This Row],[Data Pagamento]]),"")</f>
        <v/>
      </c>
      <c r="F897" s="106" t="n"/>
    </row>
    <row r="898">
      <c r="A898" s="101">
        <f>YEAR(DIVIDENDOS[[#This Row],[Data Pagamento]])</f>
        <v/>
      </c>
      <c r="C898" s="103">
        <f>IFERROR(IF(DIVIDENDOS[[#This Row],[Data Pagamento]]="","",EOMONTH(B898,0)),"")</f>
        <v/>
      </c>
      <c r="D898" s="104">
        <f>IFERROR(IF(DIVIDENDOS[[#This Row],[Data Pagamento]]="","",DIVIDENDOS[[#This Row],[Data Pagamento]]),"")</f>
        <v/>
      </c>
      <c r="F898" s="106" t="n"/>
    </row>
    <row r="899">
      <c r="A899" s="101">
        <f>YEAR(DIVIDENDOS[[#This Row],[Data Pagamento]])</f>
        <v/>
      </c>
      <c r="C899" s="103">
        <f>IFERROR(IF(DIVIDENDOS[[#This Row],[Data Pagamento]]="","",EOMONTH(B899,0)),"")</f>
        <v/>
      </c>
      <c r="D899" s="104">
        <f>IFERROR(IF(DIVIDENDOS[[#This Row],[Data Pagamento]]="","",DIVIDENDOS[[#This Row],[Data Pagamento]]),"")</f>
        <v/>
      </c>
      <c r="F899" s="106" t="n"/>
    </row>
    <row r="900">
      <c r="A900" s="101">
        <f>YEAR(DIVIDENDOS[[#This Row],[Data Pagamento]])</f>
        <v/>
      </c>
      <c r="C900" s="103">
        <f>IFERROR(IF(DIVIDENDOS[[#This Row],[Data Pagamento]]="","",EOMONTH(B900,0)),"")</f>
        <v/>
      </c>
      <c r="D900" s="104">
        <f>IFERROR(IF(DIVIDENDOS[[#This Row],[Data Pagamento]]="","",DIVIDENDOS[[#This Row],[Data Pagamento]]),"")</f>
        <v/>
      </c>
      <c r="F900" s="106" t="n"/>
    </row>
    <row r="901">
      <c r="A901" s="101">
        <f>YEAR(DIVIDENDOS[[#This Row],[Data Pagamento]])</f>
        <v/>
      </c>
      <c r="C901" s="103">
        <f>IFERROR(IF(DIVIDENDOS[[#This Row],[Data Pagamento]]="","",EOMONTH(B901,0)),"")</f>
        <v/>
      </c>
      <c r="D901" s="104">
        <f>IFERROR(IF(DIVIDENDOS[[#This Row],[Data Pagamento]]="","",DIVIDENDOS[[#This Row],[Data Pagamento]]),"")</f>
        <v/>
      </c>
      <c r="F901" s="106" t="n"/>
    </row>
    <row r="902">
      <c r="A902" s="101">
        <f>YEAR(DIVIDENDOS[[#This Row],[Data Pagamento]])</f>
        <v/>
      </c>
      <c r="C902" s="103">
        <f>IFERROR(IF(DIVIDENDOS[[#This Row],[Data Pagamento]]="","",EOMONTH(B902,0)),"")</f>
        <v/>
      </c>
      <c r="D902" s="104">
        <f>IFERROR(IF(DIVIDENDOS[[#This Row],[Data Pagamento]]="","",DIVIDENDOS[[#This Row],[Data Pagamento]]),"")</f>
        <v/>
      </c>
      <c r="F902" s="106" t="n"/>
    </row>
    <row r="903">
      <c r="A903" s="101">
        <f>YEAR(DIVIDENDOS[[#This Row],[Data Pagamento]])</f>
        <v/>
      </c>
      <c r="C903" s="103">
        <f>IFERROR(IF(DIVIDENDOS[[#This Row],[Data Pagamento]]="","",EOMONTH(B903,0)),"")</f>
        <v/>
      </c>
      <c r="D903" s="104">
        <f>IFERROR(IF(DIVIDENDOS[[#This Row],[Data Pagamento]]="","",DIVIDENDOS[[#This Row],[Data Pagamento]]),"")</f>
        <v/>
      </c>
      <c r="F903" s="106" t="n"/>
    </row>
    <row r="904">
      <c r="A904" s="101">
        <f>YEAR(DIVIDENDOS[[#This Row],[Data Pagamento]])</f>
        <v/>
      </c>
      <c r="C904" s="103">
        <f>IFERROR(IF(DIVIDENDOS[[#This Row],[Data Pagamento]]="","",EOMONTH(B904,0)),"")</f>
        <v/>
      </c>
      <c r="D904" s="104">
        <f>IFERROR(IF(DIVIDENDOS[[#This Row],[Data Pagamento]]="","",DIVIDENDOS[[#This Row],[Data Pagamento]]),"")</f>
        <v/>
      </c>
      <c r="F904" s="106" t="n"/>
    </row>
    <row r="905">
      <c r="A905" s="101">
        <f>YEAR(DIVIDENDOS[[#This Row],[Data Pagamento]])</f>
        <v/>
      </c>
      <c r="C905" s="103">
        <f>IFERROR(IF(DIVIDENDOS[[#This Row],[Data Pagamento]]="","",EOMONTH(B905,0)),"")</f>
        <v/>
      </c>
      <c r="D905" s="104">
        <f>IFERROR(IF(DIVIDENDOS[[#This Row],[Data Pagamento]]="","",DIVIDENDOS[[#This Row],[Data Pagamento]]),"")</f>
        <v/>
      </c>
      <c r="F905" s="106" t="n"/>
    </row>
    <row r="906">
      <c r="A906" s="101">
        <f>YEAR(DIVIDENDOS[[#This Row],[Data Pagamento]])</f>
        <v/>
      </c>
      <c r="C906" s="103">
        <f>IFERROR(IF(DIVIDENDOS[[#This Row],[Data Pagamento]]="","",EOMONTH(B906,0)),"")</f>
        <v/>
      </c>
      <c r="D906" s="104">
        <f>IFERROR(IF(DIVIDENDOS[[#This Row],[Data Pagamento]]="","",DIVIDENDOS[[#This Row],[Data Pagamento]]),"")</f>
        <v/>
      </c>
      <c r="F906" s="106" t="n"/>
    </row>
    <row r="907">
      <c r="A907" s="101">
        <f>YEAR(DIVIDENDOS[[#This Row],[Data Pagamento]])</f>
        <v/>
      </c>
      <c r="C907" s="103">
        <f>IFERROR(IF(DIVIDENDOS[[#This Row],[Data Pagamento]]="","",EOMONTH(B907,0)),"")</f>
        <v/>
      </c>
      <c r="D907" s="104">
        <f>IFERROR(IF(DIVIDENDOS[[#This Row],[Data Pagamento]]="","",DIVIDENDOS[[#This Row],[Data Pagamento]]),"")</f>
        <v/>
      </c>
      <c r="F907" s="106" t="n"/>
    </row>
    <row r="908">
      <c r="A908" s="101">
        <f>YEAR(DIVIDENDOS[[#This Row],[Data Pagamento]])</f>
        <v/>
      </c>
      <c r="C908" s="103">
        <f>IFERROR(IF(DIVIDENDOS[[#This Row],[Data Pagamento]]="","",EOMONTH(B908,0)),"")</f>
        <v/>
      </c>
      <c r="D908" s="104">
        <f>IFERROR(IF(DIVIDENDOS[[#This Row],[Data Pagamento]]="","",DIVIDENDOS[[#This Row],[Data Pagamento]]),"")</f>
        <v/>
      </c>
      <c r="F908" s="106" t="n"/>
    </row>
    <row r="909">
      <c r="A909" s="101">
        <f>YEAR(DIVIDENDOS[[#This Row],[Data Pagamento]])</f>
        <v/>
      </c>
      <c r="C909" s="103">
        <f>IFERROR(IF(DIVIDENDOS[[#This Row],[Data Pagamento]]="","",EOMONTH(B909,0)),"")</f>
        <v/>
      </c>
      <c r="D909" s="104">
        <f>IFERROR(IF(DIVIDENDOS[[#This Row],[Data Pagamento]]="","",DIVIDENDOS[[#This Row],[Data Pagamento]]),"")</f>
        <v/>
      </c>
      <c r="F909" s="106" t="n"/>
    </row>
    <row r="910">
      <c r="A910" s="101">
        <f>YEAR(DIVIDENDOS[[#This Row],[Data Pagamento]])</f>
        <v/>
      </c>
      <c r="C910" s="103">
        <f>IFERROR(IF(DIVIDENDOS[[#This Row],[Data Pagamento]]="","",EOMONTH(B910,0)),"")</f>
        <v/>
      </c>
      <c r="D910" s="104">
        <f>IFERROR(IF(DIVIDENDOS[[#This Row],[Data Pagamento]]="","",DIVIDENDOS[[#This Row],[Data Pagamento]]),"")</f>
        <v/>
      </c>
      <c r="F910" s="106" t="n"/>
    </row>
    <row r="911">
      <c r="A911" s="101">
        <f>YEAR(DIVIDENDOS[[#This Row],[Data Pagamento]])</f>
        <v/>
      </c>
      <c r="C911" s="103">
        <f>IFERROR(IF(DIVIDENDOS[[#This Row],[Data Pagamento]]="","",EOMONTH(B911,0)),"")</f>
        <v/>
      </c>
      <c r="D911" s="104">
        <f>IFERROR(IF(DIVIDENDOS[[#This Row],[Data Pagamento]]="","",DIVIDENDOS[[#This Row],[Data Pagamento]]),"")</f>
        <v/>
      </c>
      <c r="F911" s="106" t="n"/>
    </row>
    <row r="912">
      <c r="A912" s="101">
        <f>YEAR(DIVIDENDOS[[#This Row],[Data Pagamento]])</f>
        <v/>
      </c>
      <c r="C912" s="103">
        <f>IFERROR(IF(DIVIDENDOS[[#This Row],[Data Pagamento]]="","",EOMONTH(B912,0)),"")</f>
        <v/>
      </c>
      <c r="D912" s="104">
        <f>IFERROR(IF(DIVIDENDOS[[#This Row],[Data Pagamento]]="","",DIVIDENDOS[[#This Row],[Data Pagamento]]),"")</f>
        <v/>
      </c>
      <c r="F912" s="106" t="n"/>
    </row>
    <row r="913">
      <c r="A913" s="101">
        <f>YEAR(DIVIDENDOS[[#This Row],[Data Pagamento]])</f>
        <v/>
      </c>
      <c r="C913" s="103">
        <f>IFERROR(IF(DIVIDENDOS[[#This Row],[Data Pagamento]]="","",EOMONTH(B913,0)),"")</f>
        <v/>
      </c>
      <c r="D913" s="104">
        <f>IFERROR(IF(DIVIDENDOS[[#This Row],[Data Pagamento]]="","",DIVIDENDOS[[#This Row],[Data Pagamento]]),"")</f>
        <v/>
      </c>
      <c r="F913" s="106" t="n"/>
    </row>
    <row r="914">
      <c r="A914" s="101">
        <f>YEAR(DIVIDENDOS[[#This Row],[Data Pagamento]])</f>
        <v/>
      </c>
      <c r="C914" s="103">
        <f>IFERROR(IF(DIVIDENDOS[[#This Row],[Data Pagamento]]="","",EOMONTH(B914,0)),"")</f>
        <v/>
      </c>
      <c r="D914" s="104">
        <f>IFERROR(IF(DIVIDENDOS[[#This Row],[Data Pagamento]]="","",DIVIDENDOS[[#This Row],[Data Pagamento]]),"")</f>
        <v/>
      </c>
      <c r="F914" s="106" t="n"/>
    </row>
    <row r="915">
      <c r="A915" s="101">
        <f>YEAR(DIVIDENDOS[[#This Row],[Data Pagamento]])</f>
        <v/>
      </c>
      <c r="C915" s="103">
        <f>IFERROR(IF(DIVIDENDOS[[#This Row],[Data Pagamento]]="","",EOMONTH(B915,0)),"")</f>
        <v/>
      </c>
      <c r="D915" s="104">
        <f>IFERROR(IF(DIVIDENDOS[[#This Row],[Data Pagamento]]="","",DIVIDENDOS[[#This Row],[Data Pagamento]]),"")</f>
        <v/>
      </c>
      <c r="F915" s="106" t="n"/>
    </row>
    <row r="916">
      <c r="A916" s="101">
        <f>YEAR(DIVIDENDOS[[#This Row],[Data Pagamento]])</f>
        <v/>
      </c>
      <c r="C916" s="103">
        <f>IFERROR(IF(DIVIDENDOS[[#This Row],[Data Pagamento]]="","",EOMONTH(B916,0)),"")</f>
        <v/>
      </c>
      <c r="D916" s="104">
        <f>IFERROR(IF(DIVIDENDOS[[#This Row],[Data Pagamento]]="","",DIVIDENDOS[[#This Row],[Data Pagamento]]),"")</f>
        <v/>
      </c>
      <c r="F916" s="106" t="n"/>
    </row>
    <row r="917">
      <c r="A917" s="101">
        <f>YEAR(DIVIDENDOS[[#This Row],[Data Pagamento]])</f>
        <v/>
      </c>
      <c r="C917" s="103">
        <f>IFERROR(IF(DIVIDENDOS[[#This Row],[Data Pagamento]]="","",EOMONTH(B917,0)),"")</f>
        <v/>
      </c>
      <c r="D917" s="104">
        <f>IFERROR(IF(DIVIDENDOS[[#This Row],[Data Pagamento]]="","",DIVIDENDOS[[#This Row],[Data Pagamento]]),"")</f>
        <v/>
      </c>
      <c r="F917" s="106" t="n"/>
    </row>
    <row r="918">
      <c r="A918" s="101">
        <f>YEAR(DIVIDENDOS[[#This Row],[Data Pagamento]])</f>
        <v/>
      </c>
      <c r="C918" s="103">
        <f>IFERROR(IF(DIVIDENDOS[[#This Row],[Data Pagamento]]="","",EOMONTH(B918,0)),"")</f>
        <v/>
      </c>
      <c r="D918" s="104">
        <f>IFERROR(IF(DIVIDENDOS[[#This Row],[Data Pagamento]]="","",DIVIDENDOS[[#This Row],[Data Pagamento]]),"")</f>
        <v/>
      </c>
      <c r="F918" s="106" t="n"/>
    </row>
    <row r="919">
      <c r="A919" s="101">
        <f>YEAR(DIVIDENDOS[[#This Row],[Data Pagamento]])</f>
        <v/>
      </c>
      <c r="C919" s="103">
        <f>IFERROR(IF(DIVIDENDOS[[#This Row],[Data Pagamento]]="","",EOMONTH(B919,0)),"")</f>
        <v/>
      </c>
      <c r="D919" s="104">
        <f>IFERROR(IF(DIVIDENDOS[[#This Row],[Data Pagamento]]="","",DIVIDENDOS[[#This Row],[Data Pagamento]]),"")</f>
        <v/>
      </c>
      <c r="F919" s="106" t="n"/>
    </row>
    <row r="920">
      <c r="A920" s="101">
        <f>YEAR(DIVIDENDOS[[#This Row],[Data Pagamento]])</f>
        <v/>
      </c>
      <c r="C920" s="103">
        <f>IFERROR(IF(DIVIDENDOS[[#This Row],[Data Pagamento]]="","",EOMONTH(B920,0)),"")</f>
        <v/>
      </c>
      <c r="D920" s="104">
        <f>IFERROR(IF(DIVIDENDOS[[#This Row],[Data Pagamento]]="","",DIVIDENDOS[[#This Row],[Data Pagamento]]),"")</f>
        <v/>
      </c>
      <c r="F920" s="106" t="n"/>
    </row>
    <row r="921">
      <c r="A921" s="101">
        <f>YEAR(DIVIDENDOS[[#This Row],[Data Pagamento]])</f>
        <v/>
      </c>
      <c r="C921" s="103">
        <f>IFERROR(IF(DIVIDENDOS[[#This Row],[Data Pagamento]]="","",EOMONTH(B921,0)),"")</f>
        <v/>
      </c>
      <c r="D921" s="104">
        <f>IFERROR(IF(DIVIDENDOS[[#This Row],[Data Pagamento]]="","",DIVIDENDOS[[#This Row],[Data Pagamento]]),"")</f>
        <v/>
      </c>
      <c r="F921" s="106" t="n"/>
    </row>
    <row r="922">
      <c r="A922" s="101">
        <f>YEAR(DIVIDENDOS[[#This Row],[Data Pagamento]])</f>
        <v/>
      </c>
      <c r="C922" s="103">
        <f>IFERROR(IF(DIVIDENDOS[[#This Row],[Data Pagamento]]="","",EOMONTH(B922,0)),"")</f>
        <v/>
      </c>
      <c r="D922" s="104">
        <f>IFERROR(IF(DIVIDENDOS[[#This Row],[Data Pagamento]]="","",DIVIDENDOS[[#This Row],[Data Pagamento]]),"")</f>
        <v/>
      </c>
      <c r="F922" s="106" t="n"/>
    </row>
    <row r="923">
      <c r="A923" s="101">
        <f>YEAR(DIVIDENDOS[[#This Row],[Data Pagamento]])</f>
        <v/>
      </c>
      <c r="C923" s="103">
        <f>IFERROR(IF(DIVIDENDOS[[#This Row],[Data Pagamento]]="","",EOMONTH(B923,0)),"")</f>
        <v/>
      </c>
      <c r="D923" s="104">
        <f>IFERROR(IF(DIVIDENDOS[[#This Row],[Data Pagamento]]="","",DIVIDENDOS[[#This Row],[Data Pagamento]]),"")</f>
        <v/>
      </c>
      <c r="F923" s="106" t="n"/>
    </row>
    <row r="924">
      <c r="A924" s="101">
        <f>YEAR(DIVIDENDOS[[#This Row],[Data Pagamento]])</f>
        <v/>
      </c>
      <c r="C924" s="103">
        <f>IFERROR(IF(DIVIDENDOS[[#This Row],[Data Pagamento]]="","",EOMONTH(B924,0)),"")</f>
        <v/>
      </c>
      <c r="D924" s="104">
        <f>IFERROR(IF(DIVIDENDOS[[#This Row],[Data Pagamento]]="","",DIVIDENDOS[[#This Row],[Data Pagamento]]),"")</f>
        <v/>
      </c>
      <c r="F924" s="106" t="n"/>
    </row>
    <row r="925">
      <c r="A925" s="101">
        <f>YEAR(DIVIDENDOS[[#This Row],[Data Pagamento]])</f>
        <v/>
      </c>
      <c r="C925" s="103">
        <f>IFERROR(IF(DIVIDENDOS[[#This Row],[Data Pagamento]]="","",EOMONTH(B925,0)),"")</f>
        <v/>
      </c>
      <c r="D925" s="104">
        <f>IFERROR(IF(DIVIDENDOS[[#This Row],[Data Pagamento]]="","",DIVIDENDOS[[#This Row],[Data Pagamento]]),"")</f>
        <v/>
      </c>
      <c r="F925" s="106" t="n"/>
    </row>
    <row r="926">
      <c r="A926" s="101">
        <f>YEAR(DIVIDENDOS[[#This Row],[Data Pagamento]])</f>
        <v/>
      </c>
      <c r="C926" s="103">
        <f>IFERROR(IF(DIVIDENDOS[[#This Row],[Data Pagamento]]="","",EOMONTH(B926,0)),"")</f>
        <v/>
      </c>
      <c r="D926" s="104">
        <f>IFERROR(IF(DIVIDENDOS[[#This Row],[Data Pagamento]]="","",DIVIDENDOS[[#This Row],[Data Pagamento]]),"")</f>
        <v/>
      </c>
      <c r="F926" s="106" t="n"/>
    </row>
    <row r="927">
      <c r="A927" s="101">
        <f>YEAR(DIVIDENDOS[[#This Row],[Data Pagamento]])</f>
        <v/>
      </c>
      <c r="C927" s="103">
        <f>IFERROR(IF(DIVIDENDOS[[#This Row],[Data Pagamento]]="","",EOMONTH(B927,0)),"")</f>
        <v/>
      </c>
      <c r="D927" s="104">
        <f>IFERROR(IF(DIVIDENDOS[[#This Row],[Data Pagamento]]="","",DIVIDENDOS[[#This Row],[Data Pagamento]]),"")</f>
        <v/>
      </c>
      <c r="F927" s="106" t="n"/>
    </row>
    <row r="928">
      <c r="A928" s="101">
        <f>YEAR(DIVIDENDOS[[#This Row],[Data Pagamento]])</f>
        <v/>
      </c>
      <c r="C928" s="103">
        <f>IFERROR(IF(DIVIDENDOS[[#This Row],[Data Pagamento]]="","",EOMONTH(B928,0)),"")</f>
        <v/>
      </c>
      <c r="D928" s="104">
        <f>IFERROR(IF(DIVIDENDOS[[#This Row],[Data Pagamento]]="","",DIVIDENDOS[[#This Row],[Data Pagamento]]),"")</f>
        <v/>
      </c>
      <c r="F928" s="106" t="n"/>
    </row>
    <row r="929">
      <c r="A929" s="101">
        <f>YEAR(DIVIDENDOS[[#This Row],[Data Pagamento]])</f>
        <v/>
      </c>
      <c r="C929" s="103">
        <f>IFERROR(IF(DIVIDENDOS[[#This Row],[Data Pagamento]]="","",EOMONTH(B929,0)),"")</f>
        <v/>
      </c>
      <c r="D929" s="104">
        <f>IFERROR(IF(DIVIDENDOS[[#This Row],[Data Pagamento]]="","",DIVIDENDOS[[#This Row],[Data Pagamento]]),"")</f>
        <v/>
      </c>
      <c r="F929" s="106" t="n"/>
    </row>
    <row r="930">
      <c r="A930" s="101">
        <f>YEAR(DIVIDENDOS[[#This Row],[Data Pagamento]])</f>
        <v/>
      </c>
      <c r="C930" s="103">
        <f>IFERROR(IF(DIVIDENDOS[[#This Row],[Data Pagamento]]="","",EOMONTH(B930,0)),"")</f>
        <v/>
      </c>
      <c r="D930" s="104">
        <f>IFERROR(IF(DIVIDENDOS[[#This Row],[Data Pagamento]]="","",DIVIDENDOS[[#This Row],[Data Pagamento]]),"")</f>
        <v/>
      </c>
      <c r="F930" s="106" t="n"/>
    </row>
    <row r="931">
      <c r="A931" s="101">
        <f>YEAR(DIVIDENDOS[[#This Row],[Data Pagamento]])</f>
        <v/>
      </c>
      <c r="C931" s="103">
        <f>IFERROR(IF(DIVIDENDOS[[#This Row],[Data Pagamento]]="","",EOMONTH(B931,0)),"")</f>
        <v/>
      </c>
      <c r="D931" s="104">
        <f>IFERROR(IF(DIVIDENDOS[[#This Row],[Data Pagamento]]="","",DIVIDENDOS[[#This Row],[Data Pagamento]]),"")</f>
        <v/>
      </c>
      <c r="F931" s="106" t="n"/>
    </row>
    <row r="932">
      <c r="A932" s="101">
        <f>YEAR(DIVIDENDOS[[#This Row],[Data Pagamento]])</f>
        <v/>
      </c>
      <c r="C932" s="103">
        <f>IFERROR(IF(DIVIDENDOS[[#This Row],[Data Pagamento]]="","",EOMONTH(B932,0)),"")</f>
        <v/>
      </c>
      <c r="D932" s="104">
        <f>IFERROR(IF(DIVIDENDOS[[#This Row],[Data Pagamento]]="","",DIVIDENDOS[[#This Row],[Data Pagamento]]),"")</f>
        <v/>
      </c>
      <c r="F932" s="106" t="n"/>
    </row>
    <row r="933">
      <c r="A933" s="101">
        <f>YEAR(DIVIDENDOS[[#This Row],[Data Pagamento]])</f>
        <v/>
      </c>
      <c r="C933" s="103">
        <f>IFERROR(IF(DIVIDENDOS[[#This Row],[Data Pagamento]]="","",EOMONTH(B933,0)),"")</f>
        <v/>
      </c>
      <c r="D933" s="104">
        <f>IFERROR(IF(DIVIDENDOS[[#This Row],[Data Pagamento]]="","",DIVIDENDOS[[#This Row],[Data Pagamento]]),"")</f>
        <v/>
      </c>
      <c r="F933" s="106" t="n"/>
    </row>
    <row r="934">
      <c r="A934" s="101">
        <f>YEAR(DIVIDENDOS[[#This Row],[Data Pagamento]])</f>
        <v/>
      </c>
      <c r="C934" s="103">
        <f>IFERROR(IF(DIVIDENDOS[[#This Row],[Data Pagamento]]="","",EOMONTH(B934,0)),"")</f>
        <v/>
      </c>
      <c r="D934" s="104">
        <f>IFERROR(IF(DIVIDENDOS[[#This Row],[Data Pagamento]]="","",DIVIDENDOS[[#This Row],[Data Pagamento]]),"")</f>
        <v/>
      </c>
      <c r="F934" s="106" t="n"/>
    </row>
    <row r="935">
      <c r="A935" s="101">
        <f>YEAR(DIVIDENDOS[[#This Row],[Data Pagamento]])</f>
        <v/>
      </c>
      <c r="C935" s="103">
        <f>IFERROR(IF(DIVIDENDOS[[#This Row],[Data Pagamento]]="","",EOMONTH(B935,0)),"")</f>
        <v/>
      </c>
      <c r="D935" s="104">
        <f>IFERROR(IF(DIVIDENDOS[[#This Row],[Data Pagamento]]="","",DIVIDENDOS[[#This Row],[Data Pagamento]]),"")</f>
        <v/>
      </c>
      <c r="F935" s="106" t="n"/>
    </row>
    <row r="936">
      <c r="A936" s="101">
        <f>YEAR(DIVIDENDOS[[#This Row],[Data Pagamento]])</f>
        <v/>
      </c>
      <c r="C936" s="103">
        <f>IFERROR(IF(DIVIDENDOS[[#This Row],[Data Pagamento]]="","",EOMONTH(B936,0)),"")</f>
        <v/>
      </c>
      <c r="D936" s="104">
        <f>IFERROR(IF(DIVIDENDOS[[#This Row],[Data Pagamento]]="","",DIVIDENDOS[[#This Row],[Data Pagamento]]),"")</f>
        <v/>
      </c>
      <c r="F936" s="106" t="n"/>
    </row>
    <row r="937">
      <c r="A937" s="101">
        <f>YEAR(DIVIDENDOS[[#This Row],[Data Pagamento]])</f>
        <v/>
      </c>
      <c r="C937" s="103">
        <f>IFERROR(IF(DIVIDENDOS[[#This Row],[Data Pagamento]]="","",EOMONTH(B937,0)),"")</f>
        <v/>
      </c>
      <c r="D937" s="104">
        <f>IFERROR(IF(DIVIDENDOS[[#This Row],[Data Pagamento]]="","",DIVIDENDOS[[#This Row],[Data Pagamento]]),"")</f>
        <v/>
      </c>
      <c r="F937" s="106" t="n"/>
    </row>
    <row r="938">
      <c r="A938" s="101">
        <f>YEAR(DIVIDENDOS[[#This Row],[Data Pagamento]])</f>
        <v/>
      </c>
      <c r="C938" s="103">
        <f>IFERROR(IF(DIVIDENDOS[[#This Row],[Data Pagamento]]="","",EOMONTH(B938,0)),"")</f>
        <v/>
      </c>
      <c r="D938" s="104">
        <f>IFERROR(IF(DIVIDENDOS[[#This Row],[Data Pagamento]]="","",DIVIDENDOS[[#This Row],[Data Pagamento]]),"")</f>
        <v/>
      </c>
      <c r="F938" s="106" t="n"/>
    </row>
    <row r="939">
      <c r="A939" s="101">
        <f>YEAR(DIVIDENDOS[[#This Row],[Data Pagamento]])</f>
        <v/>
      </c>
      <c r="C939" s="103">
        <f>IFERROR(IF(DIVIDENDOS[[#This Row],[Data Pagamento]]="","",EOMONTH(B939,0)),"")</f>
        <v/>
      </c>
      <c r="D939" s="104">
        <f>IFERROR(IF(DIVIDENDOS[[#This Row],[Data Pagamento]]="","",DIVIDENDOS[[#This Row],[Data Pagamento]]),"")</f>
        <v/>
      </c>
      <c r="F939" s="106" t="n"/>
    </row>
    <row r="940">
      <c r="A940" s="101">
        <f>YEAR(DIVIDENDOS[[#This Row],[Data Pagamento]])</f>
        <v/>
      </c>
      <c r="C940" s="103">
        <f>IFERROR(IF(DIVIDENDOS[[#This Row],[Data Pagamento]]="","",EOMONTH(B940,0)),"")</f>
        <v/>
      </c>
      <c r="D940" s="104">
        <f>IFERROR(IF(DIVIDENDOS[[#This Row],[Data Pagamento]]="","",DIVIDENDOS[[#This Row],[Data Pagamento]]),"")</f>
        <v/>
      </c>
      <c r="F940" s="106" t="n"/>
    </row>
    <row r="941">
      <c r="A941" s="101">
        <f>YEAR(DIVIDENDOS[[#This Row],[Data Pagamento]])</f>
        <v/>
      </c>
      <c r="C941" s="103">
        <f>IFERROR(IF(DIVIDENDOS[[#This Row],[Data Pagamento]]="","",EOMONTH(B941,0)),"")</f>
        <v/>
      </c>
      <c r="D941" s="104">
        <f>IFERROR(IF(DIVIDENDOS[[#This Row],[Data Pagamento]]="","",DIVIDENDOS[[#This Row],[Data Pagamento]]),"")</f>
        <v/>
      </c>
      <c r="F941" s="106" t="n"/>
    </row>
    <row r="942">
      <c r="A942" s="101">
        <f>YEAR(DIVIDENDOS[[#This Row],[Data Pagamento]])</f>
        <v/>
      </c>
      <c r="C942" s="103">
        <f>IFERROR(IF(DIVIDENDOS[[#This Row],[Data Pagamento]]="","",EOMONTH(B942,0)),"")</f>
        <v/>
      </c>
      <c r="D942" s="104">
        <f>IFERROR(IF(DIVIDENDOS[[#This Row],[Data Pagamento]]="","",DIVIDENDOS[[#This Row],[Data Pagamento]]),"")</f>
        <v/>
      </c>
      <c r="F942" s="106" t="n"/>
    </row>
    <row r="943">
      <c r="A943" s="101">
        <f>YEAR(DIVIDENDOS[[#This Row],[Data Pagamento]])</f>
        <v/>
      </c>
      <c r="C943" s="103">
        <f>IFERROR(IF(DIVIDENDOS[[#This Row],[Data Pagamento]]="","",EOMONTH(B943,0)),"")</f>
        <v/>
      </c>
      <c r="D943" s="104">
        <f>IFERROR(IF(DIVIDENDOS[[#This Row],[Data Pagamento]]="","",DIVIDENDOS[[#This Row],[Data Pagamento]]),"")</f>
        <v/>
      </c>
      <c r="F943" s="106" t="n"/>
    </row>
    <row r="944">
      <c r="A944" s="101">
        <f>YEAR(DIVIDENDOS[[#This Row],[Data Pagamento]])</f>
        <v/>
      </c>
      <c r="C944" s="103">
        <f>IFERROR(IF(DIVIDENDOS[[#This Row],[Data Pagamento]]="","",EOMONTH(B944,0)),"")</f>
        <v/>
      </c>
      <c r="D944" s="104">
        <f>IFERROR(IF(DIVIDENDOS[[#This Row],[Data Pagamento]]="","",DIVIDENDOS[[#This Row],[Data Pagamento]]),"")</f>
        <v/>
      </c>
      <c r="F944" s="106" t="n"/>
    </row>
    <row r="945">
      <c r="A945" s="101">
        <f>YEAR(DIVIDENDOS[[#This Row],[Data Pagamento]])</f>
        <v/>
      </c>
      <c r="C945" s="103">
        <f>IFERROR(IF(DIVIDENDOS[[#This Row],[Data Pagamento]]="","",EOMONTH(B945,0)),"")</f>
        <v/>
      </c>
      <c r="D945" s="104">
        <f>IFERROR(IF(DIVIDENDOS[[#This Row],[Data Pagamento]]="","",DIVIDENDOS[[#This Row],[Data Pagamento]]),"")</f>
        <v/>
      </c>
      <c r="F945" s="106" t="n"/>
    </row>
    <row r="946">
      <c r="A946" s="101">
        <f>YEAR(DIVIDENDOS[[#This Row],[Data Pagamento]])</f>
        <v/>
      </c>
      <c r="C946" s="103">
        <f>IFERROR(IF(DIVIDENDOS[[#This Row],[Data Pagamento]]="","",EOMONTH(B946,0)),"")</f>
        <v/>
      </c>
      <c r="D946" s="104">
        <f>IFERROR(IF(DIVIDENDOS[[#This Row],[Data Pagamento]]="","",DIVIDENDOS[[#This Row],[Data Pagamento]]),"")</f>
        <v/>
      </c>
      <c r="F946" s="106" t="n"/>
    </row>
    <row r="947">
      <c r="A947" s="101">
        <f>YEAR(DIVIDENDOS[[#This Row],[Data Pagamento]])</f>
        <v/>
      </c>
      <c r="C947" s="103">
        <f>IFERROR(IF(DIVIDENDOS[[#This Row],[Data Pagamento]]="","",EOMONTH(B947,0)),"")</f>
        <v/>
      </c>
      <c r="D947" s="104">
        <f>IFERROR(IF(DIVIDENDOS[[#This Row],[Data Pagamento]]="","",DIVIDENDOS[[#This Row],[Data Pagamento]]),"")</f>
        <v/>
      </c>
      <c r="F947" s="106" t="n"/>
    </row>
    <row r="948">
      <c r="A948" s="101">
        <f>YEAR(DIVIDENDOS[[#This Row],[Data Pagamento]])</f>
        <v/>
      </c>
      <c r="C948" s="103">
        <f>IFERROR(IF(DIVIDENDOS[[#This Row],[Data Pagamento]]="","",EOMONTH(B948,0)),"")</f>
        <v/>
      </c>
      <c r="D948" s="104">
        <f>IFERROR(IF(DIVIDENDOS[[#This Row],[Data Pagamento]]="","",DIVIDENDOS[[#This Row],[Data Pagamento]]),"")</f>
        <v/>
      </c>
      <c r="F948" s="106" t="n"/>
    </row>
    <row r="949">
      <c r="A949" s="101">
        <f>YEAR(DIVIDENDOS[[#This Row],[Data Pagamento]])</f>
        <v/>
      </c>
      <c r="C949" s="103">
        <f>IFERROR(IF(DIVIDENDOS[[#This Row],[Data Pagamento]]="","",EOMONTH(B949,0)),"")</f>
        <v/>
      </c>
      <c r="D949" s="104">
        <f>IFERROR(IF(DIVIDENDOS[[#This Row],[Data Pagamento]]="","",DIVIDENDOS[[#This Row],[Data Pagamento]]),"")</f>
        <v/>
      </c>
      <c r="F949" s="106" t="n"/>
    </row>
    <row r="950">
      <c r="A950" s="101">
        <f>YEAR(DIVIDENDOS[[#This Row],[Data Pagamento]])</f>
        <v/>
      </c>
      <c r="C950" s="103">
        <f>IFERROR(IF(DIVIDENDOS[[#This Row],[Data Pagamento]]="","",EOMONTH(B950,0)),"")</f>
        <v/>
      </c>
      <c r="D950" s="104">
        <f>IFERROR(IF(DIVIDENDOS[[#This Row],[Data Pagamento]]="","",DIVIDENDOS[[#This Row],[Data Pagamento]]),"")</f>
        <v/>
      </c>
      <c r="F950" s="106" t="n"/>
    </row>
    <row r="951">
      <c r="A951" s="101">
        <f>YEAR(DIVIDENDOS[[#This Row],[Data Pagamento]])</f>
        <v/>
      </c>
      <c r="C951" s="103">
        <f>IFERROR(IF(DIVIDENDOS[[#This Row],[Data Pagamento]]="","",EOMONTH(B951,0)),"")</f>
        <v/>
      </c>
      <c r="D951" s="104">
        <f>IFERROR(IF(DIVIDENDOS[[#This Row],[Data Pagamento]]="","",DIVIDENDOS[[#This Row],[Data Pagamento]]),"")</f>
        <v/>
      </c>
      <c r="F951" s="106" t="n"/>
    </row>
    <row r="952">
      <c r="A952" s="101">
        <f>YEAR(DIVIDENDOS[[#This Row],[Data Pagamento]])</f>
        <v/>
      </c>
      <c r="C952" s="103">
        <f>IFERROR(IF(DIVIDENDOS[[#This Row],[Data Pagamento]]="","",EOMONTH(B952,0)),"")</f>
        <v/>
      </c>
      <c r="D952" s="104">
        <f>IFERROR(IF(DIVIDENDOS[[#This Row],[Data Pagamento]]="","",DIVIDENDOS[[#This Row],[Data Pagamento]]),"")</f>
        <v/>
      </c>
      <c r="F952" s="106" t="n"/>
    </row>
    <row r="953">
      <c r="A953" s="101">
        <f>YEAR(DIVIDENDOS[[#This Row],[Data Pagamento]])</f>
        <v/>
      </c>
      <c r="C953" s="103">
        <f>IFERROR(IF(DIVIDENDOS[[#This Row],[Data Pagamento]]="","",EOMONTH(B953,0)),"")</f>
        <v/>
      </c>
      <c r="D953" s="104">
        <f>IFERROR(IF(DIVIDENDOS[[#This Row],[Data Pagamento]]="","",DIVIDENDOS[[#This Row],[Data Pagamento]]),"")</f>
        <v/>
      </c>
      <c r="F953" s="106" t="n"/>
    </row>
    <row r="954">
      <c r="A954" s="101">
        <f>YEAR(DIVIDENDOS[[#This Row],[Data Pagamento]])</f>
        <v/>
      </c>
      <c r="C954" s="103">
        <f>IFERROR(IF(DIVIDENDOS[[#This Row],[Data Pagamento]]="","",EOMONTH(B954,0)),"")</f>
        <v/>
      </c>
      <c r="D954" s="104">
        <f>IFERROR(IF(DIVIDENDOS[[#This Row],[Data Pagamento]]="","",DIVIDENDOS[[#This Row],[Data Pagamento]]),"")</f>
        <v/>
      </c>
      <c r="F954" s="106" t="n"/>
    </row>
    <row r="955">
      <c r="A955" s="101">
        <f>YEAR(DIVIDENDOS[[#This Row],[Data Pagamento]])</f>
        <v/>
      </c>
      <c r="C955" s="103">
        <f>IFERROR(IF(DIVIDENDOS[[#This Row],[Data Pagamento]]="","",EOMONTH(B955,0)),"")</f>
        <v/>
      </c>
      <c r="D955" s="104">
        <f>IFERROR(IF(DIVIDENDOS[[#This Row],[Data Pagamento]]="","",DIVIDENDOS[[#This Row],[Data Pagamento]]),"")</f>
        <v/>
      </c>
      <c r="F955" s="106" t="n"/>
    </row>
    <row r="956">
      <c r="A956" s="101">
        <f>YEAR(DIVIDENDOS[[#This Row],[Data Pagamento]])</f>
        <v/>
      </c>
      <c r="C956" s="103">
        <f>IFERROR(IF(DIVIDENDOS[[#This Row],[Data Pagamento]]="","",EOMONTH(B956,0)),"")</f>
        <v/>
      </c>
      <c r="D956" s="104">
        <f>IFERROR(IF(DIVIDENDOS[[#This Row],[Data Pagamento]]="","",DIVIDENDOS[[#This Row],[Data Pagamento]]),"")</f>
        <v/>
      </c>
      <c r="F956" s="106" t="n"/>
    </row>
    <row r="957">
      <c r="A957" s="101">
        <f>YEAR(DIVIDENDOS[[#This Row],[Data Pagamento]])</f>
        <v/>
      </c>
      <c r="C957" s="103">
        <f>IFERROR(IF(DIVIDENDOS[[#This Row],[Data Pagamento]]="","",EOMONTH(B957,0)),"")</f>
        <v/>
      </c>
      <c r="D957" s="104">
        <f>IFERROR(IF(DIVIDENDOS[[#This Row],[Data Pagamento]]="","",DIVIDENDOS[[#This Row],[Data Pagamento]]),"")</f>
        <v/>
      </c>
      <c r="F957" s="106" t="n"/>
    </row>
    <row r="958">
      <c r="A958" s="101">
        <f>YEAR(DIVIDENDOS[[#This Row],[Data Pagamento]])</f>
        <v/>
      </c>
      <c r="C958" s="103">
        <f>IFERROR(IF(DIVIDENDOS[[#This Row],[Data Pagamento]]="","",EOMONTH(B958,0)),"")</f>
        <v/>
      </c>
      <c r="D958" s="104">
        <f>IFERROR(IF(DIVIDENDOS[[#This Row],[Data Pagamento]]="","",DIVIDENDOS[[#This Row],[Data Pagamento]]),"")</f>
        <v/>
      </c>
      <c r="F958" s="106" t="n"/>
    </row>
    <row r="959">
      <c r="A959" s="101">
        <f>YEAR(DIVIDENDOS[[#This Row],[Data Pagamento]])</f>
        <v/>
      </c>
      <c r="C959" s="103">
        <f>IFERROR(IF(DIVIDENDOS[[#This Row],[Data Pagamento]]="","",EOMONTH(B959,0)),"")</f>
        <v/>
      </c>
      <c r="D959" s="104">
        <f>IFERROR(IF(DIVIDENDOS[[#This Row],[Data Pagamento]]="","",DIVIDENDOS[[#This Row],[Data Pagamento]]),"")</f>
        <v/>
      </c>
      <c r="F959" s="106" t="n"/>
    </row>
    <row r="960">
      <c r="A960" s="101">
        <f>YEAR(DIVIDENDOS[[#This Row],[Data Pagamento]])</f>
        <v/>
      </c>
      <c r="C960" s="103">
        <f>IFERROR(IF(DIVIDENDOS[[#This Row],[Data Pagamento]]="","",EOMONTH(B960,0)),"")</f>
        <v/>
      </c>
      <c r="D960" s="104">
        <f>IFERROR(IF(DIVIDENDOS[[#This Row],[Data Pagamento]]="","",DIVIDENDOS[[#This Row],[Data Pagamento]]),"")</f>
        <v/>
      </c>
      <c r="F960" s="106" t="n"/>
    </row>
    <row r="961">
      <c r="A961" s="101">
        <f>YEAR(DIVIDENDOS[[#This Row],[Data Pagamento]])</f>
        <v/>
      </c>
      <c r="C961" s="103">
        <f>IFERROR(IF(DIVIDENDOS[[#This Row],[Data Pagamento]]="","",EOMONTH(B961,0)),"")</f>
        <v/>
      </c>
      <c r="D961" s="104">
        <f>IFERROR(IF(DIVIDENDOS[[#This Row],[Data Pagamento]]="","",DIVIDENDOS[[#This Row],[Data Pagamento]]),"")</f>
        <v/>
      </c>
      <c r="F961" s="106" t="n"/>
    </row>
    <row r="962">
      <c r="A962" s="101">
        <f>YEAR(DIVIDENDOS[[#This Row],[Data Pagamento]])</f>
        <v/>
      </c>
      <c r="C962" s="103">
        <f>IFERROR(IF(DIVIDENDOS[[#This Row],[Data Pagamento]]="","",EOMONTH(B962,0)),"")</f>
        <v/>
      </c>
      <c r="D962" s="104">
        <f>IFERROR(IF(DIVIDENDOS[[#This Row],[Data Pagamento]]="","",DIVIDENDOS[[#This Row],[Data Pagamento]]),"")</f>
        <v/>
      </c>
      <c r="F962" s="106" t="n"/>
    </row>
    <row r="963">
      <c r="A963" s="101">
        <f>YEAR(DIVIDENDOS[[#This Row],[Data Pagamento]])</f>
        <v/>
      </c>
      <c r="C963" s="103">
        <f>IFERROR(IF(DIVIDENDOS[[#This Row],[Data Pagamento]]="","",EOMONTH(B963,0)),"")</f>
        <v/>
      </c>
      <c r="D963" s="104">
        <f>IFERROR(IF(DIVIDENDOS[[#This Row],[Data Pagamento]]="","",DIVIDENDOS[[#This Row],[Data Pagamento]]),"")</f>
        <v/>
      </c>
      <c r="F963" s="106" t="n"/>
    </row>
    <row r="964">
      <c r="A964" s="101">
        <f>YEAR(DIVIDENDOS[[#This Row],[Data Pagamento]])</f>
        <v/>
      </c>
      <c r="C964" s="103">
        <f>IFERROR(IF(DIVIDENDOS[[#This Row],[Data Pagamento]]="","",EOMONTH(B964,0)),"")</f>
        <v/>
      </c>
      <c r="D964" s="104">
        <f>IFERROR(IF(DIVIDENDOS[[#This Row],[Data Pagamento]]="","",DIVIDENDOS[[#This Row],[Data Pagamento]]),"")</f>
        <v/>
      </c>
      <c r="F964" s="106" t="n"/>
    </row>
    <row r="965">
      <c r="A965" s="101">
        <f>YEAR(DIVIDENDOS[[#This Row],[Data Pagamento]])</f>
        <v/>
      </c>
      <c r="C965" s="103">
        <f>IFERROR(IF(DIVIDENDOS[[#This Row],[Data Pagamento]]="","",EOMONTH(B965,0)),"")</f>
        <v/>
      </c>
      <c r="D965" s="104">
        <f>IFERROR(IF(DIVIDENDOS[[#This Row],[Data Pagamento]]="","",DIVIDENDOS[[#This Row],[Data Pagamento]]),"")</f>
        <v/>
      </c>
      <c r="F965" s="106" t="n"/>
    </row>
    <row r="966">
      <c r="A966" s="101">
        <f>YEAR(DIVIDENDOS[[#This Row],[Data Pagamento]])</f>
        <v/>
      </c>
      <c r="C966" s="103">
        <f>IFERROR(IF(DIVIDENDOS[[#This Row],[Data Pagamento]]="","",EOMONTH(B966,0)),"")</f>
        <v/>
      </c>
      <c r="D966" s="104">
        <f>IFERROR(IF(DIVIDENDOS[[#This Row],[Data Pagamento]]="","",DIVIDENDOS[[#This Row],[Data Pagamento]]),"")</f>
        <v/>
      </c>
      <c r="F966" s="106" t="n"/>
    </row>
    <row r="967">
      <c r="A967" s="101">
        <f>YEAR(DIVIDENDOS[[#This Row],[Data Pagamento]])</f>
        <v/>
      </c>
      <c r="C967" s="103">
        <f>IFERROR(IF(DIVIDENDOS[[#This Row],[Data Pagamento]]="","",EOMONTH(B967,0)),"")</f>
        <v/>
      </c>
      <c r="D967" s="104">
        <f>IFERROR(IF(DIVIDENDOS[[#This Row],[Data Pagamento]]="","",DIVIDENDOS[[#This Row],[Data Pagamento]]),"")</f>
        <v/>
      </c>
      <c r="F967" s="106" t="n"/>
    </row>
    <row r="968">
      <c r="A968" s="101">
        <f>YEAR(DIVIDENDOS[[#This Row],[Data Pagamento]])</f>
        <v/>
      </c>
      <c r="C968" s="103">
        <f>IFERROR(IF(DIVIDENDOS[[#This Row],[Data Pagamento]]="","",EOMONTH(B968,0)),"")</f>
        <v/>
      </c>
      <c r="D968" s="104">
        <f>IFERROR(IF(DIVIDENDOS[[#This Row],[Data Pagamento]]="","",DIVIDENDOS[[#This Row],[Data Pagamento]]),"")</f>
        <v/>
      </c>
      <c r="F968" s="106" t="n"/>
    </row>
    <row r="969">
      <c r="A969" s="101">
        <f>YEAR(DIVIDENDOS[[#This Row],[Data Pagamento]])</f>
        <v/>
      </c>
      <c r="C969" s="103">
        <f>IFERROR(IF(DIVIDENDOS[[#This Row],[Data Pagamento]]="","",EOMONTH(B969,0)),"")</f>
        <v/>
      </c>
      <c r="D969" s="104">
        <f>IFERROR(IF(DIVIDENDOS[[#This Row],[Data Pagamento]]="","",DIVIDENDOS[[#This Row],[Data Pagamento]]),"")</f>
        <v/>
      </c>
      <c r="F969" s="106" t="n"/>
    </row>
    <row r="970">
      <c r="A970" s="101">
        <f>YEAR(DIVIDENDOS[[#This Row],[Data Pagamento]])</f>
        <v/>
      </c>
      <c r="C970" s="103">
        <f>IFERROR(IF(DIVIDENDOS[[#This Row],[Data Pagamento]]="","",EOMONTH(B970,0)),"")</f>
        <v/>
      </c>
      <c r="D970" s="104">
        <f>IFERROR(IF(DIVIDENDOS[[#This Row],[Data Pagamento]]="","",DIVIDENDOS[[#This Row],[Data Pagamento]]),"")</f>
        <v/>
      </c>
      <c r="F970" s="106" t="n"/>
    </row>
    <row r="971">
      <c r="A971" s="101">
        <f>YEAR(DIVIDENDOS[[#This Row],[Data Pagamento]])</f>
        <v/>
      </c>
      <c r="C971" s="103">
        <f>IFERROR(IF(DIVIDENDOS[[#This Row],[Data Pagamento]]="","",EOMONTH(B971,0)),"")</f>
        <v/>
      </c>
      <c r="D971" s="104">
        <f>IFERROR(IF(DIVIDENDOS[[#This Row],[Data Pagamento]]="","",DIVIDENDOS[[#This Row],[Data Pagamento]]),"")</f>
        <v/>
      </c>
      <c r="F971" s="106" t="n"/>
    </row>
    <row r="972">
      <c r="A972" s="101">
        <f>YEAR(DIVIDENDOS[[#This Row],[Data Pagamento]])</f>
        <v/>
      </c>
      <c r="C972" s="103">
        <f>IFERROR(IF(DIVIDENDOS[[#This Row],[Data Pagamento]]="","",EOMONTH(B972,0)),"")</f>
        <v/>
      </c>
      <c r="D972" s="104">
        <f>IFERROR(IF(DIVIDENDOS[[#This Row],[Data Pagamento]]="","",DIVIDENDOS[[#This Row],[Data Pagamento]]),"")</f>
        <v/>
      </c>
      <c r="F972" s="106" t="n"/>
    </row>
    <row r="973">
      <c r="A973" s="101">
        <f>YEAR(DIVIDENDOS[[#This Row],[Data Pagamento]])</f>
        <v/>
      </c>
      <c r="C973" s="103">
        <f>IFERROR(IF(DIVIDENDOS[[#This Row],[Data Pagamento]]="","",EOMONTH(B973,0)),"")</f>
        <v/>
      </c>
      <c r="D973" s="104">
        <f>IFERROR(IF(DIVIDENDOS[[#This Row],[Data Pagamento]]="","",DIVIDENDOS[[#This Row],[Data Pagamento]]),"")</f>
        <v/>
      </c>
      <c r="F973" s="106" t="n"/>
    </row>
    <row r="974">
      <c r="A974" s="101">
        <f>YEAR(DIVIDENDOS[[#This Row],[Data Pagamento]])</f>
        <v/>
      </c>
      <c r="C974" s="103">
        <f>IFERROR(IF(DIVIDENDOS[[#This Row],[Data Pagamento]]="","",EOMONTH(B974,0)),"")</f>
        <v/>
      </c>
      <c r="D974" s="104">
        <f>IFERROR(IF(DIVIDENDOS[[#This Row],[Data Pagamento]]="","",DIVIDENDOS[[#This Row],[Data Pagamento]]),"")</f>
        <v/>
      </c>
      <c r="F974" s="106" t="n"/>
    </row>
    <row r="975">
      <c r="A975" s="101">
        <f>YEAR(DIVIDENDOS[[#This Row],[Data Pagamento]])</f>
        <v/>
      </c>
      <c r="C975" s="103">
        <f>IFERROR(IF(DIVIDENDOS[[#This Row],[Data Pagamento]]="","",EOMONTH(B975,0)),"")</f>
        <v/>
      </c>
      <c r="D975" s="104">
        <f>IFERROR(IF(DIVIDENDOS[[#This Row],[Data Pagamento]]="","",DIVIDENDOS[[#This Row],[Data Pagamento]]),"")</f>
        <v/>
      </c>
      <c r="F975" s="106" t="n"/>
    </row>
    <row r="976">
      <c r="A976" s="101">
        <f>YEAR(DIVIDENDOS[[#This Row],[Data Pagamento]])</f>
        <v/>
      </c>
      <c r="C976" s="103">
        <f>IFERROR(IF(DIVIDENDOS[[#This Row],[Data Pagamento]]="","",EOMONTH(B976,0)),"")</f>
        <v/>
      </c>
      <c r="D976" s="104">
        <f>IFERROR(IF(DIVIDENDOS[[#This Row],[Data Pagamento]]="","",DIVIDENDOS[[#This Row],[Data Pagamento]]),"")</f>
        <v/>
      </c>
      <c r="F976" s="106" t="n"/>
    </row>
    <row r="977">
      <c r="A977" s="101">
        <f>YEAR(DIVIDENDOS[[#This Row],[Data Pagamento]])</f>
        <v/>
      </c>
      <c r="C977" s="103">
        <f>IFERROR(IF(DIVIDENDOS[[#This Row],[Data Pagamento]]="","",EOMONTH(B977,0)),"")</f>
        <v/>
      </c>
      <c r="D977" s="104">
        <f>IFERROR(IF(DIVIDENDOS[[#This Row],[Data Pagamento]]="","",DIVIDENDOS[[#This Row],[Data Pagamento]]),"")</f>
        <v/>
      </c>
      <c r="F977" s="106" t="n"/>
    </row>
    <row r="978">
      <c r="A978" s="101">
        <f>YEAR(DIVIDENDOS[[#This Row],[Data Pagamento]])</f>
        <v/>
      </c>
      <c r="C978" s="103">
        <f>IFERROR(IF(DIVIDENDOS[[#This Row],[Data Pagamento]]="","",EOMONTH(B978,0)),"")</f>
        <v/>
      </c>
      <c r="D978" s="104">
        <f>IFERROR(IF(DIVIDENDOS[[#This Row],[Data Pagamento]]="","",DIVIDENDOS[[#This Row],[Data Pagamento]]),"")</f>
        <v/>
      </c>
      <c r="F978" s="106" t="n"/>
    </row>
    <row r="979">
      <c r="A979" s="101">
        <f>YEAR(DIVIDENDOS[[#This Row],[Data Pagamento]])</f>
        <v/>
      </c>
      <c r="C979" s="103">
        <f>IFERROR(IF(DIVIDENDOS[[#This Row],[Data Pagamento]]="","",EOMONTH(B979,0)),"")</f>
        <v/>
      </c>
      <c r="D979" s="104">
        <f>IFERROR(IF(DIVIDENDOS[[#This Row],[Data Pagamento]]="","",DIVIDENDOS[[#This Row],[Data Pagamento]]),"")</f>
        <v/>
      </c>
      <c r="F979" s="106" t="n"/>
    </row>
    <row r="980">
      <c r="A980" s="101">
        <f>YEAR(DIVIDENDOS[[#This Row],[Data Pagamento]])</f>
        <v/>
      </c>
      <c r="C980" s="103">
        <f>IFERROR(IF(DIVIDENDOS[[#This Row],[Data Pagamento]]="","",EOMONTH(B980,0)),"")</f>
        <v/>
      </c>
      <c r="D980" s="104">
        <f>IFERROR(IF(DIVIDENDOS[[#This Row],[Data Pagamento]]="","",DIVIDENDOS[[#This Row],[Data Pagamento]]),"")</f>
        <v/>
      </c>
      <c r="F980" s="106" t="n"/>
    </row>
    <row r="981">
      <c r="A981" s="101">
        <f>YEAR(DIVIDENDOS[[#This Row],[Data Pagamento]])</f>
        <v/>
      </c>
      <c r="C981" s="103">
        <f>IFERROR(IF(DIVIDENDOS[[#This Row],[Data Pagamento]]="","",EOMONTH(B981,0)),"")</f>
        <v/>
      </c>
      <c r="D981" s="104">
        <f>IFERROR(IF(DIVIDENDOS[[#This Row],[Data Pagamento]]="","",DIVIDENDOS[[#This Row],[Data Pagamento]]),"")</f>
        <v/>
      </c>
      <c r="F981" s="106" t="n"/>
    </row>
    <row r="982">
      <c r="A982" s="101">
        <f>YEAR(DIVIDENDOS[[#This Row],[Data Pagamento]])</f>
        <v/>
      </c>
      <c r="C982" s="103">
        <f>IFERROR(IF(DIVIDENDOS[[#This Row],[Data Pagamento]]="","",EOMONTH(B982,0)),"")</f>
        <v/>
      </c>
      <c r="D982" s="104">
        <f>IFERROR(IF(DIVIDENDOS[[#This Row],[Data Pagamento]]="","",DIVIDENDOS[[#This Row],[Data Pagamento]]),"")</f>
        <v/>
      </c>
      <c r="F982" s="106" t="n"/>
    </row>
    <row r="983">
      <c r="A983" s="101">
        <f>YEAR(DIVIDENDOS[[#This Row],[Data Pagamento]])</f>
        <v/>
      </c>
      <c r="C983" s="103">
        <f>IFERROR(IF(DIVIDENDOS[[#This Row],[Data Pagamento]]="","",EOMONTH(B983,0)),"")</f>
        <v/>
      </c>
      <c r="D983" s="104">
        <f>IFERROR(IF(DIVIDENDOS[[#This Row],[Data Pagamento]]="","",DIVIDENDOS[[#This Row],[Data Pagamento]]),"")</f>
        <v/>
      </c>
      <c r="F983" s="106" t="n"/>
    </row>
    <row r="984">
      <c r="A984" s="101">
        <f>YEAR(DIVIDENDOS[[#This Row],[Data Pagamento]])</f>
        <v/>
      </c>
      <c r="C984" s="103">
        <f>IFERROR(IF(DIVIDENDOS[[#This Row],[Data Pagamento]]="","",EOMONTH(B984,0)),"")</f>
        <v/>
      </c>
      <c r="D984" s="104">
        <f>IFERROR(IF(DIVIDENDOS[[#This Row],[Data Pagamento]]="","",DIVIDENDOS[[#This Row],[Data Pagamento]]),"")</f>
        <v/>
      </c>
      <c r="F984" s="106" t="n"/>
    </row>
    <row r="985">
      <c r="A985" s="101">
        <f>YEAR(DIVIDENDOS[[#This Row],[Data Pagamento]])</f>
        <v/>
      </c>
      <c r="C985" s="103">
        <f>IFERROR(IF(DIVIDENDOS[[#This Row],[Data Pagamento]]="","",EOMONTH(B985,0)),"")</f>
        <v/>
      </c>
      <c r="D985" s="104">
        <f>IFERROR(IF(DIVIDENDOS[[#This Row],[Data Pagamento]]="","",DIVIDENDOS[[#This Row],[Data Pagamento]]),"")</f>
        <v/>
      </c>
      <c r="F985" s="106" t="n"/>
    </row>
    <row r="986">
      <c r="A986" s="101">
        <f>YEAR(DIVIDENDOS[[#This Row],[Data Pagamento]])</f>
        <v/>
      </c>
      <c r="C986" s="103">
        <f>IFERROR(IF(DIVIDENDOS[[#This Row],[Data Pagamento]]="","",EOMONTH(B986,0)),"")</f>
        <v/>
      </c>
      <c r="D986" s="104">
        <f>IFERROR(IF(DIVIDENDOS[[#This Row],[Data Pagamento]]="","",DIVIDENDOS[[#This Row],[Data Pagamento]]),"")</f>
        <v/>
      </c>
      <c r="F986" s="106" t="n"/>
    </row>
    <row r="987">
      <c r="A987" s="101">
        <f>YEAR(DIVIDENDOS[[#This Row],[Data Pagamento]])</f>
        <v/>
      </c>
      <c r="C987" s="103">
        <f>IFERROR(IF(DIVIDENDOS[[#This Row],[Data Pagamento]]="","",EOMONTH(B987,0)),"")</f>
        <v/>
      </c>
      <c r="D987" s="104">
        <f>IFERROR(IF(DIVIDENDOS[[#This Row],[Data Pagamento]]="","",DIVIDENDOS[[#This Row],[Data Pagamento]]),"")</f>
        <v/>
      </c>
      <c r="F987" s="106" t="n"/>
    </row>
    <row r="988">
      <c r="A988" s="101">
        <f>YEAR(DIVIDENDOS[[#This Row],[Data Pagamento]])</f>
        <v/>
      </c>
      <c r="C988" s="103">
        <f>IFERROR(IF(DIVIDENDOS[[#This Row],[Data Pagamento]]="","",EOMONTH(B988,0)),"")</f>
        <v/>
      </c>
      <c r="D988" s="104">
        <f>IFERROR(IF(DIVIDENDOS[[#This Row],[Data Pagamento]]="","",DIVIDENDOS[[#This Row],[Data Pagamento]]),"")</f>
        <v/>
      </c>
      <c r="F988" s="106" t="n"/>
    </row>
    <row r="989">
      <c r="A989" s="101">
        <f>YEAR(DIVIDENDOS[[#This Row],[Data Pagamento]])</f>
        <v/>
      </c>
      <c r="C989" s="103">
        <f>IFERROR(IF(DIVIDENDOS[[#This Row],[Data Pagamento]]="","",EOMONTH(B989,0)),"")</f>
        <v/>
      </c>
      <c r="D989" s="104">
        <f>IFERROR(IF(DIVIDENDOS[[#This Row],[Data Pagamento]]="","",DIVIDENDOS[[#This Row],[Data Pagamento]]),"")</f>
        <v/>
      </c>
      <c r="F989" s="106" t="n"/>
    </row>
    <row r="990">
      <c r="A990" s="101">
        <f>YEAR(DIVIDENDOS[[#This Row],[Data Pagamento]])</f>
        <v/>
      </c>
      <c r="C990" s="103">
        <f>IFERROR(IF(DIVIDENDOS[[#This Row],[Data Pagamento]]="","",EOMONTH(B990,0)),"")</f>
        <v/>
      </c>
      <c r="D990" s="104">
        <f>IFERROR(IF(DIVIDENDOS[[#This Row],[Data Pagamento]]="","",DIVIDENDOS[[#This Row],[Data Pagamento]]),"")</f>
        <v/>
      </c>
      <c r="F990" s="106" t="n"/>
    </row>
    <row r="991">
      <c r="A991" s="101">
        <f>YEAR(DIVIDENDOS[[#This Row],[Data Pagamento]])</f>
        <v/>
      </c>
      <c r="C991" s="103">
        <f>IFERROR(IF(DIVIDENDOS[[#This Row],[Data Pagamento]]="","",EOMONTH(B991,0)),"")</f>
        <v/>
      </c>
      <c r="D991" s="104">
        <f>IFERROR(IF(DIVIDENDOS[[#This Row],[Data Pagamento]]="","",DIVIDENDOS[[#This Row],[Data Pagamento]]),"")</f>
        <v/>
      </c>
      <c r="F991" s="106" t="n"/>
    </row>
    <row r="992">
      <c r="A992" s="101">
        <f>YEAR(DIVIDENDOS[[#This Row],[Data Pagamento]])</f>
        <v/>
      </c>
      <c r="C992" s="103">
        <f>IFERROR(IF(DIVIDENDOS[[#This Row],[Data Pagamento]]="","",EOMONTH(B992,0)),"")</f>
        <v/>
      </c>
      <c r="D992" s="104">
        <f>IFERROR(IF(DIVIDENDOS[[#This Row],[Data Pagamento]]="","",DIVIDENDOS[[#This Row],[Data Pagamento]]),"")</f>
        <v/>
      </c>
      <c r="F992" s="106" t="n"/>
    </row>
    <row r="993">
      <c r="A993" s="101">
        <f>YEAR(DIVIDENDOS[[#This Row],[Data Pagamento]])</f>
        <v/>
      </c>
      <c r="C993" s="103">
        <f>IFERROR(IF(DIVIDENDOS[[#This Row],[Data Pagamento]]="","",EOMONTH(B993,0)),"")</f>
        <v/>
      </c>
      <c r="D993" s="104">
        <f>IFERROR(IF(DIVIDENDOS[[#This Row],[Data Pagamento]]="","",DIVIDENDOS[[#This Row],[Data Pagamento]]),"")</f>
        <v/>
      </c>
      <c r="F993" s="106" t="n"/>
    </row>
    <row r="994">
      <c r="A994" s="101">
        <f>YEAR(DIVIDENDOS[[#This Row],[Data Pagamento]])</f>
        <v/>
      </c>
      <c r="C994" s="103">
        <f>IFERROR(IF(DIVIDENDOS[[#This Row],[Data Pagamento]]="","",EOMONTH(B994,0)),"")</f>
        <v/>
      </c>
      <c r="D994" s="104">
        <f>IFERROR(IF(DIVIDENDOS[[#This Row],[Data Pagamento]]="","",DIVIDENDOS[[#This Row],[Data Pagamento]]),"")</f>
        <v/>
      </c>
      <c r="F994" s="106" t="n"/>
    </row>
    <row r="995">
      <c r="A995" s="101">
        <f>YEAR(DIVIDENDOS[[#This Row],[Data Pagamento]])</f>
        <v/>
      </c>
      <c r="C995" s="103">
        <f>IFERROR(IF(DIVIDENDOS[[#This Row],[Data Pagamento]]="","",EOMONTH(B995,0)),"")</f>
        <v/>
      </c>
      <c r="D995" s="104">
        <f>IFERROR(IF(DIVIDENDOS[[#This Row],[Data Pagamento]]="","",DIVIDENDOS[[#This Row],[Data Pagamento]]),"")</f>
        <v/>
      </c>
      <c r="F995" s="106" t="n"/>
    </row>
    <row r="996">
      <c r="A996" s="101">
        <f>YEAR(DIVIDENDOS[[#This Row],[Data Pagamento]])</f>
        <v/>
      </c>
      <c r="C996" s="103">
        <f>IFERROR(IF(DIVIDENDOS[[#This Row],[Data Pagamento]]="","",EOMONTH(B996,0)),"")</f>
        <v/>
      </c>
      <c r="D996" s="104">
        <f>IFERROR(IF(DIVIDENDOS[[#This Row],[Data Pagamento]]="","",DIVIDENDOS[[#This Row],[Data Pagamento]]),"")</f>
        <v/>
      </c>
      <c r="F996" s="106" t="n"/>
    </row>
    <row r="997">
      <c r="A997" s="101">
        <f>YEAR(DIVIDENDOS[[#This Row],[Data Pagamento]])</f>
        <v/>
      </c>
      <c r="C997" s="103">
        <f>IFERROR(IF(DIVIDENDOS[[#This Row],[Data Pagamento]]="","",EOMONTH(B997,0)),"")</f>
        <v/>
      </c>
      <c r="D997" s="104">
        <f>IFERROR(IF(DIVIDENDOS[[#This Row],[Data Pagamento]]="","",DIVIDENDOS[[#This Row],[Data Pagamento]]),"")</f>
        <v/>
      </c>
      <c r="F997" s="106" t="n"/>
    </row>
    <row r="998">
      <c r="A998" s="101">
        <f>YEAR(DIVIDENDOS[[#This Row],[Data Pagamento]])</f>
        <v/>
      </c>
      <c r="C998" s="103">
        <f>IFERROR(IF(DIVIDENDOS[[#This Row],[Data Pagamento]]="","",EOMONTH(B998,0)),"")</f>
        <v/>
      </c>
      <c r="D998" s="104">
        <f>IFERROR(IF(DIVIDENDOS[[#This Row],[Data Pagamento]]="","",DIVIDENDOS[[#This Row],[Data Pagamento]]),"")</f>
        <v/>
      </c>
      <c r="F998" s="106" t="n"/>
    </row>
    <row r="999">
      <c r="A999" s="101">
        <f>YEAR(DIVIDENDOS[[#This Row],[Data Pagamento]])</f>
        <v/>
      </c>
      <c r="C999" s="103">
        <f>IFERROR(IF(DIVIDENDOS[[#This Row],[Data Pagamento]]="","",EOMONTH(B999,0)),"")</f>
        <v/>
      </c>
      <c r="D999" s="104">
        <f>IFERROR(IF(DIVIDENDOS[[#This Row],[Data Pagamento]]="","",DIVIDENDOS[[#This Row],[Data Pagamento]]),"")</f>
        <v/>
      </c>
      <c r="F999" s="106" t="n"/>
    </row>
    <row r="1000">
      <c r="A1000" s="101">
        <f>YEAR(DIVIDENDOS[[#This Row],[Data Pagamento]])</f>
        <v/>
      </c>
      <c r="C1000" s="103">
        <f>IFERROR(IF(DIVIDENDOS[[#This Row],[Data Pagamento]]="","",EOMONTH(B1000,0)),"")</f>
        <v/>
      </c>
      <c r="D1000" s="104">
        <f>IFERROR(IF(DIVIDENDOS[[#This Row],[Data Pagamento]]="","",DIVIDENDOS[[#This Row],[Data Pagamento]]),"")</f>
        <v/>
      </c>
      <c r="F1000" s="106" t="n"/>
    </row>
    <row r="1001">
      <c r="A1001" s="101">
        <f>YEAR(DIVIDENDOS[[#This Row],[Data Pagamento]])</f>
        <v/>
      </c>
      <c r="C1001" s="103">
        <f>IFERROR(IF(DIVIDENDOS[[#This Row],[Data Pagamento]]="","",EOMONTH(B1001,0)),"")</f>
        <v/>
      </c>
      <c r="D1001" s="104">
        <f>IFERROR(IF(DIVIDENDOS[[#This Row],[Data Pagamento]]="","",DIVIDENDOS[[#This Row],[Data Pagamento]]),"")</f>
        <v/>
      </c>
      <c r="F1001" s="106" t="n"/>
    </row>
    <row r="1002">
      <c r="A1002" s="101">
        <f>YEAR(DIVIDENDOS[[#This Row],[Data Pagamento]])</f>
        <v/>
      </c>
      <c r="C1002" s="103">
        <f>IFERROR(IF(DIVIDENDOS[[#This Row],[Data Pagamento]]="","",EOMONTH(B1002,0)),"")</f>
        <v/>
      </c>
      <c r="D1002" s="104">
        <f>IFERROR(IF(DIVIDENDOS[[#This Row],[Data Pagamento]]="","",DIVIDENDOS[[#This Row],[Data Pagamento]]),"")</f>
        <v/>
      </c>
      <c r="F1002" s="106" t="n"/>
    </row>
    <row r="1003">
      <c r="A1003" s="101">
        <f>YEAR(DIVIDENDOS[[#This Row],[Data Pagamento]])</f>
        <v/>
      </c>
      <c r="C1003" s="103">
        <f>IFERROR(IF(DIVIDENDOS[[#This Row],[Data Pagamento]]="","",EOMONTH(B1003,0)),"")</f>
        <v/>
      </c>
      <c r="D1003" s="104">
        <f>IFERROR(IF(DIVIDENDOS[[#This Row],[Data Pagamento]]="","",DIVIDENDOS[[#This Row],[Data Pagamento]]),"")</f>
        <v/>
      </c>
      <c r="F1003" s="106" t="n"/>
    </row>
    <row r="1004">
      <c r="A1004" s="101">
        <f>YEAR(DIVIDENDOS[[#This Row],[Data Pagamento]])</f>
        <v/>
      </c>
      <c r="C1004" s="103">
        <f>IFERROR(IF(DIVIDENDOS[[#This Row],[Data Pagamento]]="","",EOMONTH(B1004,0)),"")</f>
        <v/>
      </c>
      <c r="D1004" s="104">
        <f>IFERROR(IF(DIVIDENDOS[[#This Row],[Data Pagamento]]="","",DIVIDENDOS[[#This Row],[Data Pagamento]]),"")</f>
        <v/>
      </c>
      <c r="F1004" s="106" t="n"/>
    </row>
    <row r="1005">
      <c r="A1005" s="101">
        <f>YEAR(DIVIDENDOS[[#This Row],[Data Pagamento]])</f>
        <v/>
      </c>
      <c r="C1005" s="103">
        <f>IFERROR(IF(DIVIDENDOS[[#This Row],[Data Pagamento]]="","",EOMONTH(B1005,0)),"")</f>
        <v/>
      </c>
      <c r="D1005" s="104">
        <f>IFERROR(IF(DIVIDENDOS[[#This Row],[Data Pagamento]]="","",DIVIDENDOS[[#This Row],[Data Pagamento]]),"")</f>
        <v/>
      </c>
      <c r="F1005" s="106" t="n"/>
    </row>
    <row r="1006">
      <c r="A1006" s="101">
        <f>YEAR(DIVIDENDOS[[#This Row],[Data Pagamento]])</f>
        <v/>
      </c>
      <c r="C1006" s="103">
        <f>IFERROR(IF(DIVIDENDOS[[#This Row],[Data Pagamento]]="","",EOMONTH(B1006,0)),"")</f>
        <v/>
      </c>
      <c r="D1006" s="104">
        <f>IFERROR(IF(DIVIDENDOS[[#This Row],[Data Pagamento]]="","",DIVIDENDOS[[#This Row],[Data Pagamento]]),"")</f>
        <v/>
      </c>
      <c r="F1006" s="106" t="n"/>
    </row>
    <row r="1007">
      <c r="A1007" s="101">
        <f>YEAR(DIVIDENDOS[[#This Row],[Data Pagamento]])</f>
        <v/>
      </c>
      <c r="C1007" s="103">
        <f>IFERROR(IF(DIVIDENDOS[[#This Row],[Data Pagamento]]="","",EOMONTH(B1007,0)),"")</f>
        <v/>
      </c>
      <c r="D1007" s="104">
        <f>IFERROR(IF(DIVIDENDOS[[#This Row],[Data Pagamento]]="","",DIVIDENDOS[[#This Row],[Data Pagamento]]),"")</f>
        <v/>
      </c>
      <c r="F1007" s="106" t="n"/>
    </row>
    <row r="1008">
      <c r="A1008" s="101">
        <f>YEAR(DIVIDENDOS[[#This Row],[Data Pagamento]])</f>
        <v/>
      </c>
      <c r="C1008" s="103">
        <f>IFERROR(IF(DIVIDENDOS[[#This Row],[Data Pagamento]]="","",EOMONTH(B1008,0)),"")</f>
        <v/>
      </c>
      <c r="D1008" s="104">
        <f>IFERROR(IF(DIVIDENDOS[[#This Row],[Data Pagamento]]="","",DIVIDENDOS[[#This Row],[Data Pagamento]]),"")</f>
        <v/>
      </c>
      <c r="F1008" s="106" t="n"/>
    </row>
    <row r="1009">
      <c r="A1009" s="101">
        <f>YEAR(DIVIDENDOS[[#This Row],[Data Pagamento]])</f>
        <v/>
      </c>
      <c r="C1009" s="103">
        <f>IFERROR(IF(DIVIDENDOS[[#This Row],[Data Pagamento]]="","",EOMONTH(B1009,0)),"")</f>
        <v/>
      </c>
      <c r="D1009" s="104">
        <f>IFERROR(IF(DIVIDENDOS[[#This Row],[Data Pagamento]]="","",DIVIDENDOS[[#This Row],[Data Pagamento]]),"")</f>
        <v/>
      </c>
      <c r="F1009" s="106" t="n"/>
    </row>
    <row r="1010">
      <c r="A1010" s="101">
        <f>YEAR(DIVIDENDOS[[#This Row],[Data Pagamento]])</f>
        <v/>
      </c>
      <c r="C1010" s="103">
        <f>IFERROR(IF(DIVIDENDOS[[#This Row],[Data Pagamento]]="","",EOMONTH(B1010,0)),"")</f>
        <v/>
      </c>
      <c r="D1010" s="104">
        <f>IFERROR(IF(DIVIDENDOS[[#This Row],[Data Pagamento]]="","",DIVIDENDOS[[#This Row],[Data Pagamento]]),"")</f>
        <v/>
      </c>
      <c r="F1010" s="106" t="n"/>
    </row>
    <row r="1011">
      <c r="A1011" s="101">
        <f>YEAR(DIVIDENDOS[[#This Row],[Data Pagamento]])</f>
        <v/>
      </c>
      <c r="C1011" s="103">
        <f>IFERROR(IF(DIVIDENDOS[[#This Row],[Data Pagamento]]="","",EOMONTH(B1011,0)),"")</f>
        <v/>
      </c>
      <c r="D1011" s="104">
        <f>IFERROR(IF(DIVIDENDOS[[#This Row],[Data Pagamento]]="","",DIVIDENDOS[[#This Row],[Data Pagamento]]),"")</f>
        <v/>
      </c>
      <c r="F1011" s="106" t="n"/>
    </row>
    <row r="1012">
      <c r="A1012" s="101">
        <f>YEAR(DIVIDENDOS[[#This Row],[Data Pagamento]])</f>
        <v/>
      </c>
      <c r="C1012" s="103">
        <f>IFERROR(IF(DIVIDENDOS[[#This Row],[Data Pagamento]]="","",EOMONTH(B1012,0)),"")</f>
        <v/>
      </c>
      <c r="D1012" s="104">
        <f>IFERROR(IF(DIVIDENDOS[[#This Row],[Data Pagamento]]="","",DIVIDENDOS[[#This Row],[Data Pagamento]]),"")</f>
        <v/>
      </c>
      <c r="F1012" s="106" t="n"/>
    </row>
    <row r="1013">
      <c r="A1013" s="101">
        <f>YEAR(DIVIDENDOS[[#This Row],[Data Pagamento]])</f>
        <v/>
      </c>
      <c r="C1013" s="103">
        <f>IFERROR(IF(DIVIDENDOS[[#This Row],[Data Pagamento]]="","",EOMONTH(B1013,0)),"")</f>
        <v/>
      </c>
      <c r="D1013" s="104">
        <f>IFERROR(IF(DIVIDENDOS[[#This Row],[Data Pagamento]]="","",DIVIDENDOS[[#This Row],[Data Pagamento]]),"")</f>
        <v/>
      </c>
      <c r="F1013" s="106" t="n"/>
    </row>
    <row r="1014">
      <c r="A1014" s="101">
        <f>YEAR(DIVIDENDOS[[#This Row],[Data Pagamento]])</f>
        <v/>
      </c>
      <c r="C1014" s="103">
        <f>IFERROR(IF(DIVIDENDOS[[#This Row],[Data Pagamento]]="","",EOMONTH(B1014,0)),"")</f>
        <v/>
      </c>
      <c r="D1014" s="104">
        <f>IFERROR(IF(DIVIDENDOS[[#This Row],[Data Pagamento]]="","",DIVIDENDOS[[#This Row],[Data Pagamento]]),"")</f>
        <v/>
      </c>
      <c r="F1014" s="106" t="n"/>
    </row>
    <row r="1015">
      <c r="A1015" s="101">
        <f>YEAR(DIVIDENDOS[[#This Row],[Data Pagamento]])</f>
        <v/>
      </c>
      <c r="C1015" s="103">
        <f>IFERROR(IF(DIVIDENDOS[[#This Row],[Data Pagamento]]="","",EOMONTH(B1015,0)),"")</f>
        <v/>
      </c>
      <c r="D1015" s="104">
        <f>IFERROR(IF(DIVIDENDOS[[#This Row],[Data Pagamento]]="","",DIVIDENDOS[[#This Row],[Data Pagamento]]),"")</f>
        <v/>
      </c>
      <c r="F1015" s="106" t="n"/>
    </row>
    <row r="1016">
      <c r="A1016" s="101">
        <f>YEAR(DIVIDENDOS[[#This Row],[Data Pagamento]])</f>
        <v/>
      </c>
      <c r="C1016" s="103">
        <f>IFERROR(IF(DIVIDENDOS[[#This Row],[Data Pagamento]]="","",EOMONTH(B1016,0)),"")</f>
        <v/>
      </c>
      <c r="D1016" s="104">
        <f>IFERROR(IF(DIVIDENDOS[[#This Row],[Data Pagamento]]="","",DIVIDENDOS[[#This Row],[Data Pagamento]]),"")</f>
        <v/>
      </c>
      <c r="F1016" s="106" t="n"/>
    </row>
    <row r="1017">
      <c r="A1017" s="101">
        <f>YEAR(DIVIDENDOS[[#This Row],[Data Pagamento]])</f>
        <v/>
      </c>
      <c r="C1017" s="103">
        <f>IFERROR(IF(DIVIDENDOS[[#This Row],[Data Pagamento]]="","",EOMONTH(B1017,0)),"")</f>
        <v/>
      </c>
      <c r="D1017" s="104">
        <f>IFERROR(IF(DIVIDENDOS[[#This Row],[Data Pagamento]]="","",DIVIDENDOS[[#This Row],[Data Pagamento]]),"")</f>
        <v/>
      </c>
      <c r="F1017" s="106" t="n"/>
    </row>
    <row r="1018">
      <c r="A1018" s="101">
        <f>YEAR(DIVIDENDOS[[#This Row],[Data Pagamento]])</f>
        <v/>
      </c>
      <c r="C1018" s="103">
        <f>IFERROR(IF(DIVIDENDOS[[#This Row],[Data Pagamento]]="","",EOMONTH(B1018,0)),"")</f>
        <v/>
      </c>
      <c r="D1018" s="104">
        <f>IFERROR(IF(DIVIDENDOS[[#This Row],[Data Pagamento]]="","",DIVIDENDOS[[#This Row],[Data Pagamento]]),"")</f>
        <v/>
      </c>
      <c r="F1018" s="106" t="n"/>
    </row>
    <row r="1019">
      <c r="A1019" s="101">
        <f>YEAR(DIVIDENDOS[[#This Row],[Data Pagamento]])</f>
        <v/>
      </c>
      <c r="C1019" s="103">
        <f>IFERROR(IF(DIVIDENDOS[[#This Row],[Data Pagamento]]="","",EOMONTH(B1019,0)),"")</f>
        <v/>
      </c>
      <c r="D1019" s="104">
        <f>IFERROR(IF(DIVIDENDOS[[#This Row],[Data Pagamento]]="","",DIVIDENDOS[[#This Row],[Data Pagamento]]),"")</f>
        <v/>
      </c>
      <c r="F1019" s="106" t="n"/>
    </row>
    <row r="1020">
      <c r="A1020" s="101">
        <f>YEAR(DIVIDENDOS[[#This Row],[Data Pagamento]])</f>
        <v/>
      </c>
      <c r="C1020" s="103">
        <f>IFERROR(IF(DIVIDENDOS[[#This Row],[Data Pagamento]]="","",EOMONTH(B1020,0)),"")</f>
        <v/>
      </c>
      <c r="D1020" s="104">
        <f>IFERROR(IF(DIVIDENDOS[[#This Row],[Data Pagamento]]="","",DIVIDENDOS[[#This Row],[Data Pagamento]]),"")</f>
        <v/>
      </c>
      <c r="F1020" s="106" t="n"/>
    </row>
    <row r="1021">
      <c r="A1021" s="101">
        <f>YEAR(DIVIDENDOS[[#This Row],[Data Pagamento]])</f>
        <v/>
      </c>
      <c r="C1021" s="103">
        <f>IFERROR(IF(DIVIDENDOS[[#This Row],[Data Pagamento]]="","",EOMONTH(B1021,0)),"")</f>
        <v/>
      </c>
      <c r="D1021" s="104">
        <f>IFERROR(IF(DIVIDENDOS[[#This Row],[Data Pagamento]]="","",DIVIDENDOS[[#This Row],[Data Pagamento]]),"")</f>
        <v/>
      </c>
      <c r="F1021" s="106" t="n"/>
    </row>
    <row r="1022">
      <c r="A1022" s="101">
        <f>YEAR(DIVIDENDOS[[#This Row],[Data Pagamento]])</f>
        <v/>
      </c>
      <c r="C1022" s="103">
        <f>IFERROR(IF(DIVIDENDOS[[#This Row],[Data Pagamento]]="","",EOMONTH(B1022,0)),"")</f>
        <v/>
      </c>
      <c r="D1022" s="104">
        <f>IFERROR(IF(DIVIDENDOS[[#This Row],[Data Pagamento]]="","",DIVIDENDOS[[#This Row],[Data Pagamento]]),"")</f>
        <v/>
      </c>
      <c r="F1022" s="106" t="n"/>
    </row>
    <row r="1023">
      <c r="A1023" s="101">
        <f>YEAR(DIVIDENDOS[[#This Row],[Data Pagamento]])</f>
        <v/>
      </c>
      <c r="C1023" s="103">
        <f>IFERROR(IF(DIVIDENDOS[[#This Row],[Data Pagamento]]="","",EOMONTH(B1023,0)),"")</f>
        <v/>
      </c>
      <c r="D1023" s="104">
        <f>IFERROR(IF(DIVIDENDOS[[#This Row],[Data Pagamento]]="","",DIVIDENDOS[[#This Row],[Data Pagamento]]),"")</f>
        <v/>
      </c>
      <c r="F1023" s="106" t="n"/>
    </row>
    <row r="1024">
      <c r="A1024" s="101">
        <f>YEAR(DIVIDENDOS[[#This Row],[Data Pagamento]])</f>
        <v/>
      </c>
      <c r="C1024" s="103">
        <f>IFERROR(IF(DIVIDENDOS[[#This Row],[Data Pagamento]]="","",EOMONTH(B1024,0)),"")</f>
        <v/>
      </c>
      <c r="D1024" s="104">
        <f>IFERROR(IF(DIVIDENDOS[[#This Row],[Data Pagamento]]="","",DIVIDENDOS[[#This Row],[Data Pagamento]]),"")</f>
        <v/>
      </c>
      <c r="F1024" s="106" t="n"/>
    </row>
    <row r="1025">
      <c r="A1025" s="101">
        <f>YEAR(DIVIDENDOS[[#This Row],[Data Pagamento]])</f>
        <v/>
      </c>
      <c r="C1025" s="103">
        <f>IFERROR(IF(DIVIDENDOS[[#This Row],[Data Pagamento]]="","",EOMONTH(B1025,0)),"")</f>
        <v/>
      </c>
      <c r="D1025" s="104">
        <f>IFERROR(IF(DIVIDENDOS[[#This Row],[Data Pagamento]]="","",DIVIDENDOS[[#This Row],[Data Pagamento]]),"")</f>
        <v/>
      </c>
      <c r="F1025" s="106" t="n"/>
    </row>
    <row r="1026">
      <c r="A1026" s="101">
        <f>YEAR(DIVIDENDOS[[#This Row],[Data Pagamento]])</f>
        <v/>
      </c>
      <c r="C1026" s="103">
        <f>IFERROR(IF(DIVIDENDOS[[#This Row],[Data Pagamento]]="","",EOMONTH(B1026,0)),"")</f>
        <v/>
      </c>
      <c r="D1026" s="104">
        <f>IFERROR(IF(DIVIDENDOS[[#This Row],[Data Pagamento]]="","",DIVIDENDOS[[#This Row],[Data Pagamento]]),"")</f>
        <v/>
      </c>
      <c r="F1026" s="106" t="n"/>
    </row>
    <row r="1027">
      <c r="A1027" s="101">
        <f>YEAR(DIVIDENDOS[[#This Row],[Data Pagamento]])</f>
        <v/>
      </c>
      <c r="C1027" s="103">
        <f>IFERROR(IF(DIVIDENDOS[[#This Row],[Data Pagamento]]="","",EOMONTH(B1027,0)),"")</f>
        <v/>
      </c>
      <c r="D1027" s="104">
        <f>IFERROR(IF(DIVIDENDOS[[#This Row],[Data Pagamento]]="","",DIVIDENDOS[[#This Row],[Data Pagamento]]),"")</f>
        <v/>
      </c>
      <c r="F1027" s="106" t="n"/>
    </row>
    <row r="1028">
      <c r="A1028" s="101">
        <f>YEAR(DIVIDENDOS[[#This Row],[Data Pagamento]])</f>
        <v/>
      </c>
      <c r="C1028" s="103">
        <f>IFERROR(IF(DIVIDENDOS[[#This Row],[Data Pagamento]]="","",EOMONTH(B1028,0)),"")</f>
        <v/>
      </c>
      <c r="D1028" s="104">
        <f>IFERROR(IF(DIVIDENDOS[[#This Row],[Data Pagamento]]="","",DIVIDENDOS[[#This Row],[Data Pagamento]]),"")</f>
        <v/>
      </c>
      <c r="F1028" s="106" t="n"/>
    </row>
    <row r="1029">
      <c r="A1029" s="101">
        <f>YEAR(DIVIDENDOS[[#This Row],[Data Pagamento]])</f>
        <v/>
      </c>
      <c r="C1029" s="103">
        <f>IFERROR(IF(DIVIDENDOS[[#This Row],[Data Pagamento]]="","",EOMONTH(B1029,0)),"")</f>
        <v/>
      </c>
      <c r="D1029" s="104">
        <f>IFERROR(IF(DIVIDENDOS[[#This Row],[Data Pagamento]]="","",DIVIDENDOS[[#This Row],[Data Pagamento]]),"")</f>
        <v/>
      </c>
      <c r="F1029" s="106" t="n"/>
    </row>
    <row r="1030">
      <c r="A1030" s="101">
        <f>YEAR(DIVIDENDOS[[#This Row],[Data Pagamento]])</f>
        <v/>
      </c>
      <c r="C1030" s="103">
        <f>IFERROR(IF(DIVIDENDOS[[#This Row],[Data Pagamento]]="","",EOMONTH(B1030,0)),"")</f>
        <v/>
      </c>
      <c r="D1030" s="104">
        <f>IFERROR(IF(DIVIDENDOS[[#This Row],[Data Pagamento]]="","",DIVIDENDOS[[#This Row],[Data Pagamento]]),"")</f>
        <v/>
      </c>
      <c r="F1030" s="106" t="n"/>
    </row>
    <row r="1031">
      <c r="A1031" s="101">
        <f>YEAR(DIVIDENDOS[[#This Row],[Data Pagamento]])</f>
        <v/>
      </c>
      <c r="C1031" s="103">
        <f>IFERROR(IF(DIVIDENDOS[[#This Row],[Data Pagamento]]="","",EOMONTH(B1031,0)),"")</f>
        <v/>
      </c>
      <c r="D1031" s="104">
        <f>IFERROR(IF(DIVIDENDOS[[#This Row],[Data Pagamento]]="","",DIVIDENDOS[[#This Row],[Data Pagamento]]),"")</f>
        <v/>
      </c>
      <c r="F1031" s="106" t="n"/>
    </row>
    <row r="1032">
      <c r="A1032" s="101">
        <f>YEAR(DIVIDENDOS[[#This Row],[Data Pagamento]])</f>
        <v/>
      </c>
      <c r="C1032" s="103">
        <f>IFERROR(IF(DIVIDENDOS[[#This Row],[Data Pagamento]]="","",EOMONTH(B1032,0)),"")</f>
        <v/>
      </c>
      <c r="D1032" s="104">
        <f>IFERROR(IF(DIVIDENDOS[[#This Row],[Data Pagamento]]="","",DIVIDENDOS[[#This Row],[Data Pagamento]]),"")</f>
        <v/>
      </c>
      <c r="F1032" s="106" t="n"/>
    </row>
    <row r="1033">
      <c r="A1033" s="101">
        <f>YEAR(DIVIDENDOS[[#This Row],[Data Pagamento]])</f>
        <v/>
      </c>
      <c r="C1033" s="103">
        <f>IFERROR(IF(DIVIDENDOS[[#This Row],[Data Pagamento]]="","",EOMONTH(B1033,0)),"")</f>
        <v/>
      </c>
      <c r="D1033" s="104">
        <f>IFERROR(IF(DIVIDENDOS[[#This Row],[Data Pagamento]]="","",DIVIDENDOS[[#This Row],[Data Pagamento]]),"")</f>
        <v/>
      </c>
      <c r="F1033" s="106" t="n"/>
    </row>
    <row r="1034">
      <c r="A1034" s="101">
        <f>YEAR(DIVIDENDOS[[#This Row],[Data Pagamento]])</f>
        <v/>
      </c>
      <c r="C1034" s="103">
        <f>IFERROR(IF(DIVIDENDOS[[#This Row],[Data Pagamento]]="","",EOMONTH(B1034,0)),"")</f>
        <v/>
      </c>
      <c r="D1034" s="104">
        <f>IFERROR(IF(DIVIDENDOS[[#This Row],[Data Pagamento]]="","",DIVIDENDOS[[#This Row],[Data Pagamento]]),"")</f>
        <v/>
      </c>
      <c r="F1034" s="106" t="n"/>
    </row>
    <row r="1035">
      <c r="A1035" s="101">
        <f>YEAR(DIVIDENDOS[[#This Row],[Data Pagamento]])</f>
        <v/>
      </c>
      <c r="C1035" s="103">
        <f>IFERROR(IF(DIVIDENDOS[[#This Row],[Data Pagamento]]="","",EOMONTH(B1035,0)),"")</f>
        <v/>
      </c>
      <c r="D1035" s="104">
        <f>IFERROR(IF(DIVIDENDOS[[#This Row],[Data Pagamento]]="","",DIVIDENDOS[[#This Row],[Data Pagamento]]),"")</f>
        <v/>
      </c>
      <c r="F1035" s="106" t="n"/>
    </row>
    <row r="1036">
      <c r="A1036" s="101">
        <f>YEAR(DIVIDENDOS[[#This Row],[Data Pagamento]])</f>
        <v/>
      </c>
      <c r="C1036" s="103">
        <f>IFERROR(IF(DIVIDENDOS[[#This Row],[Data Pagamento]]="","",EOMONTH(B1036,0)),"")</f>
        <v/>
      </c>
      <c r="D1036" s="104">
        <f>IFERROR(IF(DIVIDENDOS[[#This Row],[Data Pagamento]]="","",DIVIDENDOS[[#This Row],[Data Pagamento]]),"")</f>
        <v/>
      </c>
      <c r="F1036" s="106" t="n"/>
    </row>
    <row r="1037">
      <c r="A1037" s="101">
        <f>YEAR(DIVIDENDOS[[#This Row],[Data Pagamento]])</f>
        <v/>
      </c>
      <c r="C1037" s="103">
        <f>IFERROR(IF(DIVIDENDOS[[#This Row],[Data Pagamento]]="","",EOMONTH(B1037,0)),"")</f>
        <v/>
      </c>
      <c r="D1037" s="104">
        <f>IFERROR(IF(DIVIDENDOS[[#This Row],[Data Pagamento]]="","",DIVIDENDOS[[#This Row],[Data Pagamento]]),"")</f>
        <v/>
      </c>
      <c r="F1037" s="106" t="n"/>
    </row>
    <row r="1038">
      <c r="A1038" s="101">
        <f>YEAR(DIVIDENDOS[[#This Row],[Data Pagamento]])</f>
        <v/>
      </c>
      <c r="C1038" s="103">
        <f>IFERROR(IF(DIVIDENDOS[[#This Row],[Data Pagamento]]="","",EOMONTH(B1038,0)),"")</f>
        <v/>
      </c>
      <c r="D1038" s="104">
        <f>IFERROR(IF(DIVIDENDOS[[#This Row],[Data Pagamento]]="","",DIVIDENDOS[[#This Row],[Data Pagamento]]),"")</f>
        <v/>
      </c>
      <c r="F1038" s="106" t="n"/>
    </row>
    <row r="1039">
      <c r="A1039" s="101">
        <f>YEAR(DIVIDENDOS[[#This Row],[Data Pagamento]])</f>
        <v/>
      </c>
      <c r="C1039" s="103">
        <f>IFERROR(IF(DIVIDENDOS[[#This Row],[Data Pagamento]]="","",EOMONTH(B1039,0)),"")</f>
        <v/>
      </c>
      <c r="D1039" s="104">
        <f>IFERROR(IF(DIVIDENDOS[[#This Row],[Data Pagamento]]="","",DIVIDENDOS[[#This Row],[Data Pagamento]]),"")</f>
        <v/>
      </c>
      <c r="F1039" s="106" t="n"/>
    </row>
    <row r="1040">
      <c r="A1040" s="101">
        <f>YEAR(DIVIDENDOS[[#This Row],[Data Pagamento]])</f>
        <v/>
      </c>
      <c r="C1040" s="103">
        <f>IFERROR(IF(DIVIDENDOS[[#This Row],[Data Pagamento]]="","",EOMONTH(B1040,0)),"")</f>
        <v/>
      </c>
      <c r="D1040" s="104">
        <f>IFERROR(IF(DIVIDENDOS[[#This Row],[Data Pagamento]]="","",DIVIDENDOS[[#This Row],[Data Pagamento]]),"")</f>
        <v/>
      </c>
      <c r="F1040" s="106" t="n"/>
    </row>
    <row r="1041">
      <c r="A1041" s="101">
        <f>YEAR(DIVIDENDOS[[#This Row],[Data Pagamento]])</f>
        <v/>
      </c>
      <c r="C1041" s="103">
        <f>IFERROR(IF(DIVIDENDOS[[#This Row],[Data Pagamento]]="","",EOMONTH(B1041,0)),"")</f>
        <v/>
      </c>
      <c r="D1041" s="104">
        <f>IFERROR(IF(DIVIDENDOS[[#This Row],[Data Pagamento]]="","",DIVIDENDOS[[#This Row],[Data Pagamento]]),"")</f>
        <v/>
      </c>
      <c r="F1041" s="106" t="n"/>
    </row>
    <row r="1042">
      <c r="A1042" s="101">
        <f>YEAR(DIVIDENDOS[[#This Row],[Data Pagamento]])</f>
        <v/>
      </c>
      <c r="C1042" s="103">
        <f>IFERROR(IF(DIVIDENDOS[[#This Row],[Data Pagamento]]="","",EOMONTH(B1042,0)),"")</f>
        <v/>
      </c>
      <c r="D1042" s="104">
        <f>IFERROR(IF(DIVIDENDOS[[#This Row],[Data Pagamento]]="","",DIVIDENDOS[[#This Row],[Data Pagamento]]),"")</f>
        <v/>
      </c>
      <c r="F1042" s="106" t="n"/>
    </row>
    <row r="1043">
      <c r="A1043" s="101">
        <f>YEAR(DIVIDENDOS[[#This Row],[Data Pagamento]])</f>
        <v/>
      </c>
      <c r="C1043" s="103">
        <f>IFERROR(IF(DIVIDENDOS[[#This Row],[Data Pagamento]]="","",EOMONTH(B1043,0)),"")</f>
        <v/>
      </c>
      <c r="D1043" s="104">
        <f>IFERROR(IF(DIVIDENDOS[[#This Row],[Data Pagamento]]="","",DIVIDENDOS[[#This Row],[Data Pagamento]]),"")</f>
        <v/>
      </c>
      <c r="F1043" s="106" t="n"/>
    </row>
    <row r="1044">
      <c r="A1044" s="101">
        <f>YEAR(DIVIDENDOS[[#This Row],[Data Pagamento]])</f>
        <v/>
      </c>
      <c r="C1044" s="103">
        <f>IFERROR(IF(DIVIDENDOS[[#This Row],[Data Pagamento]]="","",EOMONTH(B1044,0)),"")</f>
        <v/>
      </c>
      <c r="D1044" s="104">
        <f>IFERROR(IF(DIVIDENDOS[[#This Row],[Data Pagamento]]="","",DIVIDENDOS[[#This Row],[Data Pagamento]]),"")</f>
        <v/>
      </c>
      <c r="F1044" s="106" t="n"/>
    </row>
    <row r="1045">
      <c r="A1045" s="101">
        <f>YEAR(DIVIDENDOS[[#This Row],[Data Pagamento]])</f>
        <v/>
      </c>
      <c r="C1045" s="103">
        <f>IFERROR(IF(DIVIDENDOS[[#This Row],[Data Pagamento]]="","",EOMONTH(B1045,0)),"")</f>
        <v/>
      </c>
      <c r="D1045" s="104">
        <f>IFERROR(IF(DIVIDENDOS[[#This Row],[Data Pagamento]]="","",DIVIDENDOS[[#This Row],[Data Pagamento]]),"")</f>
        <v/>
      </c>
      <c r="F1045" s="106" t="n"/>
    </row>
    <row r="1046">
      <c r="A1046" s="101">
        <f>YEAR(DIVIDENDOS[[#This Row],[Data Pagamento]])</f>
        <v/>
      </c>
      <c r="C1046" s="103">
        <f>IFERROR(IF(DIVIDENDOS[[#This Row],[Data Pagamento]]="","",EOMONTH(B1046,0)),"")</f>
        <v/>
      </c>
      <c r="D1046" s="104">
        <f>IFERROR(IF(DIVIDENDOS[[#This Row],[Data Pagamento]]="","",DIVIDENDOS[[#This Row],[Data Pagamento]]),"")</f>
        <v/>
      </c>
      <c r="F1046" s="106" t="n"/>
    </row>
    <row r="1047">
      <c r="A1047" s="101">
        <f>YEAR(DIVIDENDOS[[#This Row],[Data Pagamento]])</f>
        <v/>
      </c>
      <c r="C1047" s="103">
        <f>IFERROR(IF(DIVIDENDOS[[#This Row],[Data Pagamento]]="","",EOMONTH(B1047,0)),"")</f>
        <v/>
      </c>
      <c r="D1047" s="104">
        <f>IFERROR(IF(DIVIDENDOS[[#This Row],[Data Pagamento]]="","",DIVIDENDOS[[#This Row],[Data Pagamento]]),"")</f>
        <v/>
      </c>
      <c r="F1047" s="106" t="n"/>
    </row>
    <row r="1048">
      <c r="A1048" s="101">
        <f>YEAR(DIVIDENDOS[[#This Row],[Data Pagamento]])</f>
        <v/>
      </c>
      <c r="C1048" s="103">
        <f>IFERROR(IF(DIVIDENDOS[[#This Row],[Data Pagamento]]="","",EOMONTH(B1048,0)),"")</f>
        <v/>
      </c>
      <c r="D1048" s="104">
        <f>IFERROR(IF(DIVIDENDOS[[#This Row],[Data Pagamento]]="","",DIVIDENDOS[[#This Row],[Data Pagamento]]),"")</f>
        <v/>
      </c>
      <c r="F1048" s="106" t="n"/>
    </row>
    <row r="1049">
      <c r="A1049" s="101">
        <f>YEAR(DIVIDENDOS[[#This Row],[Data Pagamento]])</f>
        <v/>
      </c>
      <c r="C1049" s="103">
        <f>IFERROR(IF(DIVIDENDOS[[#This Row],[Data Pagamento]]="","",EOMONTH(B1049,0)),"")</f>
        <v/>
      </c>
      <c r="D1049" s="104">
        <f>IFERROR(IF(DIVIDENDOS[[#This Row],[Data Pagamento]]="","",DIVIDENDOS[[#This Row],[Data Pagamento]]),"")</f>
        <v/>
      </c>
      <c r="F1049" s="106" t="n"/>
    </row>
    <row r="1050">
      <c r="A1050" s="101">
        <f>YEAR(DIVIDENDOS[[#This Row],[Data Pagamento]])</f>
        <v/>
      </c>
      <c r="C1050" s="103">
        <f>IFERROR(IF(DIVIDENDOS[[#This Row],[Data Pagamento]]="","",EOMONTH(B1050,0)),"")</f>
        <v/>
      </c>
      <c r="D1050" s="104">
        <f>IFERROR(IF(DIVIDENDOS[[#This Row],[Data Pagamento]]="","",DIVIDENDOS[[#This Row],[Data Pagamento]]),"")</f>
        <v/>
      </c>
      <c r="F1050" s="106" t="n"/>
    </row>
    <row r="1051">
      <c r="A1051" s="101">
        <f>YEAR(DIVIDENDOS[[#This Row],[Data Pagamento]])</f>
        <v/>
      </c>
      <c r="C1051" s="103">
        <f>IFERROR(IF(DIVIDENDOS[[#This Row],[Data Pagamento]]="","",EOMONTH(B1051,0)),"")</f>
        <v/>
      </c>
      <c r="D1051" s="104">
        <f>IFERROR(IF(DIVIDENDOS[[#This Row],[Data Pagamento]]="","",DIVIDENDOS[[#This Row],[Data Pagamento]]),"")</f>
        <v/>
      </c>
      <c r="F1051" s="106" t="n"/>
    </row>
    <row r="1052">
      <c r="A1052" s="101">
        <f>YEAR(DIVIDENDOS[[#This Row],[Data Pagamento]])</f>
        <v/>
      </c>
      <c r="C1052" s="103">
        <f>IFERROR(IF(DIVIDENDOS[[#This Row],[Data Pagamento]]="","",EOMONTH(B1052,0)),"")</f>
        <v/>
      </c>
      <c r="D1052" s="104">
        <f>IFERROR(IF(DIVIDENDOS[[#This Row],[Data Pagamento]]="","",DIVIDENDOS[[#This Row],[Data Pagamento]]),"")</f>
        <v/>
      </c>
      <c r="F1052" s="106" t="n"/>
    </row>
    <row r="1053">
      <c r="A1053" s="101">
        <f>YEAR(DIVIDENDOS[[#This Row],[Data Pagamento]])</f>
        <v/>
      </c>
      <c r="C1053" s="103">
        <f>IFERROR(IF(DIVIDENDOS[[#This Row],[Data Pagamento]]="","",EOMONTH(B1053,0)),"")</f>
        <v/>
      </c>
      <c r="D1053" s="104">
        <f>IFERROR(IF(DIVIDENDOS[[#This Row],[Data Pagamento]]="","",DIVIDENDOS[[#This Row],[Data Pagamento]]),"")</f>
        <v/>
      </c>
      <c r="F1053" s="106" t="n"/>
    </row>
    <row r="1054">
      <c r="A1054" s="101">
        <f>YEAR(DIVIDENDOS[[#This Row],[Data Pagamento]])</f>
        <v/>
      </c>
      <c r="C1054" s="103">
        <f>IFERROR(IF(DIVIDENDOS[[#This Row],[Data Pagamento]]="","",EOMONTH(B1054,0)),"")</f>
        <v/>
      </c>
      <c r="D1054" s="104">
        <f>IFERROR(IF(DIVIDENDOS[[#This Row],[Data Pagamento]]="","",DIVIDENDOS[[#This Row],[Data Pagamento]]),"")</f>
        <v/>
      </c>
      <c r="F1054" s="106" t="n"/>
    </row>
    <row r="1055">
      <c r="A1055" s="101">
        <f>YEAR(DIVIDENDOS[[#This Row],[Data Pagamento]])</f>
        <v/>
      </c>
      <c r="C1055" s="103">
        <f>IFERROR(IF(DIVIDENDOS[[#This Row],[Data Pagamento]]="","",EOMONTH(B1055,0)),"")</f>
        <v/>
      </c>
      <c r="D1055" s="104">
        <f>IFERROR(IF(DIVIDENDOS[[#This Row],[Data Pagamento]]="","",DIVIDENDOS[[#This Row],[Data Pagamento]]),"")</f>
        <v/>
      </c>
      <c r="F1055" s="106" t="n"/>
    </row>
    <row r="1056">
      <c r="A1056" s="101">
        <f>YEAR(DIVIDENDOS[[#This Row],[Data Pagamento]])</f>
        <v/>
      </c>
      <c r="C1056" s="103">
        <f>IFERROR(IF(DIVIDENDOS[[#This Row],[Data Pagamento]]="","",EOMONTH(B1056,0)),"")</f>
        <v/>
      </c>
      <c r="D1056" s="104">
        <f>IFERROR(IF(DIVIDENDOS[[#This Row],[Data Pagamento]]="","",DIVIDENDOS[[#This Row],[Data Pagamento]]),"")</f>
        <v/>
      </c>
      <c r="F1056" s="106" t="n"/>
    </row>
    <row r="1057">
      <c r="A1057" s="101">
        <f>YEAR(DIVIDENDOS[[#This Row],[Data Pagamento]])</f>
        <v/>
      </c>
      <c r="C1057" s="103">
        <f>IFERROR(IF(DIVIDENDOS[[#This Row],[Data Pagamento]]="","",EOMONTH(B1057,0)),"")</f>
        <v/>
      </c>
      <c r="D1057" s="104">
        <f>IFERROR(IF(DIVIDENDOS[[#This Row],[Data Pagamento]]="","",DIVIDENDOS[[#This Row],[Data Pagamento]]),"")</f>
        <v/>
      </c>
      <c r="F1057" s="106" t="n"/>
    </row>
    <row r="1058">
      <c r="A1058" s="101">
        <f>YEAR(DIVIDENDOS[[#This Row],[Data Pagamento]])</f>
        <v/>
      </c>
      <c r="C1058" s="103">
        <f>IFERROR(IF(DIVIDENDOS[[#This Row],[Data Pagamento]]="","",EOMONTH(B1058,0)),"")</f>
        <v/>
      </c>
      <c r="D1058" s="104">
        <f>IFERROR(IF(DIVIDENDOS[[#This Row],[Data Pagamento]]="","",DIVIDENDOS[[#This Row],[Data Pagamento]]),"")</f>
        <v/>
      </c>
      <c r="F1058" s="106" t="n"/>
    </row>
    <row r="1059">
      <c r="A1059" s="101">
        <f>YEAR(DIVIDENDOS[[#This Row],[Data Pagamento]])</f>
        <v/>
      </c>
      <c r="C1059" s="103">
        <f>IFERROR(IF(DIVIDENDOS[[#This Row],[Data Pagamento]]="","",EOMONTH(B1059,0)),"")</f>
        <v/>
      </c>
      <c r="D1059" s="104">
        <f>IFERROR(IF(DIVIDENDOS[[#This Row],[Data Pagamento]]="","",DIVIDENDOS[[#This Row],[Data Pagamento]]),"")</f>
        <v/>
      </c>
      <c r="F1059" s="106" t="n"/>
    </row>
    <row r="1060">
      <c r="A1060" s="101">
        <f>YEAR(DIVIDENDOS[[#This Row],[Data Pagamento]])</f>
        <v/>
      </c>
      <c r="C1060" s="103">
        <f>IFERROR(IF(DIVIDENDOS[[#This Row],[Data Pagamento]]="","",EOMONTH(B1060,0)),"")</f>
        <v/>
      </c>
      <c r="D1060" s="104">
        <f>IFERROR(IF(DIVIDENDOS[[#This Row],[Data Pagamento]]="","",DIVIDENDOS[[#This Row],[Data Pagamento]]),"")</f>
        <v/>
      </c>
      <c r="F1060" s="106" t="n"/>
    </row>
    <row r="1061">
      <c r="A1061" s="101">
        <f>YEAR(DIVIDENDOS[[#This Row],[Data Pagamento]])</f>
        <v/>
      </c>
      <c r="C1061" s="103">
        <f>IFERROR(IF(DIVIDENDOS[[#This Row],[Data Pagamento]]="","",EOMONTH(B1061,0)),"")</f>
        <v/>
      </c>
      <c r="D1061" s="104">
        <f>IFERROR(IF(DIVIDENDOS[[#This Row],[Data Pagamento]]="","",DIVIDENDOS[[#This Row],[Data Pagamento]]),"")</f>
        <v/>
      </c>
      <c r="F1061" s="106" t="n"/>
    </row>
    <row r="1062">
      <c r="A1062" s="101">
        <f>YEAR(DIVIDENDOS[[#This Row],[Data Pagamento]])</f>
        <v/>
      </c>
      <c r="C1062" s="103">
        <f>IFERROR(IF(DIVIDENDOS[[#This Row],[Data Pagamento]]="","",EOMONTH(B1062,0)),"")</f>
        <v/>
      </c>
      <c r="D1062" s="104">
        <f>IFERROR(IF(DIVIDENDOS[[#This Row],[Data Pagamento]]="","",DIVIDENDOS[[#This Row],[Data Pagamento]]),"")</f>
        <v/>
      </c>
      <c r="F1062" s="106" t="n"/>
    </row>
    <row r="1063">
      <c r="A1063" s="101">
        <f>YEAR(DIVIDENDOS[[#This Row],[Data Pagamento]])</f>
        <v/>
      </c>
      <c r="C1063" s="103">
        <f>IFERROR(IF(DIVIDENDOS[[#This Row],[Data Pagamento]]="","",EOMONTH(B1063,0)),"")</f>
        <v/>
      </c>
      <c r="D1063" s="104">
        <f>IFERROR(IF(DIVIDENDOS[[#This Row],[Data Pagamento]]="","",DIVIDENDOS[[#This Row],[Data Pagamento]]),"")</f>
        <v/>
      </c>
      <c r="F1063" s="106" t="n"/>
    </row>
    <row r="1064">
      <c r="A1064" s="101">
        <f>YEAR(DIVIDENDOS[[#This Row],[Data Pagamento]])</f>
        <v/>
      </c>
      <c r="C1064" s="103">
        <f>IFERROR(IF(DIVIDENDOS[[#This Row],[Data Pagamento]]="","",EOMONTH(B1064,0)),"")</f>
        <v/>
      </c>
      <c r="D1064" s="104">
        <f>IFERROR(IF(DIVIDENDOS[[#This Row],[Data Pagamento]]="","",DIVIDENDOS[[#This Row],[Data Pagamento]]),"")</f>
        <v/>
      </c>
      <c r="F1064" s="106" t="n"/>
    </row>
    <row r="1065">
      <c r="A1065" s="101">
        <f>YEAR(DIVIDENDOS[[#This Row],[Data Pagamento]])</f>
        <v/>
      </c>
      <c r="C1065" s="103">
        <f>IFERROR(IF(DIVIDENDOS[[#This Row],[Data Pagamento]]="","",EOMONTH(B1065,0)),"")</f>
        <v/>
      </c>
      <c r="D1065" s="104">
        <f>IFERROR(IF(DIVIDENDOS[[#This Row],[Data Pagamento]]="","",DIVIDENDOS[[#This Row],[Data Pagamento]]),"")</f>
        <v/>
      </c>
      <c r="F1065" s="106" t="n"/>
    </row>
    <row r="1066">
      <c r="A1066" s="101">
        <f>YEAR(DIVIDENDOS[[#This Row],[Data Pagamento]])</f>
        <v/>
      </c>
      <c r="C1066" s="103">
        <f>IFERROR(IF(DIVIDENDOS[[#This Row],[Data Pagamento]]="","",EOMONTH(B1066,0)),"")</f>
        <v/>
      </c>
      <c r="D1066" s="104">
        <f>IFERROR(IF(DIVIDENDOS[[#This Row],[Data Pagamento]]="","",DIVIDENDOS[[#This Row],[Data Pagamento]]),"")</f>
        <v/>
      </c>
      <c r="F1066" s="106" t="n"/>
    </row>
    <row r="1067">
      <c r="A1067" s="101">
        <f>YEAR(DIVIDENDOS[[#This Row],[Data Pagamento]])</f>
        <v/>
      </c>
      <c r="C1067" s="103">
        <f>IFERROR(IF(DIVIDENDOS[[#This Row],[Data Pagamento]]="","",EOMONTH(B1067,0)),"")</f>
        <v/>
      </c>
      <c r="D1067" s="104">
        <f>IFERROR(IF(DIVIDENDOS[[#This Row],[Data Pagamento]]="","",DIVIDENDOS[[#This Row],[Data Pagamento]]),"")</f>
        <v/>
      </c>
      <c r="F1067" s="106" t="n"/>
    </row>
    <row r="1068">
      <c r="A1068" s="101">
        <f>YEAR(DIVIDENDOS[[#This Row],[Data Pagamento]])</f>
        <v/>
      </c>
      <c r="C1068" s="103">
        <f>IFERROR(IF(DIVIDENDOS[[#This Row],[Data Pagamento]]="","",EOMONTH(B1068,0)),"")</f>
        <v/>
      </c>
      <c r="D1068" s="104">
        <f>IFERROR(IF(DIVIDENDOS[[#This Row],[Data Pagamento]]="","",DIVIDENDOS[[#This Row],[Data Pagamento]]),"")</f>
        <v/>
      </c>
      <c r="F1068" s="106" t="n"/>
    </row>
    <row r="1069">
      <c r="A1069" s="101">
        <f>YEAR(DIVIDENDOS[[#This Row],[Data Pagamento]])</f>
        <v/>
      </c>
      <c r="C1069" s="103">
        <f>IFERROR(IF(DIVIDENDOS[[#This Row],[Data Pagamento]]="","",EOMONTH(B1069,0)),"")</f>
        <v/>
      </c>
      <c r="D1069" s="104">
        <f>IFERROR(IF(DIVIDENDOS[[#This Row],[Data Pagamento]]="","",DIVIDENDOS[[#This Row],[Data Pagamento]]),"")</f>
        <v/>
      </c>
      <c r="F1069" s="106" t="n"/>
    </row>
    <row r="1070">
      <c r="A1070" s="101">
        <f>YEAR(DIVIDENDOS[[#This Row],[Data Pagamento]])</f>
        <v/>
      </c>
      <c r="C1070" s="103">
        <f>IFERROR(IF(DIVIDENDOS[[#This Row],[Data Pagamento]]="","",EOMONTH(B1070,0)),"")</f>
        <v/>
      </c>
      <c r="D1070" s="104">
        <f>IFERROR(IF(DIVIDENDOS[[#This Row],[Data Pagamento]]="","",DIVIDENDOS[[#This Row],[Data Pagamento]]),"")</f>
        <v/>
      </c>
      <c r="F1070" s="106" t="n"/>
    </row>
    <row r="1071">
      <c r="A1071" s="101">
        <f>YEAR(DIVIDENDOS[[#This Row],[Data Pagamento]])</f>
        <v/>
      </c>
      <c r="C1071" s="103">
        <f>IFERROR(IF(DIVIDENDOS[[#This Row],[Data Pagamento]]="","",EOMONTH(B1071,0)),"")</f>
        <v/>
      </c>
      <c r="D1071" s="104">
        <f>IFERROR(IF(DIVIDENDOS[[#This Row],[Data Pagamento]]="","",DIVIDENDOS[[#This Row],[Data Pagamento]]),"")</f>
        <v/>
      </c>
      <c r="F1071" s="106" t="n"/>
    </row>
    <row r="1072">
      <c r="A1072" s="101">
        <f>YEAR(DIVIDENDOS[[#This Row],[Data Pagamento]])</f>
        <v/>
      </c>
      <c r="C1072" s="103">
        <f>IFERROR(IF(DIVIDENDOS[[#This Row],[Data Pagamento]]="","",EOMONTH(B1072,0)),"")</f>
        <v/>
      </c>
      <c r="D1072" s="104">
        <f>IFERROR(IF(DIVIDENDOS[[#This Row],[Data Pagamento]]="","",DIVIDENDOS[[#This Row],[Data Pagamento]]),"")</f>
        <v/>
      </c>
      <c r="F1072" s="106" t="n"/>
    </row>
    <row r="1073">
      <c r="A1073" s="101">
        <f>YEAR(DIVIDENDOS[[#This Row],[Data Pagamento]])</f>
        <v/>
      </c>
      <c r="C1073" s="103">
        <f>IFERROR(IF(DIVIDENDOS[[#This Row],[Data Pagamento]]="","",EOMONTH(B1073,0)),"")</f>
        <v/>
      </c>
      <c r="D1073" s="104">
        <f>IFERROR(IF(DIVIDENDOS[[#This Row],[Data Pagamento]]="","",DIVIDENDOS[[#This Row],[Data Pagamento]]),"")</f>
        <v/>
      </c>
      <c r="F1073" s="106" t="n"/>
    </row>
    <row r="1074">
      <c r="A1074" s="101">
        <f>YEAR(DIVIDENDOS[[#This Row],[Data Pagamento]])</f>
        <v/>
      </c>
      <c r="C1074" s="103">
        <f>IFERROR(IF(DIVIDENDOS[[#This Row],[Data Pagamento]]="","",EOMONTH(B1074,0)),"")</f>
        <v/>
      </c>
      <c r="D1074" s="104">
        <f>IFERROR(IF(DIVIDENDOS[[#This Row],[Data Pagamento]]="","",DIVIDENDOS[[#This Row],[Data Pagamento]]),"")</f>
        <v/>
      </c>
      <c r="F1074" s="106" t="n"/>
    </row>
    <row r="1075">
      <c r="A1075" s="101">
        <f>YEAR(DIVIDENDOS[[#This Row],[Data Pagamento]])</f>
        <v/>
      </c>
      <c r="C1075" s="103">
        <f>IFERROR(IF(DIVIDENDOS[[#This Row],[Data Pagamento]]="","",EOMONTH(B1075,0)),"")</f>
        <v/>
      </c>
      <c r="D1075" s="104">
        <f>IFERROR(IF(DIVIDENDOS[[#This Row],[Data Pagamento]]="","",DIVIDENDOS[[#This Row],[Data Pagamento]]),"")</f>
        <v/>
      </c>
      <c r="F1075" s="106" t="n"/>
    </row>
    <row r="1076">
      <c r="A1076" s="101">
        <f>YEAR(DIVIDENDOS[[#This Row],[Data Pagamento]])</f>
        <v/>
      </c>
      <c r="C1076" s="103">
        <f>IFERROR(IF(DIVIDENDOS[[#This Row],[Data Pagamento]]="","",EOMONTH(B1076,0)),"")</f>
        <v/>
      </c>
      <c r="D1076" s="104">
        <f>IFERROR(IF(DIVIDENDOS[[#This Row],[Data Pagamento]]="","",DIVIDENDOS[[#This Row],[Data Pagamento]]),"")</f>
        <v/>
      </c>
      <c r="F1076" s="106" t="n"/>
    </row>
    <row r="1077">
      <c r="A1077" s="101">
        <f>YEAR(DIVIDENDOS[[#This Row],[Data Pagamento]])</f>
        <v/>
      </c>
      <c r="C1077" s="103">
        <f>IFERROR(IF(DIVIDENDOS[[#This Row],[Data Pagamento]]="","",EOMONTH(B1077,0)),"")</f>
        <v/>
      </c>
      <c r="D1077" s="104">
        <f>IFERROR(IF(DIVIDENDOS[[#This Row],[Data Pagamento]]="","",DIVIDENDOS[[#This Row],[Data Pagamento]]),"")</f>
        <v/>
      </c>
      <c r="F1077" s="106" t="n"/>
    </row>
    <row r="1078">
      <c r="A1078" s="101">
        <f>YEAR(DIVIDENDOS[[#This Row],[Data Pagamento]])</f>
        <v/>
      </c>
      <c r="C1078" s="103">
        <f>IFERROR(IF(DIVIDENDOS[[#This Row],[Data Pagamento]]="","",EOMONTH(B1078,0)),"")</f>
        <v/>
      </c>
      <c r="D1078" s="104">
        <f>IFERROR(IF(DIVIDENDOS[[#This Row],[Data Pagamento]]="","",DIVIDENDOS[[#This Row],[Data Pagamento]]),"")</f>
        <v/>
      </c>
      <c r="F1078" s="106" t="n"/>
    </row>
    <row r="1079">
      <c r="A1079" s="101">
        <f>YEAR(DIVIDENDOS[[#This Row],[Data Pagamento]])</f>
        <v/>
      </c>
      <c r="C1079" s="103">
        <f>IFERROR(IF(DIVIDENDOS[[#This Row],[Data Pagamento]]="","",EOMONTH(B1079,0)),"")</f>
        <v/>
      </c>
      <c r="D1079" s="104">
        <f>IFERROR(IF(DIVIDENDOS[[#This Row],[Data Pagamento]]="","",DIVIDENDOS[[#This Row],[Data Pagamento]]),"")</f>
        <v/>
      </c>
      <c r="F1079" s="106" t="n"/>
    </row>
    <row r="1080">
      <c r="A1080" s="101">
        <f>YEAR(DIVIDENDOS[[#This Row],[Data Pagamento]])</f>
        <v/>
      </c>
      <c r="C1080" s="103">
        <f>IFERROR(IF(DIVIDENDOS[[#This Row],[Data Pagamento]]="","",EOMONTH(B1080,0)),"")</f>
        <v/>
      </c>
      <c r="D1080" s="104">
        <f>IFERROR(IF(DIVIDENDOS[[#This Row],[Data Pagamento]]="","",DIVIDENDOS[[#This Row],[Data Pagamento]]),"")</f>
        <v/>
      </c>
      <c r="F1080" s="106" t="n"/>
    </row>
    <row r="1081">
      <c r="A1081" s="101">
        <f>YEAR(DIVIDENDOS[[#This Row],[Data Pagamento]])</f>
        <v/>
      </c>
      <c r="C1081" s="103">
        <f>IFERROR(IF(DIVIDENDOS[[#This Row],[Data Pagamento]]="","",EOMONTH(B1081,0)),"")</f>
        <v/>
      </c>
      <c r="D1081" s="104">
        <f>IFERROR(IF(DIVIDENDOS[[#This Row],[Data Pagamento]]="","",DIVIDENDOS[[#This Row],[Data Pagamento]]),"")</f>
        <v/>
      </c>
      <c r="F1081" s="106" t="n"/>
    </row>
    <row r="1082">
      <c r="A1082" s="101">
        <f>YEAR(DIVIDENDOS[[#This Row],[Data Pagamento]])</f>
        <v/>
      </c>
      <c r="C1082" s="103">
        <f>IFERROR(IF(DIVIDENDOS[[#This Row],[Data Pagamento]]="","",EOMONTH(B1082,0)),"")</f>
        <v/>
      </c>
      <c r="D1082" s="104">
        <f>IFERROR(IF(DIVIDENDOS[[#This Row],[Data Pagamento]]="","",DIVIDENDOS[[#This Row],[Data Pagamento]]),"")</f>
        <v/>
      </c>
      <c r="F1082" s="106" t="n"/>
    </row>
    <row r="1083">
      <c r="A1083" s="101">
        <f>YEAR(DIVIDENDOS[[#This Row],[Data Pagamento]])</f>
        <v/>
      </c>
      <c r="C1083" s="103">
        <f>IFERROR(IF(DIVIDENDOS[[#This Row],[Data Pagamento]]="","",EOMONTH(B1083,0)),"")</f>
        <v/>
      </c>
      <c r="D1083" s="104">
        <f>IFERROR(IF(DIVIDENDOS[[#This Row],[Data Pagamento]]="","",DIVIDENDOS[[#This Row],[Data Pagamento]]),"")</f>
        <v/>
      </c>
      <c r="F1083" s="106" t="n"/>
    </row>
    <row r="1084">
      <c r="A1084" s="101">
        <f>YEAR(DIVIDENDOS[[#This Row],[Data Pagamento]])</f>
        <v/>
      </c>
      <c r="C1084" s="103">
        <f>IFERROR(IF(DIVIDENDOS[[#This Row],[Data Pagamento]]="","",EOMONTH(B1084,0)),"")</f>
        <v/>
      </c>
      <c r="D1084" s="104">
        <f>IFERROR(IF(DIVIDENDOS[[#This Row],[Data Pagamento]]="","",DIVIDENDOS[[#This Row],[Data Pagamento]]),"")</f>
        <v/>
      </c>
      <c r="F1084" s="106" t="n"/>
    </row>
    <row r="1085">
      <c r="A1085" s="101">
        <f>YEAR(DIVIDENDOS[[#This Row],[Data Pagamento]])</f>
        <v/>
      </c>
      <c r="C1085" s="103">
        <f>IFERROR(IF(DIVIDENDOS[[#This Row],[Data Pagamento]]="","",EOMONTH(B1085,0)),"")</f>
        <v/>
      </c>
      <c r="D1085" s="104">
        <f>IFERROR(IF(DIVIDENDOS[[#This Row],[Data Pagamento]]="","",DIVIDENDOS[[#This Row],[Data Pagamento]]),"")</f>
        <v/>
      </c>
      <c r="F1085" s="106" t="n"/>
    </row>
    <row r="1086">
      <c r="A1086" s="101">
        <f>YEAR(DIVIDENDOS[[#This Row],[Data Pagamento]])</f>
        <v/>
      </c>
      <c r="C1086" s="103">
        <f>IFERROR(IF(DIVIDENDOS[[#This Row],[Data Pagamento]]="","",EOMONTH(B1086,0)),"")</f>
        <v/>
      </c>
      <c r="D1086" s="104">
        <f>IFERROR(IF(DIVIDENDOS[[#This Row],[Data Pagamento]]="","",DIVIDENDOS[[#This Row],[Data Pagamento]]),"")</f>
        <v/>
      </c>
      <c r="F1086" s="106" t="n"/>
    </row>
    <row r="1087">
      <c r="A1087" s="101">
        <f>YEAR(DIVIDENDOS[[#This Row],[Data Pagamento]])</f>
        <v/>
      </c>
      <c r="C1087" s="103">
        <f>IFERROR(IF(DIVIDENDOS[[#This Row],[Data Pagamento]]="","",EOMONTH(B1087,0)),"")</f>
        <v/>
      </c>
      <c r="D1087" s="104">
        <f>IFERROR(IF(DIVIDENDOS[[#This Row],[Data Pagamento]]="","",DIVIDENDOS[[#This Row],[Data Pagamento]]),"")</f>
        <v/>
      </c>
      <c r="F1087" s="106" t="n"/>
    </row>
    <row r="1088">
      <c r="A1088" s="101">
        <f>YEAR(DIVIDENDOS[[#This Row],[Data Pagamento]])</f>
        <v/>
      </c>
      <c r="C1088" s="103">
        <f>IFERROR(IF(DIVIDENDOS[[#This Row],[Data Pagamento]]="","",EOMONTH(B1088,0)),"")</f>
        <v/>
      </c>
      <c r="D1088" s="104">
        <f>IFERROR(IF(DIVIDENDOS[[#This Row],[Data Pagamento]]="","",DIVIDENDOS[[#This Row],[Data Pagamento]]),"")</f>
        <v/>
      </c>
      <c r="F1088" s="106" t="n"/>
    </row>
    <row r="1089">
      <c r="A1089" s="101">
        <f>YEAR(DIVIDENDOS[[#This Row],[Data Pagamento]])</f>
        <v/>
      </c>
      <c r="C1089" s="103">
        <f>IFERROR(IF(DIVIDENDOS[[#This Row],[Data Pagamento]]="","",EOMONTH(B1089,0)),"")</f>
        <v/>
      </c>
      <c r="D1089" s="104">
        <f>IFERROR(IF(DIVIDENDOS[[#This Row],[Data Pagamento]]="","",DIVIDENDOS[[#This Row],[Data Pagamento]]),"")</f>
        <v/>
      </c>
      <c r="F1089" s="106" t="n"/>
    </row>
    <row r="1090">
      <c r="A1090" s="101">
        <f>YEAR(DIVIDENDOS[[#This Row],[Data Pagamento]])</f>
        <v/>
      </c>
      <c r="C1090" s="103">
        <f>IFERROR(IF(DIVIDENDOS[[#This Row],[Data Pagamento]]="","",EOMONTH(B1090,0)),"")</f>
        <v/>
      </c>
      <c r="D1090" s="104">
        <f>IFERROR(IF(DIVIDENDOS[[#This Row],[Data Pagamento]]="","",DIVIDENDOS[[#This Row],[Data Pagamento]]),"")</f>
        <v/>
      </c>
      <c r="F1090" s="106" t="n"/>
    </row>
    <row r="1091">
      <c r="A1091" s="101">
        <f>YEAR(DIVIDENDOS[[#This Row],[Data Pagamento]])</f>
        <v/>
      </c>
      <c r="C1091" s="103">
        <f>IFERROR(IF(DIVIDENDOS[[#This Row],[Data Pagamento]]="","",EOMONTH(B1091,0)),"")</f>
        <v/>
      </c>
      <c r="D1091" s="104">
        <f>IFERROR(IF(DIVIDENDOS[[#This Row],[Data Pagamento]]="","",DIVIDENDOS[[#This Row],[Data Pagamento]]),"")</f>
        <v/>
      </c>
      <c r="F1091" s="106" t="n"/>
    </row>
    <row r="1092">
      <c r="A1092" s="101">
        <f>YEAR(DIVIDENDOS[[#This Row],[Data Pagamento]])</f>
        <v/>
      </c>
      <c r="C1092" s="103">
        <f>IFERROR(IF(DIVIDENDOS[[#This Row],[Data Pagamento]]="","",EOMONTH(B1092,0)),"")</f>
        <v/>
      </c>
      <c r="D1092" s="104">
        <f>IFERROR(IF(DIVIDENDOS[[#This Row],[Data Pagamento]]="","",DIVIDENDOS[[#This Row],[Data Pagamento]]),"")</f>
        <v/>
      </c>
      <c r="F1092" s="106" t="n"/>
    </row>
    <row r="1093">
      <c r="A1093" s="101">
        <f>YEAR(DIVIDENDOS[[#This Row],[Data Pagamento]])</f>
        <v/>
      </c>
      <c r="C1093" s="103">
        <f>IFERROR(IF(DIVIDENDOS[[#This Row],[Data Pagamento]]="","",EOMONTH(B1093,0)),"")</f>
        <v/>
      </c>
      <c r="D1093" s="104">
        <f>IFERROR(IF(DIVIDENDOS[[#This Row],[Data Pagamento]]="","",DIVIDENDOS[[#This Row],[Data Pagamento]]),"")</f>
        <v/>
      </c>
      <c r="F1093" s="106" t="n"/>
    </row>
    <row r="1094">
      <c r="A1094" s="101">
        <f>YEAR(DIVIDENDOS[[#This Row],[Data Pagamento]])</f>
        <v/>
      </c>
      <c r="C1094" s="103">
        <f>IFERROR(IF(DIVIDENDOS[[#This Row],[Data Pagamento]]="","",EOMONTH(B1094,0)),"")</f>
        <v/>
      </c>
      <c r="D1094" s="104">
        <f>IFERROR(IF(DIVIDENDOS[[#This Row],[Data Pagamento]]="","",DIVIDENDOS[[#This Row],[Data Pagamento]]),"")</f>
        <v/>
      </c>
      <c r="F1094" s="106" t="n"/>
    </row>
    <row r="1095">
      <c r="A1095" s="101">
        <f>YEAR(DIVIDENDOS[[#This Row],[Data Pagamento]])</f>
        <v/>
      </c>
      <c r="C1095" s="103">
        <f>IFERROR(IF(DIVIDENDOS[[#This Row],[Data Pagamento]]="","",EOMONTH(B1095,0)),"")</f>
        <v/>
      </c>
      <c r="D1095" s="104">
        <f>IFERROR(IF(DIVIDENDOS[[#This Row],[Data Pagamento]]="","",DIVIDENDOS[[#This Row],[Data Pagamento]]),"")</f>
        <v/>
      </c>
      <c r="F1095" s="106" t="n"/>
    </row>
    <row r="1096">
      <c r="A1096" s="101">
        <f>YEAR(DIVIDENDOS[[#This Row],[Data Pagamento]])</f>
        <v/>
      </c>
      <c r="C1096" s="103">
        <f>IFERROR(IF(DIVIDENDOS[[#This Row],[Data Pagamento]]="","",EOMONTH(B1096,0)),"")</f>
        <v/>
      </c>
      <c r="D1096" s="104">
        <f>IFERROR(IF(DIVIDENDOS[[#This Row],[Data Pagamento]]="","",DIVIDENDOS[[#This Row],[Data Pagamento]]),"")</f>
        <v/>
      </c>
      <c r="F1096" s="106" t="n"/>
    </row>
    <row r="1097">
      <c r="A1097" s="101">
        <f>YEAR(DIVIDENDOS[[#This Row],[Data Pagamento]])</f>
        <v/>
      </c>
      <c r="C1097" s="103">
        <f>IFERROR(IF(DIVIDENDOS[[#This Row],[Data Pagamento]]="","",EOMONTH(B1097,0)),"")</f>
        <v/>
      </c>
      <c r="D1097" s="104">
        <f>IFERROR(IF(DIVIDENDOS[[#This Row],[Data Pagamento]]="","",DIVIDENDOS[[#This Row],[Data Pagamento]]),"")</f>
        <v/>
      </c>
      <c r="F1097" s="106" t="n"/>
    </row>
    <row r="1098">
      <c r="A1098" s="101">
        <f>YEAR(DIVIDENDOS[[#This Row],[Data Pagamento]])</f>
        <v/>
      </c>
      <c r="C1098" s="103">
        <f>IFERROR(IF(DIVIDENDOS[[#This Row],[Data Pagamento]]="","",EOMONTH(B1098,0)),"")</f>
        <v/>
      </c>
      <c r="D1098" s="104">
        <f>IFERROR(IF(DIVIDENDOS[[#This Row],[Data Pagamento]]="","",DIVIDENDOS[[#This Row],[Data Pagamento]]),"")</f>
        <v/>
      </c>
      <c r="F1098" s="106" t="n"/>
    </row>
    <row r="1099">
      <c r="A1099" s="101">
        <f>YEAR(DIVIDENDOS[[#This Row],[Data Pagamento]])</f>
        <v/>
      </c>
      <c r="C1099" s="103">
        <f>IFERROR(IF(DIVIDENDOS[[#This Row],[Data Pagamento]]="","",EOMONTH(B1099,0)),"")</f>
        <v/>
      </c>
      <c r="D1099" s="104">
        <f>IFERROR(IF(DIVIDENDOS[[#This Row],[Data Pagamento]]="","",DIVIDENDOS[[#This Row],[Data Pagamento]]),"")</f>
        <v/>
      </c>
      <c r="F1099" s="106" t="n"/>
    </row>
    <row r="1100">
      <c r="A1100" s="101">
        <f>YEAR(DIVIDENDOS[[#This Row],[Data Pagamento]])</f>
        <v/>
      </c>
      <c r="C1100" s="103">
        <f>IFERROR(IF(DIVIDENDOS[[#This Row],[Data Pagamento]]="","",EOMONTH(B1100,0)),"")</f>
        <v/>
      </c>
      <c r="D1100" s="104">
        <f>IFERROR(IF(DIVIDENDOS[[#This Row],[Data Pagamento]]="","",DIVIDENDOS[[#This Row],[Data Pagamento]]),"")</f>
        <v/>
      </c>
      <c r="F1100" s="106" t="n"/>
    </row>
    <row r="1101">
      <c r="A1101" s="101">
        <f>YEAR(DIVIDENDOS[[#This Row],[Data Pagamento]])</f>
        <v/>
      </c>
      <c r="C1101" s="103">
        <f>IFERROR(IF(DIVIDENDOS[[#This Row],[Data Pagamento]]="","",EOMONTH(B1101,0)),"")</f>
        <v/>
      </c>
      <c r="D1101" s="104">
        <f>IFERROR(IF(DIVIDENDOS[[#This Row],[Data Pagamento]]="","",DIVIDENDOS[[#This Row],[Data Pagamento]]),"")</f>
        <v/>
      </c>
      <c r="F1101" s="106" t="n"/>
    </row>
    <row r="1102">
      <c r="A1102" s="101">
        <f>YEAR(DIVIDENDOS[[#This Row],[Data Pagamento]])</f>
        <v/>
      </c>
      <c r="C1102" s="103">
        <f>IFERROR(IF(DIVIDENDOS[[#This Row],[Data Pagamento]]="","",EOMONTH(B1102,0)),"")</f>
        <v/>
      </c>
      <c r="D1102" s="104">
        <f>IFERROR(IF(DIVIDENDOS[[#This Row],[Data Pagamento]]="","",DIVIDENDOS[[#This Row],[Data Pagamento]]),"")</f>
        <v/>
      </c>
      <c r="F1102" s="106" t="n"/>
    </row>
    <row r="1103">
      <c r="A1103" s="101">
        <f>YEAR(DIVIDENDOS[[#This Row],[Data Pagamento]])</f>
        <v/>
      </c>
      <c r="C1103" s="103">
        <f>IFERROR(IF(DIVIDENDOS[[#This Row],[Data Pagamento]]="","",EOMONTH(B1103,0)),"")</f>
        <v/>
      </c>
      <c r="D1103" s="104">
        <f>IFERROR(IF(DIVIDENDOS[[#This Row],[Data Pagamento]]="","",DIVIDENDOS[[#This Row],[Data Pagamento]]),"")</f>
        <v/>
      </c>
      <c r="F1103" s="106" t="n"/>
    </row>
    <row r="1104">
      <c r="A1104" s="101">
        <f>YEAR(DIVIDENDOS[[#This Row],[Data Pagamento]])</f>
        <v/>
      </c>
      <c r="C1104" s="103">
        <f>IFERROR(IF(DIVIDENDOS[[#This Row],[Data Pagamento]]="","",EOMONTH(B1104,0)),"")</f>
        <v/>
      </c>
      <c r="D1104" s="104">
        <f>IFERROR(IF(DIVIDENDOS[[#This Row],[Data Pagamento]]="","",DIVIDENDOS[[#This Row],[Data Pagamento]]),"")</f>
        <v/>
      </c>
      <c r="F1104" s="106" t="n"/>
    </row>
    <row r="1105">
      <c r="A1105" s="101">
        <f>YEAR(DIVIDENDOS[[#This Row],[Data Pagamento]])</f>
        <v/>
      </c>
      <c r="C1105" s="103">
        <f>IFERROR(IF(DIVIDENDOS[[#This Row],[Data Pagamento]]="","",EOMONTH(B1105,0)),"")</f>
        <v/>
      </c>
      <c r="D1105" s="104">
        <f>IFERROR(IF(DIVIDENDOS[[#This Row],[Data Pagamento]]="","",DIVIDENDOS[[#This Row],[Data Pagamento]]),"")</f>
        <v/>
      </c>
      <c r="F1105" s="106" t="n"/>
    </row>
    <row r="1106">
      <c r="A1106" s="101">
        <f>YEAR(DIVIDENDOS[[#This Row],[Data Pagamento]])</f>
        <v/>
      </c>
      <c r="C1106" s="103">
        <f>IFERROR(IF(DIVIDENDOS[[#This Row],[Data Pagamento]]="","",EOMONTH(B1106,0)),"")</f>
        <v/>
      </c>
      <c r="D1106" s="104">
        <f>IFERROR(IF(DIVIDENDOS[[#This Row],[Data Pagamento]]="","",DIVIDENDOS[[#This Row],[Data Pagamento]]),"")</f>
        <v/>
      </c>
      <c r="F1106" s="106" t="n"/>
    </row>
    <row r="1107">
      <c r="A1107" s="101">
        <f>YEAR(DIVIDENDOS[[#This Row],[Data Pagamento]])</f>
        <v/>
      </c>
      <c r="C1107" s="103">
        <f>IFERROR(IF(DIVIDENDOS[[#This Row],[Data Pagamento]]="","",EOMONTH(B1107,0)),"")</f>
        <v/>
      </c>
      <c r="D1107" s="104">
        <f>IFERROR(IF(DIVIDENDOS[[#This Row],[Data Pagamento]]="","",DIVIDENDOS[[#This Row],[Data Pagamento]]),"")</f>
        <v/>
      </c>
      <c r="F1107" s="106" t="n"/>
    </row>
    <row r="1108">
      <c r="A1108" s="101">
        <f>YEAR(DIVIDENDOS[[#This Row],[Data Pagamento]])</f>
        <v/>
      </c>
      <c r="C1108" s="103">
        <f>IFERROR(IF(DIVIDENDOS[[#This Row],[Data Pagamento]]="","",EOMONTH(B1108,0)),"")</f>
        <v/>
      </c>
      <c r="D1108" s="104">
        <f>IFERROR(IF(DIVIDENDOS[[#This Row],[Data Pagamento]]="","",DIVIDENDOS[[#This Row],[Data Pagamento]]),"")</f>
        <v/>
      </c>
      <c r="F1108" s="106" t="n"/>
    </row>
    <row r="1109">
      <c r="A1109" s="101">
        <f>YEAR(DIVIDENDOS[[#This Row],[Data Pagamento]])</f>
        <v/>
      </c>
      <c r="C1109" s="103">
        <f>IFERROR(IF(DIVIDENDOS[[#This Row],[Data Pagamento]]="","",EOMONTH(B1109,0)),"")</f>
        <v/>
      </c>
      <c r="D1109" s="104">
        <f>IFERROR(IF(DIVIDENDOS[[#This Row],[Data Pagamento]]="","",DIVIDENDOS[[#This Row],[Data Pagamento]]),"")</f>
        <v/>
      </c>
      <c r="F1109" s="106" t="n"/>
    </row>
    <row r="1110">
      <c r="A1110" s="101">
        <f>YEAR(DIVIDENDOS[[#This Row],[Data Pagamento]])</f>
        <v/>
      </c>
      <c r="C1110" s="103">
        <f>IFERROR(IF(DIVIDENDOS[[#This Row],[Data Pagamento]]="","",EOMONTH(B1110,0)),"")</f>
        <v/>
      </c>
      <c r="D1110" s="104">
        <f>IFERROR(IF(DIVIDENDOS[[#This Row],[Data Pagamento]]="","",DIVIDENDOS[[#This Row],[Data Pagamento]]),"")</f>
        <v/>
      </c>
      <c r="F1110" s="106" t="n"/>
    </row>
    <row r="1111">
      <c r="A1111" s="101">
        <f>YEAR(DIVIDENDOS[[#This Row],[Data Pagamento]])</f>
        <v/>
      </c>
      <c r="C1111" s="103">
        <f>IFERROR(IF(DIVIDENDOS[[#This Row],[Data Pagamento]]="","",EOMONTH(B1111,0)),"")</f>
        <v/>
      </c>
      <c r="D1111" s="104">
        <f>IFERROR(IF(DIVIDENDOS[[#This Row],[Data Pagamento]]="","",DIVIDENDOS[[#This Row],[Data Pagamento]]),"")</f>
        <v/>
      </c>
      <c r="F1111" s="106" t="n"/>
    </row>
    <row r="1112">
      <c r="A1112" s="101">
        <f>YEAR(DIVIDENDOS[[#This Row],[Data Pagamento]])</f>
        <v/>
      </c>
      <c r="C1112" s="103">
        <f>IFERROR(IF(DIVIDENDOS[[#This Row],[Data Pagamento]]="","",EOMONTH(B1112,0)),"")</f>
        <v/>
      </c>
      <c r="D1112" s="104">
        <f>IFERROR(IF(DIVIDENDOS[[#This Row],[Data Pagamento]]="","",DIVIDENDOS[[#This Row],[Data Pagamento]]),"")</f>
        <v/>
      </c>
      <c r="F1112" s="106" t="n"/>
    </row>
    <row r="1113">
      <c r="A1113" s="101">
        <f>YEAR(DIVIDENDOS[[#This Row],[Data Pagamento]])</f>
        <v/>
      </c>
      <c r="C1113" s="103">
        <f>IFERROR(IF(DIVIDENDOS[[#This Row],[Data Pagamento]]="","",EOMONTH(B1113,0)),"")</f>
        <v/>
      </c>
      <c r="D1113" s="104">
        <f>IFERROR(IF(DIVIDENDOS[[#This Row],[Data Pagamento]]="","",DIVIDENDOS[[#This Row],[Data Pagamento]]),"")</f>
        <v/>
      </c>
      <c r="F1113" s="106" t="n"/>
    </row>
    <row r="1114">
      <c r="A1114" s="101">
        <f>YEAR(DIVIDENDOS[[#This Row],[Data Pagamento]])</f>
        <v/>
      </c>
      <c r="C1114" s="103">
        <f>IFERROR(IF(DIVIDENDOS[[#This Row],[Data Pagamento]]="","",EOMONTH(B1114,0)),"")</f>
        <v/>
      </c>
      <c r="D1114" s="104">
        <f>IFERROR(IF(DIVIDENDOS[[#This Row],[Data Pagamento]]="","",DIVIDENDOS[[#This Row],[Data Pagamento]]),"")</f>
        <v/>
      </c>
      <c r="F1114" s="106" t="n"/>
    </row>
    <row r="1115">
      <c r="A1115" s="101">
        <f>YEAR(DIVIDENDOS[[#This Row],[Data Pagamento]])</f>
        <v/>
      </c>
      <c r="C1115" s="103">
        <f>IFERROR(IF(DIVIDENDOS[[#This Row],[Data Pagamento]]="","",EOMONTH(B1115,0)),"")</f>
        <v/>
      </c>
      <c r="D1115" s="104">
        <f>IFERROR(IF(DIVIDENDOS[[#This Row],[Data Pagamento]]="","",DIVIDENDOS[[#This Row],[Data Pagamento]]),"")</f>
        <v/>
      </c>
      <c r="F1115" s="106" t="n"/>
    </row>
    <row r="1116">
      <c r="A1116" s="101">
        <f>YEAR(DIVIDENDOS[[#This Row],[Data Pagamento]])</f>
        <v/>
      </c>
      <c r="C1116" s="103">
        <f>IFERROR(IF(DIVIDENDOS[[#This Row],[Data Pagamento]]="","",EOMONTH(B1116,0)),"")</f>
        <v/>
      </c>
      <c r="D1116" s="104">
        <f>IFERROR(IF(DIVIDENDOS[[#This Row],[Data Pagamento]]="","",DIVIDENDOS[[#This Row],[Data Pagamento]]),"")</f>
        <v/>
      </c>
      <c r="F1116" s="106" t="n"/>
    </row>
    <row r="1117">
      <c r="A1117" s="101">
        <f>YEAR(DIVIDENDOS[[#This Row],[Data Pagamento]])</f>
        <v/>
      </c>
      <c r="C1117" s="103">
        <f>IFERROR(IF(DIVIDENDOS[[#This Row],[Data Pagamento]]="","",EOMONTH(B1117,0)),"")</f>
        <v/>
      </c>
      <c r="D1117" s="104">
        <f>IFERROR(IF(DIVIDENDOS[[#This Row],[Data Pagamento]]="","",DIVIDENDOS[[#This Row],[Data Pagamento]]),"")</f>
        <v/>
      </c>
      <c r="F1117" s="106" t="n"/>
    </row>
    <row r="1118">
      <c r="A1118" s="101">
        <f>YEAR(DIVIDENDOS[[#This Row],[Data Pagamento]])</f>
        <v/>
      </c>
      <c r="C1118" s="103">
        <f>IFERROR(IF(DIVIDENDOS[[#This Row],[Data Pagamento]]="","",EOMONTH(B1118,0)),"")</f>
        <v/>
      </c>
      <c r="D1118" s="104">
        <f>IFERROR(IF(DIVIDENDOS[[#This Row],[Data Pagamento]]="","",DIVIDENDOS[[#This Row],[Data Pagamento]]),"")</f>
        <v/>
      </c>
      <c r="F1118" s="106" t="n"/>
    </row>
    <row r="1119">
      <c r="A1119" s="101">
        <f>YEAR(DIVIDENDOS[[#This Row],[Data Pagamento]])</f>
        <v/>
      </c>
      <c r="C1119" s="103">
        <f>IFERROR(IF(DIVIDENDOS[[#This Row],[Data Pagamento]]="","",EOMONTH(B1119,0)),"")</f>
        <v/>
      </c>
      <c r="D1119" s="104">
        <f>IFERROR(IF(DIVIDENDOS[[#This Row],[Data Pagamento]]="","",DIVIDENDOS[[#This Row],[Data Pagamento]]),"")</f>
        <v/>
      </c>
      <c r="F1119" s="106" t="n"/>
    </row>
    <row r="1120">
      <c r="A1120" s="101">
        <f>YEAR(DIVIDENDOS[[#This Row],[Data Pagamento]])</f>
        <v/>
      </c>
      <c r="C1120" s="103">
        <f>IFERROR(IF(DIVIDENDOS[[#This Row],[Data Pagamento]]="","",EOMONTH(B1120,0)),"")</f>
        <v/>
      </c>
      <c r="D1120" s="104">
        <f>IFERROR(IF(DIVIDENDOS[[#This Row],[Data Pagamento]]="","",DIVIDENDOS[[#This Row],[Data Pagamento]]),"")</f>
        <v/>
      </c>
      <c r="F1120" s="106" t="n"/>
    </row>
    <row r="1121">
      <c r="A1121" s="101">
        <f>YEAR(DIVIDENDOS[[#This Row],[Data Pagamento]])</f>
        <v/>
      </c>
      <c r="C1121" s="103">
        <f>IFERROR(IF(DIVIDENDOS[[#This Row],[Data Pagamento]]="","",EOMONTH(B1121,0)),"")</f>
        <v/>
      </c>
      <c r="D1121" s="104">
        <f>IFERROR(IF(DIVIDENDOS[[#This Row],[Data Pagamento]]="","",DIVIDENDOS[[#This Row],[Data Pagamento]]),"")</f>
        <v/>
      </c>
      <c r="F1121" s="106" t="n"/>
    </row>
    <row r="1122">
      <c r="A1122" s="101">
        <f>YEAR(DIVIDENDOS[[#This Row],[Data Pagamento]])</f>
        <v/>
      </c>
      <c r="C1122" s="103">
        <f>IFERROR(IF(DIVIDENDOS[[#This Row],[Data Pagamento]]="","",EOMONTH(B1122,0)),"")</f>
        <v/>
      </c>
      <c r="D1122" s="104">
        <f>IFERROR(IF(DIVIDENDOS[[#This Row],[Data Pagamento]]="","",DIVIDENDOS[[#This Row],[Data Pagamento]]),"")</f>
        <v/>
      </c>
      <c r="F1122" s="106" t="n"/>
    </row>
    <row r="1123">
      <c r="A1123" s="101">
        <f>YEAR(DIVIDENDOS[[#This Row],[Data Pagamento]])</f>
        <v/>
      </c>
      <c r="C1123" s="103">
        <f>IFERROR(IF(DIVIDENDOS[[#This Row],[Data Pagamento]]="","",EOMONTH(B1123,0)),"")</f>
        <v/>
      </c>
      <c r="D1123" s="104">
        <f>IFERROR(IF(DIVIDENDOS[[#This Row],[Data Pagamento]]="","",DIVIDENDOS[[#This Row],[Data Pagamento]]),"")</f>
        <v/>
      </c>
      <c r="F1123" s="106" t="n"/>
    </row>
    <row r="1124">
      <c r="A1124" s="101">
        <f>YEAR(DIVIDENDOS[[#This Row],[Data Pagamento]])</f>
        <v/>
      </c>
      <c r="C1124" s="103">
        <f>IFERROR(IF(DIVIDENDOS[[#This Row],[Data Pagamento]]="","",EOMONTH(B1124,0)),"")</f>
        <v/>
      </c>
      <c r="D1124" s="104">
        <f>IFERROR(IF(DIVIDENDOS[[#This Row],[Data Pagamento]]="","",DIVIDENDOS[[#This Row],[Data Pagamento]]),"")</f>
        <v/>
      </c>
      <c r="F1124" s="106" t="n"/>
    </row>
    <row r="1125">
      <c r="A1125" s="101">
        <f>YEAR(DIVIDENDOS[[#This Row],[Data Pagamento]])</f>
        <v/>
      </c>
      <c r="C1125" s="103">
        <f>IFERROR(IF(DIVIDENDOS[[#This Row],[Data Pagamento]]="","",EOMONTH(B1125,0)),"")</f>
        <v/>
      </c>
      <c r="D1125" s="104">
        <f>IFERROR(IF(DIVIDENDOS[[#This Row],[Data Pagamento]]="","",DIVIDENDOS[[#This Row],[Data Pagamento]]),"")</f>
        <v/>
      </c>
      <c r="F1125" s="106" t="n"/>
    </row>
    <row r="1126">
      <c r="A1126" s="101">
        <f>YEAR(DIVIDENDOS[[#This Row],[Data Pagamento]])</f>
        <v/>
      </c>
      <c r="C1126" s="103">
        <f>IFERROR(IF(DIVIDENDOS[[#This Row],[Data Pagamento]]="","",EOMONTH(B1126,0)),"")</f>
        <v/>
      </c>
      <c r="D1126" s="104">
        <f>IFERROR(IF(DIVIDENDOS[[#This Row],[Data Pagamento]]="","",DIVIDENDOS[[#This Row],[Data Pagamento]]),"")</f>
        <v/>
      </c>
      <c r="F1126" s="106" t="n"/>
    </row>
    <row r="1127">
      <c r="A1127" s="101">
        <f>YEAR(DIVIDENDOS[[#This Row],[Data Pagamento]])</f>
        <v/>
      </c>
      <c r="C1127" s="103">
        <f>IFERROR(IF(DIVIDENDOS[[#This Row],[Data Pagamento]]="","",EOMONTH(B1127,0)),"")</f>
        <v/>
      </c>
      <c r="D1127" s="104">
        <f>IFERROR(IF(DIVIDENDOS[[#This Row],[Data Pagamento]]="","",DIVIDENDOS[[#This Row],[Data Pagamento]]),"")</f>
        <v/>
      </c>
      <c r="F1127" s="106" t="n"/>
    </row>
    <row r="1128">
      <c r="A1128" s="101">
        <f>YEAR(DIVIDENDOS[[#This Row],[Data Pagamento]])</f>
        <v/>
      </c>
      <c r="C1128" s="103">
        <f>IFERROR(IF(DIVIDENDOS[[#This Row],[Data Pagamento]]="","",EOMONTH(B1128,0)),"")</f>
        <v/>
      </c>
      <c r="D1128" s="104">
        <f>IFERROR(IF(DIVIDENDOS[[#This Row],[Data Pagamento]]="","",DIVIDENDOS[[#This Row],[Data Pagamento]]),"")</f>
        <v/>
      </c>
      <c r="F1128" s="106" t="n"/>
    </row>
    <row r="1129">
      <c r="A1129" s="101">
        <f>YEAR(DIVIDENDOS[[#This Row],[Data Pagamento]])</f>
        <v/>
      </c>
      <c r="C1129" s="103">
        <f>IFERROR(IF(DIVIDENDOS[[#This Row],[Data Pagamento]]="","",EOMONTH(B1129,0)),"")</f>
        <v/>
      </c>
      <c r="D1129" s="104">
        <f>IFERROR(IF(DIVIDENDOS[[#This Row],[Data Pagamento]]="","",DIVIDENDOS[[#This Row],[Data Pagamento]]),"")</f>
        <v/>
      </c>
      <c r="F1129" s="106" t="n"/>
    </row>
    <row r="1130">
      <c r="A1130" s="101">
        <f>YEAR(DIVIDENDOS[[#This Row],[Data Pagamento]])</f>
        <v/>
      </c>
      <c r="C1130" s="103">
        <f>IFERROR(IF(DIVIDENDOS[[#This Row],[Data Pagamento]]="","",EOMONTH(B1130,0)),"")</f>
        <v/>
      </c>
      <c r="D1130" s="104">
        <f>IFERROR(IF(DIVIDENDOS[[#This Row],[Data Pagamento]]="","",DIVIDENDOS[[#This Row],[Data Pagamento]]),"")</f>
        <v/>
      </c>
      <c r="F1130" s="106" t="n"/>
    </row>
    <row r="1131">
      <c r="A1131" s="101">
        <f>YEAR(DIVIDENDOS[[#This Row],[Data Pagamento]])</f>
        <v/>
      </c>
      <c r="C1131" s="103">
        <f>IFERROR(IF(DIVIDENDOS[[#This Row],[Data Pagamento]]="","",EOMONTH(B1131,0)),"")</f>
        <v/>
      </c>
      <c r="D1131" s="104">
        <f>IFERROR(IF(DIVIDENDOS[[#This Row],[Data Pagamento]]="","",DIVIDENDOS[[#This Row],[Data Pagamento]]),"")</f>
        <v/>
      </c>
      <c r="F1131" s="106" t="n"/>
    </row>
    <row r="1132">
      <c r="A1132" s="101">
        <f>YEAR(DIVIDENDOS[[#This Row],[Data Pagamento]])</f>
        <v/>
      </c>
      <c r="C1132" s="103">
        <f>IFERROR(IF(DIVIDENDOS[[#This Row],[Data Pagamento]]="","",EOMONTH(B1132,0)),"")</f>
        <v/>
      </c>
      <c r="D1132" s="104">
        <f>IFERROR(IF(DIVIDENDOS[[#This Row],[Data Pagamento]]="","",DIVIDENDOS[[#This Row],[Data Pagamento]]),"")</f>
        <v/>
      </c>
      <c r="F1132" s="106" t="n"/>
    </row>
    <row r="1133">
      <c r="A1133" s="101">
        <f>YEAR(DIVIDENDOS[[#This Row],[Data Pagamento]])</f>
        <v/>
      </c>
      <c r="C1133" s="103">
        <f>IFERROR(IF(DIVIDENDOS[[#This Row],[Data Pagamento]]="","",EOMONTH(B1133,0)),"")</f>
        <v/>
      </c>
      <c r="D1133" s="104">
        <f>IFERROR(IF(DIVIDENDOS[[#This Row],[Data Pagamento]]="","",DIVIDENDOS[[#This Row],[Data Pagamento]]),"")</f>
        <v/>
      </c>
      <c r="F1133" s="106" t="n"/>
    </row>
    <row r="1134">
      <c r="A1134" s="101">
        <f>YEAR(DIVIDENDOS[[#This Row],[Data Pagamento]])</f>
        <v/>
      </c>
      <c r="C1134" s="103">
        <f>IFERROR(IF(DIVIDENDOS[[#This Row],[Data Pagamento]]="","",EOMONTH(B1134,0)),"")</f>
        <v/>
      </c>
      <c r="D1134" s="104">
        <f>IFERROR(IF(DIVIDENDOS[[#This Row],[Data Pagamento]]="","",DIVIDENDOS[[#This Row],[Data Pagamento]]),"")</f>
        <v/>
      </c>
      <c r="F1134" s="106" t="n"/>
    </row>
    <row r="1135">
      <c r="A1135" s="101">
        <f>YEAR(DIVIDENDOS[[#This Row],[Data Pagamento]])</f>
        <v/>
      </c>
      <c r="C1135" s="103">
        <f>IFERROR(IF(DIVIDENDOS[[#This Row],[Data Pagamento]]="","",EOMONTH(B1135,0)),"")</f>
        <v/>
      </c>
      <c r="D1135" s="104">
        <f>IFERROR(IF(DIVIDENDOS[[#This Row],[Data Pagamento]]="","",DIVIDENDOS[[#This Row],[Data Pagamento]]),"")</f>
        <v/>
      </c>
      <c r="F1135" s="106" t="n"/>
    </row>
    <row r="1136">
      <c r="A1136" s="101">
        <f>YEAR(DIVIDENDOS[[#This Row],[Data Pagamento]])</f>
        <v/>
      </c>
      <c r="C1136" s="103">
        <f>IFERROR(IF(DIVIDENDOS[[#This Row],[Data Pagamento]]="","",EOMONTH(B1136,0)),"")</f>
        <v/>
      </c>
      <c r="D1136" s="104">
        <f>IFERROR(IF(DIVIDENDOS[[#This Row],[Data Pagamento]]="","",DIVIDENDOS[[#This Row],[Data Pagamento]]),"")</f>
        <v/>
      </c>
      <c r="F1136" s="106" t="n"/>
    </row>
    <row r="1137">
      <c r="A1137" s="101">
        <f>YEAR(DIVIDENDOS[[#This Row],[Data Pagamento]])</f>
        <v/>
      </c>
      <c r="C1137" s="103">
        <f>IFERROR(IF(DIVIDENDOS[[#This Row],[Data Pagamento]]="","",EOMONTH(B1137,0)),"")</f>
        <v/>
      </c>
      <c r="D1137" s="104">
        <f>IFERROR(IF(DIVIDENDOS[[#This Row],[Data Pagamento]]="","",DIVIDENDOS[[#This Row],[Data Pagamento]]),"")</f>
        <v/>
      </c>
      <c r="F1137" s="106" t="n"/>
    </row>
    <row r="1138">
      <c r="A1138" s="101">
        <f>YEAR(DIVIDENDOS[[#This Row],[Data Pagamento]])</f>
        <v/>
      </c>
      <c r="C1138" s="103">
        <f>IFERROR(IF(DIVIDENDOS[[#This Row],[Data Pagamento]]="","",EOMONTH(B1138,0)),"")</f>
        <v/>
      </c>
      <c r="D1138" s="104">
        <f>IFERROR(IF(DIVIDENDOS[[#This Row],[Data Pagamento]]="","",DIVIDENDOS[[#This Row],[Data Pagamento]]),"")</f>
        <v/>
      </c>
      <c r="F1138" s="106" t="n"/>
    </row>
    <row r="1139">
      <c r="A1139" s="101">
        <f>YEAR(DIVIDENDOS[[#This Row],[Data Pagamento]])</f>
        <v/>
      </c>
      <c r="C1139" s="103">
        <f>IFERROR(IF(DIVIDENDOS[[#This Row],[Data Pagamento]]="","",EOMONTH(B1139,0)),"")</f>
        <v/>
      </c>
      <c r="D1139" s="104">
        <f>IFERROR(IF(DIVIDENDOS[[#This Row],[Data Pagamento]]="","",DIVIDENDOS[[#This Row],[Data Pagamento]]),"")</f>
        <v/>
      </c>
      <c r="F1139" s="106" t="n"/>
    </row>
    <row r="1140">
      <c r="A1140" s="101">
        <f>YEAR(DIVIDENDOS[[#This Row],[Data Pagamento]])</f>
        <v/>
      </c>
      <c r="C1140" s="103">
        <f>IFERROR(IF(DIVIDENDOS[[#This Row],[Data Pagamento]]="","",EOMONTH(B1140,0)),"")</f>
        <v/>
      </c>
      <c r="D1140" s="104">
        <f>IFERROR(IF(DIVIDENDOS[[#This Row],[Data Pagamento]]="","",DIVIDENDOS[[#This Row],[Data Pagamento]]),"")</f>
        <v/>
      </c>
      <c r="F1140" s="106" t="n"/>
    </row>
    <row r="1141">
      <c r="A1141" s="101">
        <f>YEAR(DIVIDENDOS[[#This Row],[Data Pagamento]])</f>
        <v/>
      </c>
      <c r="C1141" s="103">
        <f>IFERROR(IF(DIVIDENDOS[[#This Row],[Data Pagamento]]="","",EOMONTH(B1141,0)),"")</f>
        <v/>
      </c>
      <c r="D1141" s="104">
        <f>IFERROR(IF(DIVIDENDOS[[#This Row],[Data Pagamento]]="","",DIVIDENDOS[[#This Row],[Data Pagamento]]),"")</f>
        <v/>
      </c>
      <c r="F1141" s="106" t="n"/>
    </row>
    <row r="1142">
      <c r="A1142" s="101">
        <f>YEAR(DIVIDENDOS[[#This Row],[Data Pagamento]])</f>
        <v/>
      </c>
      <c r="C1142" s="103">
        <f>IFERROR(IF(DIVIDENDOS[[#This Row],[Data Pagamento]]="","",EOMONTH(B1142,0)),"")</f>
        <v/>
      </c>
      <c r="D1142" s="104">
        <f>IFERROR(IF(DIVIDENDOS[[#This Row],[Data Pagamento]]="","",DIVIDENDOS[[#This Row],[Data Pagamento]]),"")</f>
        <v/>
      </c>
      <c r="F1142" s="106" t="n"/>
    </row>
    <row r="1143">
      <c r="A1143" s="101">
        <f>YEAR(DIVIDENDOS[[#This Row],[Data Pagamento]])</f>
        <v/>
      </c>
      <c r="C1143" s="103">
        <f>IFERROR(IF(DIVIDENDOS[[#This Row],[Data Pagamento]]="","",EOMONTH(B1143,0)),"")</f>
        <v/>
      </c>
      <c r="D1143" s="104">
        <f>IFERROR(IF(DIVIDENDOS[[#This Row],[Data Pagamento]]="","",DIVIDENDOS[[#This Row],[Data Pagamento]]),"")</f>
        <v/>
      </c>
      <c r="F1143" s="106" t="n"/>
    </row>
    <row r="1144">
      <c r="A1144" s="101">
        <f>YEAR(DIVIDENDOS[[#This Row],[Data Pagamento]])</f>
        <v/>
      </c>
      <c r="C1144" s="103">
        <f>IFERROR(IF(DIVIDENDOS[[#This Row],[Data Pagamento]]="","",EOMONTH(B1144,0)),"")</f>
        <v/>
      </c>
      <c r="D1144" s="104">
        <f>IFERROR(IF(DIVIDENDOS[[#This Row],[Data Pagamento]]="","",DIVIDENDOS[[#This Row],[Data Pagamento]]),"")</f>
        <v/>
      </c>
      <c r="F1144" s="106" t="n"/>
    </row>
    <row r="1145">
      <c r="A1145" s="101">
        <f>YEAR(DIVIDENDOS[[#This Row],[Data Pagamento]])</f>
        <v/>
      </c>
      <c r="C1145" s="103">
        <f>IFERROR(IF(DIVIDENDOS[[#This Row],[Data Pagamento]]="","",EOMONTH(B1145,0)),"")</f>
        <v/>
      </c>
      <c r="D1145" s="104">
        <f>IFERROR(IF(DIVIDENDOS[[#This Row],[Data Pagamento]]="","",DIVIDENDOS[[#This Row],[Data Pagamento]]),"")</f>
        <v/>
      </c>
      <c r="F1145" s="106" t="n"/>
    </row>
    <row r="1146">
      <c r="A1146" s="101">
        <f>YEAR(DIVIDENDOS[[#This Row],[Data Pagamento]])</f>
        <v/>
      </c>
      <c r="C1146" s="103">
        <f>IFERROR(IF(DIVIDENDOS[[#This Row],[Data Pagamento]]="","",EOMONTH(B1146,0)),"")</f>
        <v/>
      </c>
      <c r="D1146" s="104">
        <f>IFERROR(IF(DIVIDENDOS[[#This Row],[Data Pagamento]]="","",DIVIDENDOS[[#This Row],[Data Pagamento]]),"")</f>
        <v/>
      </c>
      <c r="F1146" s="106" t="n"/>
    </row>
    <row r="1147">
      <c r="A1147" s="101">
        <f>YEAR(DIVIDENDOS[[#This Row],[Data Pagamento]])</f>
        <v/>
      </c>
      <c r="C1147" s="103">
        <f>IFERROR(IF(DIVIDENDOS[[#This Row],[Data Pagamento]]="","",EOMONTH(B1147,0)),"")</f>
        <v/>
      </c>
      <c r="D1147" s="104">
        <f>IFERROR(IF(DIVIDENDOS[[#This Row],[Data Pagamento]]="","",DIVIDENDOS[[#This Row],[Data Pagamento]]),"")</f>
        <v/>
      </c>
      <c r="F1147" s="106" t="n"/>
    </row>
    <row r="1148">
      <c r="A1148" s="101">
        <f>YEAR(DIVIDENDOS[[#This Row],[Data Pagamento]])</f>
        <v/>
      </c>
      <c r="C1148" s="103">
        <f>IFERROR(IF(DIVIDENDOS[[#This Row],[Data Pagamento]]="","",EOMONTH(B1148,0)),"")</f>
        <v/>
      </c>
      <c r="D1148" s="104">
        <f>IFERROR(IF(DIVIDENDOS[[#This Row],[Data Pagamento]]="","",DIVIDENDOS[[#This Row],[Data Pagamento]]),"")</f>
        <v/>
      </c>
      <c r="F1148" s="106" t="n"/>
    </row>
    <row r="1149">
      <c r="A1149" s="101">
        <f>YEAR(DIVIDENDOS[[#This Row],[Data Pagamento]])</f>
        <v/>
      </c>
      <c r="C1149" s="103">
        <f>IFERROR(IF(DIVIDENDOS[[#This Row],[Data Pagamento]]="","",EOMONTH(B1149,0)),"")</f>
        <v/>
      </c>
      <c r="D1149" s="104">
        <f>IFERROR(IF(DIVIDENDOS[[#This Row],[Data Pagamento]]="","",DIVIDENDOS[[#This Row],[Data Pagamento]]),"")</f>
        <v/>
      </c>
      <c r="F1149" s="106" t="n"/>
    </row>
    <row r="1150">
      <c r="A1150" s="101">
        <f>YEAR(DIVIDENDOS[[#This Row],[Data Pagamento]])</f>
        <v/>
      </c>
      <c r="C1150" s="103">
        <f>IFERROR(IF(DIVIDENDOS[[#This Row],[Data Pagamento]]="","",EOMONTH(B1150,0)),"")</f>
        <v/>
      </c>
      <c r="D1150" s="104">
        <f>IFERROR(IF(DIVIDENDOS[[#This Row],[Data Pagamento]]="","",DIVIDENDOS[[#This Row],[Data Pagamento]]),"")</f>
        <v/>
      </c>
      <c r="F1150" s="106" t="n"/>
    </row>
    <row r="1151">
      <c r="A1151" s="101">
        <f>YEAR(DIVIDENDOS[[#This Row],[Data Pagamento]])</f>
        <v/>
      </c>
      <c r="C1151" s="103">
        <f>IFERROR(IF(DIVIDENDOS[[#This Row],[Data Pagamento]]="","",EOMONTH(B1151,0)),"")</f>
        <v/>
      </c>
      <c r="D1151" s="104">
        <f>IFERROR(IF(DIVIDENDOS[[#This Row],[Data Pagamento]]="","",DIVIDENDOS[[#This Row],[Data Pagamento]]),"")</f>
        <v/>
      </c>
      <c r="F1151" s="106" t="n"/>
    </row>
    <row r="1152">
      <c r="A1152" s="101">
        <f>YEAR(DIVIDENDOS[[#This Row],[Data Pagamento]])</f>
        <v/>
      </c>
      <c r="C1152" s="103">
        <f>IFERROR(IF(DIVIDENDOS[[#This Row],[Data Pagamento]]="","",EOMONTH(B1152,0)),"")</f>
        <v/>
      </c>
      <c r="D1152" s="104">
        <f>IFERROR(IF(DIVIDENDOS[[#This Row],[Data Pagamento]]="","",DIVIDENDOS[[#This Row],[Data Pagamento]]),"")</f>
        <v/>
      </c>
      <c r="F1152" s="106" t="n"/>
    </row>
    <row r="1153">
      <c r="A1153" s="101">
        <f>YEAR(DIVIDENDOS[[#This Row],[Data Pagamento]])</f>
        <v/>
      </c>
      <c r="C1153" s="103">
        <f>IFERROR(IF(DIVIDENDOS[[#This Row],[Data Pagamento]]="","",EOMONTH(B1153,0)),"")</f>
        <v/>
      </c>
      <c r="D1153" s="104">
        <f>IFERROR(IF(DIVIDENDOS[[#This Row],[Data Pagamento]]="","",DIVIDENDOS[[#This Row],[Data Pagamento]]),"")</f>
        <v/>
      </c>
      <c r="F1153" s="106" t="n"/>
    </row>
    <row r="1154">
      <c r="A1154" s="101">
        <f>YEAR(DIVIDENDOS[[#This Row],[Data Pagamento]])</f>
        <v/>
      </c>
      <c r="C1154" s="103">
        <f>IFERROR(IF(DIVIDENDOS[[#This Row],[Data Pagamento]]="","",EOMONTH(B1154,0)),"")</f>
        <v/>
      </c>
      <c r="D1154" s="104">
        <f>IFERROR(IF(DIVIDENDOS[[#This Row],[Data Pagamento]]="","",DIVIDENDOS[[#This Row],[Data Pagamento]]),"")</f>
        <v/>
      </c>
      <c r="F1154" s="106" t="n"/>
    </row>
    <row r="1155">
      <c r="A1155" s="101">
        <f>YEAR(DIVIDENDOS[[#This Row],[Data Pagamento]])</f>
        <v/>
      </c>
      <c r="C1155" s="103">
        <f>IFERROR(IF(DIVIDENDOS[[#This Row],[Data Pagamento]]="","",EOMONTH(B1155,0)),"")</f>
        <v/>
      </c>
      <c r="D1155" s="104">
        <f>IFERROR(IF(DIVIDENDOS[[#This Row],[Data Pagamento]]="","",DIVIDENDOS[[#This Row],[Data Pagamento]]),"")</f>
        <v/>
      </c>
      <c r="F1155" s="106" t="n"/>
    </row>
    <row r="1156">
      <c r="A1156" s="101">
        <f>YEAR(DIVIDENDOS[[#This Row],[Data Pagamento]])</f>
        <v/>
      </c>
      <c r="C1156" s="103">
        <f>IFERROR(IF(DIVIDENDOS[[#This Row],[Data Pagamento]]="","",EOMONTH(B1156,0)),"")</f>
        <v/>
      </c>
      <c r="D1156" s="104">
        <f>IFERROR(IF(DIVIDENDOS[[#This Row],[Data Pagamento]]="","",DIVIDENDOS[[#This Row],[Data Pagamento]]),"")</f>
        <v/>
      </c>
      <c r="F1156" s="106" t="n"/>
    </row>
    <row r="1157">
      <c r="A1157" s="101">
        <f>YEAR(DIVIDENDOS[[#This Row],[Data Pagamento]])</f>
        <v/>
      </c>
      <c r="C1157" s="103">
        <f>IFERROR(IF(DIVIDENDOS[[#This Row],[Data Pagamento]]="","",EOMONTH(B1157,0)),"")</f>
        <v/>
      </c>
      <c r="D1157" s="104">
        <f>IFERROR(IF(DIVIDENDOS[[#This Row],[Data Pagamento]]="","",DIVIDENDOS[[#This Row],[Data Pagamento]]),"")</f>
        <v/>
      </c>
      <c r="F1157" s="106" t="n"/>
    </row>
    <row r="1158">
      <c r="A1158" s="101">
        <f>YEAR(DIVIDENDOS[[#This Row],[Data Pagamento]])</f>
        <v/>
      </c>
      <c r="C1158" s="103">
        <f>IFERROR(IF(DIVIDENDOS[[#This Row],[Data Pagamento]]="","",EOMONTH(B1158,0)),"")</f>
        <v/>
      </c>
      <c r="D1158" s="104">
        <f>IFERROR(IF(DIVIDENDOS[[#This Row],[Data Pagamento]]="","",DIVIDENDOS[[#This Row],[Data Pagamento]]),"")</f>
        <v/>
      </c>
      <c r="F1158" s="106" t="n"/>
    </row>
    <row r="1159">
      <c r="A1159" s="101">
        <f>YEAR(DIVIDENDOS[[#This Row],[Data Pagamento]])</f>
        <v/>
      </c>
      <c r="C1159" s="103">
        <f>IFERROR(IF(DIVIDENDOS[[#This Row],[Data Pagamento]]="","",EOMONTH(B1159,0)),"")</f>
        <v/>
      </c>
      <c r="D1159" s="104">
        <f>IFERROR(IF(DIVIDENDOS[[#This Row],[Data Pagamento]]="","",DIVIDENDOS[[#This Row],[Data Pagamento]]),"")</f>
        <v/>
      </c>
      <c r="F1159" s="106" t="n"/>
    </row>
    <row r="1160">
      <c r="A1160" s="101">
        <f>YEAR(DIVIDENDOS[[#This Row],[Data Pagamento]])</f>
        <v/>
      </c>
      <c r="C1160" s="103">
        <f>IFERROR(IF(DIVIDENDOS[[#This Row],[Data Pagamento]]="","",EOMONTH(B1160,0)),"")</f>
        <v/>
      </c>
      <c r="D1160" s="104">
        <f>IFERROR(IF(DIVIDENDOS[[#This Row],[Data Pagamento]]="","",DIVIDENDOS[[#This Row],[Data Pagamento]]),"")</f>
        <v/>
      </c>
      <c r="F1160" s="106" t="n"/>
    </row>
    <row r="1161">
      <c r="A1161" s="101">
        <f>YEAR(DIVIDENDOS[[#This Row],[Data Pagamento]])</f>
        <v/>
      </c>
      <c r="C1161" s="103">
        <f>IFERROR(IF(DIVIDENDOS[[#This Row],[Data Pagamento]]="","",EOMONTH(B1161,0)),"")</f>
        <v/>
      </c>
      <c r="D1161" s="104">
        <f>IFERROR(IF(DIVIDENDOS[[#This Row],[Data Pagamento]]="","",DIVIDENDOS[[#This Row],[Data Pagamento]]),"")</f>
        <v/>
      </c>
      <c r="F1161" s="106" t="n"/>
    </row>
    <row r="1162">
      <c r="A1162" s="101">
        <f>YEAR(DIVIDENDOS[[#This Row],[Data Pagamento]])</f>
        <v/>
      </c>
      <c r="C1162" s="103">
        <f>IFERROR(IF(DIVIDENDOS[[#This Row],[Data Pagamento]]="","",EOMONTH(B1162,0)),"")</f>
        <v/>
      </c>
      <c r="D1162" s="104">
        <f>IFERROR(IF(DIVIDENDOS[[#This Row],[Data Pagamento]]="","",DIVIDENDOS[[#This Row],[Data Pagamento]]),"")</f>
        <v/>
      </c>
      <c r="F1162" s="106" t="n"/>
    </row>
    <row r="1163">
      <c r="A1163" s="101">
        <f>YEAR(DIVIDENDOS[[#This Row],[Data Pagamento]])</f>
        <v/>
      </c>
      <c r="C1163" s="103">
        <f>IFERROR(IF(DIVIDENDOS[[#This Row],[Data Pagamento]]="","",EOMONTH(B1163,0)),"")</f>
        <v/>
      </c>
      <c r="D1163" s="104">
        <f>IFERROR(IF(DIVIDENDOS[[#This Row],[Data Pagamento]]="","",DIVIDENDOS[[#This Row],[Data Pagamento]]),"")</f>
        <v/>
      </c>
      <c r="F1163" s="106" t="n"/>
    </row>
    <row r="1164">
      <c r="A1164" s="101">
        <f>YEAR(DIVIDENDOS[[#This Row],[Data Pagamento]])</f>
        <v/>
      </c>
      <c r="C1164" s="103">
        <f>IFERROR(IF(DIVIDENDOS[[#This Row],[Data Pagamento]]="","",EOMONTH(B1164,0)),"")</f>
        <v/>
      </c>
      <c r="D1164" s="104">
        <f>IFERROR(IF(DIVIDENDOS[[#This Row],[Data Pagamento]]="","",DIVIDENDOS[[#This Row],[Data Pagamento]]),"")</f>
        <v/>
      </c>
      <c r="F1164" s="106" t="n"/>
    </row>
    <row r="1165">
      <c r="A1165" s="101">
        <f>YEAR(DIVIDENDOS[[#This Row],[Data Pagamento]])</f>
        <v/>
      </c>
      <c r="C1165" s="103">
        <f>IFERROR(IF(DIVIDENDOS[[#This Row],[Data Pagamento]]="","",EOMONTH(B1165,0)),"")</f>
        <v/>
      </c>
      <c r="D1165" s="104">
        <f>IFERROR(IF(DIVIDENDOS[[#This Row],[Data Pagamento]]="","",DIVIDENDOS[[#This Row],[Data Pagamento]]),"")</f>
        <v/>
      </c>
      <c r="F1165" s="106" t="n"/>
    </row>
    <row r="1166">
      <c r="A1166" s="101">
        <f>YEAR(DIVIDENDOS[[#This Row],[Data Pagamento]])</f>
        <v/>
      </c>
      <c r="C1166" s="103">
        <f>IFERROR(IF(DIVIDENDOS[[#This Row],[Data Pagamento]]="","",EOMONTH(B1166,0)),"")</f>
        <v/>
      </c>
      <c r="D1166" s="104">
        <f>IFERROR(IF(DIVIDENDOS[[#This Row],[Data Pagamento]]="","",DIVIDENDOS[[#This Row],[Data Pagamento]]),"")</f>
        <v/>
      </c>
      <c r="F1166" s="106" t="n"/>
    </row>
    <row r="1167">
      <c r="A1167" s="101">
        <f>YEAR(DIVIDENDOS[[#This Row],[Data Pagamento]])</f>
        <v/>
      </c>
      <c r="C1167" s="103">
        <f>IFERROR(IF(DIVIDENDOS[[#This Row],[Data Pagamento]]="","",EOMONTH(B1167,0)),"")</f>
        <v/>
      </c>
      <c r="D1167" s="104">
        <f>IFERROR(IF(DIVIDENDOS[[#This Row],[Data Pagamento]]="","",DIVIDENDOS[[#This Row],[Data Pagamento]]),"")</f>
        <v/>
      </c>
      <c r="F1167" s="106" t="n"/>
    </row>
    <row r="1168">
      <c r="A1168" s="101">
        <f>YEAR(DIVIDENDOS[[#This Row],[Data Pagamento]])</f>
        <v/>
      </c>
      <c r="C1168" s="103">
        <f>IFERROR(IF(DIVIDENDOS[[#This Row],[Data Pagamento]]="","",EOMONTH(B1168,0)),"")</f>
        <v/>
      </c>
      <c r="D1168" s="104">
        <f>IFERROR(IF(DIVIDENDOS[[#This Row],[Data Pagamento]]="","",DIVIDENDOS[[#This Row],[Data Pagamento]]),"")</f>
        <v/>
      </c>
      <c r="F1168" s="106" t="n"/>
    </row>
    <row r="1169">
      <c r="A1169" s="101">
        <f>YEAR(DIVIDENDOS[[#This Row],[Data Pagamento]])</f>
        <v/>
      </c>
      <c r="C1169" s="103">
        <f>IFERROR(IF(DIVIDENDOS[[#This Row],[Data Pagamento]]="","",EOMONTH(B1169,0)),"")</f>
        <v/>
      </c>
      <c r="D1169" s="104">
        <f>IFERROR(IF(DIVIDENDOS[[#This Row],[Data Pagamento]]="","",DIVIDENDOS[[#This Row],[Data Pagamento]]),"")</f>
        <v/>
      </c>
      <c r="F1169" s="106" t="n"/>
    </row>
    <row r="1170">
      <c r="A1170" s="101">
        <f>YEAR(DIVIDENDOS[[#This Row],[Data Pagamento]])</f>
        <v/>
      </c>
      <c r="C1170" s="103">
        <f>IFERROR(IF(DIVIDENDOS[[#This Row],[Data Pagamento]]="","",EOMONTH(B1170,0)),"")</f>
        <v/>
      </c>
      <c r="D1170" s="104">
        <f>IFERROR(IF(DIVIDENDOS[[#This Row],[Data Pagamento]]="","",DIVIDENDOS[[#This Row],[Data Pagamento]]),"")</f>
        <v/>
      </c>
      <c r="F1170" s="106" t="n"/>
    </row>
    <row r="1171">
      <c r="A1171" s="101">
        <f>YEAR(DIVIDENDOS[[#This Row],[Data Pagamento]])</f>
        <v/>
      </c>
      <c r="C1171" s="103">
        <f>IFERROR(IF(DIVIDENDOS[[#This Row],[Data Pagamento]]="","",EOMONTH(B1171,0)),"")</f>
        <v/>
      </c>
      <c r="D1171" s="104">
        <f>IFERROR(IF(DIVIDENDOS[[#This Row],[Data Pagamento]]="","",DIVIDENDOS[[#This Row],[Data Pagamento]]),"")</f>
        <v/>
      </c>
      <c r="F1171" s="106" t="n"/>
    </row>
    <row r="1172">
      <c r="A1172" s="101">
        <f>YEAR(DIVIDENDOS[[#This Row],[Data Pagamento]])</f>
        <v/>
      </c>
      <c r="C1172" s="103">
        <f>IFERROR(IF(DIVIDENDOS[[#This Row],[Data Pagamento]]="","",EOMONTH(B1172,0)),"")</f>
        <v/>
      </c>
      <c r="D1172" s="104">
        <f>IFERROR(IF(DIVIDENDOS[[#This Row],[Data Pagamento]]="","",DIVIDENDOS[[#This Row],[Data Pagamento]]),"")</f>
        <v/>
      </c>
      <c r="F1172" s="106" t="n"/>
    </row>
    <row r="1173">
      <c r="A1173" s="101">
        <f>YEAR(DIVIDENDOS[[#This Row],[Data Pagamento]])</f>
        <v/>
      </c>
      <c r="C1173" s="103">
        <f>IFERROR(IF(DIVIDENDOS[[#This Row],[Data Pagamento]]="","",EOMONTH(B1173,0)),"")</f>
        <v/>
      </c>
      <c r="D1173" s="104">
        <f>IFERROR(IF(DIVIDENDOS[[#This Row],[Data Pagamento]]="","",DIVIDENDOS[[#This Row],[Data Pagamento]]),"")</f>
        <v/>
      </c>
      <c r="F1173" s="106" t="n"/>
    </row>
    <row r="1174">
      <c r="A1174" s="101">
        <f>YEAR(DIVIDENDOS[[#This Row],[Data Pagamento]])</f>
        <v/>
      </c>
      <c r="C1174" s="103">
        <f>IFERROR(IF(DIVIDENDOS[[#This Row],[Data Pagamento]]="","",EOMONTH(B1174,0)),"")</f>
        <v/>
      </c>
      <c r="D1174" s="104">
        <f>IFERROR(IF(DIVIDENDOS[[#This Row],[Data Pagamento]]="","",DIVIDENDOS[[#This Row],[Data Pagamento]]),"")</f>
        <v/>
      </c>
      <c r="F1174" s="106" t="n"/>
    </row>
    <row r="1175">
      <c r="A1175" s="101">
        <f>YEAR(DIVIDENDOS[[#This Row],[Data Pagamento]])</f>
        <v/>
      </c>
      <c r="C1175" s="103">
        <f>IFERROR(IF(DIVIDENDOS[[#This Row],[Data Pagamento]]="","",EOMONTH(B1175,0)),"")</f>
        <v/>
      </c>
      <c r="D1175" s="104">
        <f>IFERROR(IF(DIVIDENDOS[[#This Row],[Data Pagamento]]="","",DIVIDENDOS[[#This Row],[Data Pagamento]]),"")</f>
        <v/>
      </c>
      <c r="F1175" s="106" t="n"/>
    </row>
    <row r="1176">
      <c r="A1176" s="101">
        <f>YEAR(DIVIDENDOS[[#This Row],[Data Pagamento]])</f>
        <v/>
      </c>
      <c r="C1176" s="103">
        <f>IFERROR(IF(DIVIDENDOS[[#This Row],[Data Pagamento]]="","",EOMONTH(B1176,0)),"")</f>
        <v/>
      </c>
      <c r="D1176" s="104">
        <f>IFERROR(IF(DIVIDENDOS[[#This Row],[Data Pagamento]]="","",DIVIDENDOS[[#This Row],[Data Pagamento]]),"")</f>
        <v/>
      </c>
      <c r="F1176" s="106" t="n"/>
    </row>
    <row r="1177">
      <c r="A1177" s="101">
        <f>YEAR(DIVIDENDOS[[#This Row],[Data Pagamento]])</f>
        <v/>
      </c>
      <c r="C1177" s="103">
        <f>IFERROR(IF(DIVIDENDOS[[#This Row],[Data Pagamento]]="","",EOMONTH(B1177,0)),"")</f>
        <v/>
      </c>
      <c r="D1177" s="104">
        <f>IFERROR(IF(DIVIDENDOS[[#This Row],[Data Pagamento]]="","",DIVIDENDOS[[#This Row],[Data Pagamento]]),"")</f>
        <v/>
      </c>
      <c r="F1177" s="106" t="n"/>
    </row>
    <row r="1178">
      <c r="A1178" s="101">
        <f>YEAR(DIVIDENDOS[[#This Row],[Data Pagamento]])</f>
        <v/>
      </c>
      <c r="C1178" s="103">
        <f>IFERROR(IF(DIVIDENDOS[[#This Row],[Data Pagamento]]="","",EOMONTH(B1178,0)),"")</f>
        <v/>
      </c>
      <c r="D1178" s="104">
        <f>IFERROR(IF(DIVIDENDOS[[#This Row],[Data Pagamento]]="","",DIVIDENDOS[[#This Row],[Data Pagamento]]),"")</f>
        <v/>
      </c>
      <c r="F1178" s="106" t="n"/>
    </row>
    <row r="1179">
      <c r="A1179" s="101">
        <f>YEAR(DIVIDENDOS[[#This Row],[Data Pagamento]])</f>
        <v/>
      </c>
      <c r="C1179" s="103">
        <f>IFERROR(IF(DIVIDENDOS[[#This Row],[Data Pagamento]]="","",EOMONTH(B1179,0)),"")</f>
        <v/>
      </c>
      <c r="D1179" s="104">
        <f>IFERROR(IF(DIVIDENDOS[[#This Row],[Data Pagamento]]="","",DIVIDENDOS[[#This Row],[Data Pagamento]]),"")</f>
        <v/>
      </c>
      <c r="F1179" s="106" t="n"/>
    </row>
    <row r="1180">
      <c r="A1180" s="101">
        <f>YEAR(DIVIDENDOS[[#This Row],[Data Pagamento]])</f>
        <v/>
      </c>
      <c r="C1180" s="103">
        <f>IFERROR(IF(DIVIDENDOS[[#This Row],[Data Pagamento]]="","",EOMONTH(B1180,0)),"")</f>
        <v/>
      </c>
      <c r="D1180" s="104">
        <f>IFERROR(IF(DIVIDENDOS[[#This Row],[Data Pagamento]]="","",DIVIDENDOS[[#This Row],[Data Pagamento]]),"")</f>
        <v/>
      </c>
      <c r="F1180" s="106" t="n"/>
    </row>
    <row r="1181">
      <c r="A1181" s="101">
        <f>YEAR(DIVIDENDOS[[#This Row],[Data Pagamento]])</f>
        <v/>
      </c>
      <c r="C1181" s="103">
        <f>IFERROR(IF(DIVIDENDOS[[#This Row],[Data Pagamento]]="","",EOMONTH(B1181,0)),"")</f>
        <v/>
      </c>
      <c r="D1181" s="104">
        <f>IFERROR(IF(DIVIDENDOS[[#This Row],[Data Pagamento]]="","",DIVIDENDOS[[#This Row],[Data Pagamento]]),"")</f>
        <v/>
      </c>
      <c r="F1181" s="106" t="n"/>
    </row>
    <row r="1182">
      <c r="A1182" s="101">
        <f>YEAR(DIVIDENDOS[[#This Row],[Data Pagamento]])</f>
        <v/>
      </c>
      <c r="C1182" s="103">
        <f>IFERROR(IF(DIVIDENDOS[[#This Row],[Data Pagamento]]="","",EOMONTH(B1182,0)),"")</f>
        <v/>
      </c>
      <c r="D1182" s="104">
        <f>IFERROR(IF(DIVIDENDOS[[#This Row],[Data Pagamento]]="","",DIVIDENDOS[[#This Row],[Data Pagamento]]),"")</f>
        <v/>
      </c>
      <c r="F1182" s="106" t="n"/>
    </row>
    <row r="1183">
      <c r="A1183" s="101">
        <f>YEAR(DIVIDENDOS[[#This Row],[Data Pagamento]])</f>
        <v/>
      </c>
      <c r="C1183" s="103">
        <f>IFERROR(IF(DIVIDENDOS[[#This Row],[Data Pagamento]]="","",EOMONTH(B1183,0)),"")</f>
        <v/>
      </c>
      <c r="D1183" s="104">
        <f>IFERROR(IF(DIVIDENDOS[[#This Row],[Data Pagamento]]="","",DIVIDENDOS[[#This Row],[Data Pagamento]]),"")</f>
        <v/>
      </c>
      <c r="F1183" s="106" t="n"/>
    </row>
    <row r="1184">
      <c r="A1184" s="101">
        <f>YEAR(DIVIDENDOS[[#This Row],[Data Pagamento]])</f>
        <v/>
      </c>
      <c r="C1184" s="103">
        <f>IFERROR(IF(DIVIDENDOS[[#This Row],[Data Pagamento]]="","",EOMONTH(B1184,0)),"")</f>
        <v/>
      </c>
      <c r="D1184" s="104">
        <f>IFERROR(IF(DIVIDENDOS[[#This Row],[Data Pagamento]]="","",DIVIDENDOS[[#This Row],[Data Pagamento]]),"")</f>
        <v/>
      </c>
      <c r="F1184" s="106" t="n"/>
    </row>
    <row r="1185">
      <c r="A1185" s="101">
        <f>YEAR(DIVIDENDOS[[#This Row],[Data Pagamento]])</f>
        <v/>
      </c>
      <c r="C1185" s="103">
        <f>IFERROR(IF(DIVIDENDOS[[#This Row],[Data Pagamento]]="","",EOMONTH(B1185,0)),"")</f>
        <v/>
      </c>
      <c r="D1185" s="104">
        <f>IFERROR(IF(DIVIDENDOS[[#This Row],[Data Pagamento]]="","",DIVIDENDOS[[#This Row],[Data Pagamento]]),"")</f>
        <v/>
      </c>
      <c r="F1185" s="106" t="n"/>
    </row>
    <row r="1186">
      <c r="A1186" s="101">
        <f>YEAR(DIVIDENDOS[[#This Row],[Data Pagamento]])</f>
        <v/>
      </c>
      <c r="C1186" s="103">
        <f>IFERROR(IF(DIVIDENDOS[[#This Row],[Data Pagamento]]="","",EOMONTH(B1186,0)),"")</f>
        <v/>
      </c>
      <c r="D1186" s="104">
        <f>IFERROR(IF(DIVIDENDOS[[#This Row],[Data Pagamento]]="","",DIVIDENDOS[[#This Row],[Data Pagamento]]),"")</f>
        <v/>
      </c>
      <c r="F1186" s="106" t="n"/>
    </row>
    <row r="1187">
      <c r="A1187" s="101">
        <f>YEAR(DIVIDENDOS[[#This Row],[Data Pagamento]])</f>
        <v/>
      </c>
      <c r="C1187" s="103">
        <f>IFERROR(IF(DIVIDENDOS[[#This Row],[Data Pagamento]]="","",EOMONTH(B1187,0)),"")</f>
        <v/>
      </c>
      <c r="D1187" s="104">
        <f>IFERROR(IF(DIVIDENDOS[[#This Row],[Data Pagamento]]="","",DIVIDENDOS[[#This Row],[Data Pagamento]]),"")</f>
        <v/>
      </c>
      <c r="F1187" s="106" t="n"/>
    </row>
    <row r="1188">
      <c r="A1188" s="101">
        <f>YEAR(DIVIDENDOS[[#This Row],[Data Pagamento]])</f>
        <v/>
      </c>
      <c r="C1188" s="103">
        <f>IFERROR(IF(DIVIDENDOS[[#This Row],[Data Pagamento]]="","",EOMONTH(B1188,0)),"")</f>
        <v/>
      </c>
      <c r="D1188" s="104">
        <f>IFERROR(IF(DIVIDENDOS[[#This Row],[Data Pagamento]]="","",DIVIDENDOS[[#This Row],[Data Pagamento]]),"")</f>
        <v/>
      </c>
      <c r="F1188" s="106" t="n"/>
    </row>
    <row r="1189">
      <c r="A1189" s="101">
        <f>YEAR(DIVIDENDOS[[#This Row],[Data Pagamento]])</f>
        <v/>
      </c>
      <c r="C1189" s="103">
        <f>IFERROR(IF(DIVIDENDOS[[#This Row],[Data Pagamento]]="","",EOMONTH(B1189,0)),"")</f>
        <v/>
      </c>
      <c r="D1189" s="104">
        <f>IFERROR(IF(DIVIDENDOS[[#This Row],[Data Pagamento]]="","",DIVIDENDOS[[#This Row],[Data Pagamento]]),"")</f>
        <v/>
      </c>
      <c r="F1189" s="106" t="n"/>
    </row>
    <row r="1190">
      <c r="A1190" s="101">
        <f>YEAR(DIVIDENDOS[[#This Row],[Data Pagamento]])</f>
        <v/>
      </c>
      <c r="C1190" s="103">
        <f>IFERROR(IF(DIVIDENDOS[[#This Row],[Data Pagamento]]="","",EOMONTH(B1190,0)),"")</f>
        <v/>
      </c>
      <c r="D1190" s="104">
        <f>IFERROR(IF(DIVIDENDOS[[#This Row],[Data Pagamento]]="","",DIVIDENDOS[[#This Row],[Data Pagamento]]),"")</f>
        <v/>
      </c>
      <c r="F1190" s="106" t="n"/>
    </row>
    <row r="1191">
      <c r="A1191" s="101">
        <f>YEAR(DIVIDENDOS[[#This Row],[Data Pagamento]])</f>
        <v/>
      </c>
      <c r="C1191" s="103">
        <f>IFERROR(IF(DIVIDENDOS[[#This Row],[Data Pagamento]]="","",EOMONTH(B1191,0)),"")</f>
        <v/>
      </c>
      <c r="D1191" s="104">
        <f>IFERROR(IF(DIVIDENDOS[[#This Row],[Data Pagamento]]="","",DIVIDENDOS[[#This Row],[Data Pagamento]]),"")</f>
        <v/>
      </c>
      <c r="F1191" s="106" t="n"/>
    </row>
    <row r="1192">
      <c r="A1192" s="101">
        <f>YEAR(DIVIDENDOS[[#This Row],[Data Pagamento]])</f>
        <v/>
      </c>
      <c r="C1192" s="103">
        <f>IFERROR(IF(DIVIDENDOS[[#This Row],[Data Pagamento]]="","",EOMONTH(B1192,0)),"")</f>
        <v/>
      </c>
      <c r="D1192" s="104">
        <f>IFERROR(IF(DIVIDENDOS[[#This Row],[Data Pagamento]]="","",DIVIDENDOS[[#This Row],[Data Pagamento]]),"")</f>
        <v/>
      </c>
      <c r="F1192" s="106" t="n"/>
    </row>
    <row r="1193">
      <c r="A1193" s="101">
        <f>YEAR(DIVIDENDOS[[#This Row],[Data Pagamento]])</f>
        <v/>
      </c>
      <c r="C1193" s="103">
        <f>IFERROR(IF(DIVIDENDOS[[#This Row],[Data Pagamento]]="","",EOMONTH(B1193,0)),"")</f>
        <v/>
      </c>
      <c r="D1193" s="104">
        <f>IFERROR(IF(DIVIDENDOS[[#This Row],[Data Pagamento]]="","",DIVIDENDOS[[#This Row],[Data Pagamento]]),"")</f>
        <v/>
      </c>
      <c r="F1193" s="106" t="n"/>
    </row>
    <row r="1194">
      <c r="A1194" s="101">
        <f>YEAR(DIVIDENDOS[[#This Row],[Data Pagamento]])</f>
        <v/>
      </c>
      <c r="C1194" s="103">
        <f>IFERROR(IF(DIVIDENDOS[[#This Row],[Data Pagamento]]="","",EOMONTH(B1194,0)),"")</f>
        <v/>
      </c>
      <c r="D1194" s="104">
        <f>IFERROR(IF(DIVIDENDOS[[#This Row],[Data Pagamento]]="","",DIVIDENDOS[[#This Row],[Data Pagamento]]),"")</f>
        <v/>
      </c>
      <c r="F1194" s="106" t="n"/>
    </row>
    <row r="1195">
      <c r="A1195" s="101">
        <f>YEAR(DIVIDENDOS[[#This Row],[Data Pagamento]])</f>
        <v/>
      </c>
      <c r="C1195" s="103">
        <f>IFERROR(IF(DIVIDENDOS[[#This Row],[Data Pagamento]]="","",EOMONTH(B1195,0)),"")</f>
        <v/>
      </c>
      <c r="D1195" s="104">
        <f>IFERROR(IF(DIVIDENDOS[[#This Row],[Data Pagamento]]="","",DIVIDENDOS[[#This Row],[Data Pagamento]]),"")</f>
        <v/>
      </c>
      <c r="F1195" s="106" t="n"/>
    </row>
    <row r="1196">
      <c r="A1196" s="101">
        <f>YEAR(DIVIDENDOS[[#This Row],[Data Pagamento]])</f>
        <v/>
      </c>
      <c r="C1196" s="103">
        <f>IFERROR(IF(DIVIDENDOS[[#This Row],[Data Pagamento]]="","",EOMONTH(B1196,0)),"")</f>
        <v/>
      </c>
      <c r="D1196" s="104">
        <f>IFERROR(IF(DIVIDENDOS[[#This Row],[Data Pagamento]]="","",DIVIDENDOS[[#This Row],[Data Pagamento]]),"")</f>
        <v/>
      </c>
      <c r="F1196" s="106" t="n"/>
    </row>
    <row r="1197">
      <c r="A1197" s="101">
        <f>YEAR(DIVIDENDOS[[#This Row],[Data Pagamento]])</f>
        <v/>
      </c>
      <c r="C1197" s="103">
        <f>IFERROR(IF(DIVIDENDOS[[#This Row],[Data Pagamento]]="","",EOMONTH(B1197,0)),"")</f>
        <v/>
      </c>
      <c r="D1197" s="104">
        <f>IFERROR(IF(DIVIDENDOS[[#This Row],[Data Pagamento]]="","",DIVIDENDOS[[#This Row],[Data Pagamento]]),"")</f>
        <v/>
      </c>
      <c r="F1197" s="106" t="n"/>
    </row>
    <row r="1198">
      <c r="A1198" s="101">
        <f>YEAR(DIVIDENDOS[[#This Row],[Data Pagamento]])</f>
        <v/>
      </c>
      <c r="C1198" s="103">
        <f>IFERROR(IF(DIVIDENDOS[[#This Row],[Data Pagamento]]="","",EOMONTH(B1198,0)),"")</f>
        <v/>
      </c>
      <c r="D1198" s="104">
        <f>IFERROR(IF(DIVIDENDOS[[#This Row],[Data Pagamento]]="","",DIVIDENDOS[[#This Row],[Data Pagamento]]),"")</f>
        <v/>
      </c>
      <c r="F1198" s="106" t="n"/>
    </row>
    <row r="1199">
      <c r="A1199" s="101">
        <f>YEAR(DIVIDENDOS[[#This Row],[Data Pagamento]])</f>
        <v/>
      </c>
      <c r="C1199" s="103">
        <f>IFERROR(IF(DIVIDENDOS[[#This Row],[Data Pagamento]]="","",EOMONTH(B1199,0)),"")</f>
        <v/>
      </c>
      <c r="D1199" s="104">
        <f>IFERROR(IF(DIVIDENDOS[[#This Row],[Data Pagamento]]="","",DIVIDENDOS[[#This Row],[Data Pagamento]]),"")</f>
        <v/>
      </c>
      <c r="F1199" s="106" t="n"/>
    </row>
    <row r="1200">
      <c r="A1200" s="101">
        <f>YEAR(DIVIDENDOS[[#This Row],[Data Pagamento]])</f>
        <v/>
      </c>
      <c r="C1200" s="103">
        <f>IFERROR(IF(DIVIDENDOS[[#This Row],[Data Pagamento]]="","",EOMONTH(B1200,0)),"")</f>
        <v/>
      </c>
      <c r="D1200" s="104">
        <f>IFERROR(IF(DIVIDENDOS[[#This Row],[Data Pagamento]]="","",DIVIDENDOS[[#This Row],[Data Pagamento]]),"")</f>
        <v/>
      </c>
      <c r="F1200" s="106" t="n"/>
    </row>
    <row r="1201">
      <c r="A1201" s="101">
        <f>YEAR(DIVIDENDOS[[#This Row],[Data Pagamento]])</f>
        <v/>
      </c>
      <c r="C1201" s="103">
        <f>IFERROR(IF(DIVIDENDOS[[#This Row],[Data Pagamento]]="","",EOMONTH(B1201,0)),"")</f>
        <v/>
      </c>
      <c r="D1201" s="104">
        <f>IFERROR(IF(DIVIDENDOS[[#This Row],[Data Pagamento]]="","",DIVIDENDOS[[#This Row],[Data Pagamento]]),"")</f>
        <v/>
      </c>
      <c r="F1201" s="106" t="n"/>
    </row>
    <row r="1202">
      <c r="A1202" s="101">
        <f>YEAR(DIVIDENDOS[[#This Row],[Data Pagamento]])</f>
        <v/>
      </c>
      <c r="C1202" s="103">
        <f>IFERROR(IF(DIVIDENDOS[[#This Row],[Data Pagamento]]="","",EOMONTH(B1202,0)),"")</f>
        <v/>
      </c>
      <c r="D1202" s="104">
        <f>IFERROR(IF(DIVIDENDOS[[#This Row],[Data Pagamento]]="","",DIVIDENDOS[[#This Row],[Data Pagamento]]),"")</f>
        <v/>
      </c>
      <c r="F1202" s="106" t="n"/>
    </row>
    <row r="1203">
      <c r="A1203" s="101">
        <f>YEAR(DIVIDENDOS[[#This Row],[Data Pagamento]])</f>
        <v/>
      </c>
      <c r="C1203" s="103">
        <f>IFERROR(IF(DIVIDENDOS[[#This Row],[Data Pagamento]]="","",EOMONTH(B1203,0)),"")</f>
        <v/>
      </c>
      <c r="D1203" s="104">
        <f>IFERROR(IF(DIVIDENDOS[[#This Row],[Data Pagamento]]="","",DIVIDENDOS[[#This Row],[Data Pagamento]]),"")</f>
        <v/>
      </c>
      <c r="F1203" s="106" t="n"/>
    </row>
    <row r="1204">
      <c r="A1204" s="101">
        <f>YEAR(DIVIDENDOS[[#This Row],[Data Pagamento]])</f>
        <v/>
      </c>
      <c r="C1204" s="103">
        <f>IFERROR(IF(DIVIDENDOS[[#This Row],[Data Pagamento]]="","",EOMONTH(B1204,0)),"")</f>
        <v/>
      </c>
      <c r="D1204" s="104">
        <f>IFERROR(IF(DIVIDENDOS[[#This Row],[Data Pagamento]]="","",DIVIDENDOS[[#This Row],[Data Pagamento]]),"")</f>
        <v/>
      </c>
      <c r="F1204" s="106" t="n"/>
    </row>
    <row r="1205">
      <c r="A1205" s="101">
        <f>YEAR(DIVIDENDOS[[#This Row],[Data Pagamento]])</f>
        <v/>
      </c>
      <c r="C1205" s="103">
        <f>IFERROR(IF(DIVIDENDOS[[#This Row],[Data Pagamento]]="","",EOMONTH(B1205,0)),"")</f>
        <v/>
      </c>
      <c r="D1205" s="104">
        <f>IFERROR(IF(DIVIDENDOS[[#This Row],[Data Pagamento]]="","",DIVIDENDOS[[#This Row],[Data Pagamento]]),"")</f>
        <v/>
      </c>
      <c r="F1205" s="106" t="n"/>
    </row>
    <row r="1206">
      <c r="A1206" s="101">
        <f>YEAR(DIVIDENDOS[[#This Row],[Data Pagamento]])</f>
        <v/>
      </c>
      <c r="C1206" s="103">
        <f>IFERROR(IF(DIVIDENDOS[[#This Row],[Data Pagamento]]="","",EOMONTH(B1206,0)),"")</f>
        <v/>
      </c>
      <c r="D1206" s="104">
        <f>IFERROR(IF(DIVIDENDOS[[#This Row],[Data Pagamento]]="","",DIVIDENDOS[[#This Row],[Data Pagamento]]),"")</f>
        <v/>
      </c>
      <c r="F1206" s="106" t="n"/>
    </row>
    <row r="1207">
      <c r="A1207" s="101">
        <f>YEAR(DIVIDENDOS[[#This Row],[Data Pagamento]])</f>
        <v/>
      </c>
      <c r="C1207" s="103">
        <f>IFERROR(IF(DIVIDENDOS[[#This Row],[Data Pagamento]]="","",EOMONTH(B1207,0)),"")</f>
        <v/>
      </c>
      <c r="D1207" s="104">
        <f>IFERROR(IF(DIVIDENDOS[[#This Row],[Data Pagamento]]="","",DIVIDENDOS[[#This Row],[Data Pagamento]]),"")</f>
        <v/>
      </c>
      <c r="F1207" s="106" t="n"/>
    </row>
    <row r="1208">
      <c r="A1208" s="101">
        <f>YEAR(DIVIDENDOS[[#This Row],[Data Pagamento]])</f>
        <v/>
      </c>
      <c r="C1208" s="103">
        <f>IFERROR(IF(DIVIDENDOS[[#This Row],[Data Pagamento]]="","",EOMONTH(B1208,0)),"")</f>
        <v/>
      </c>
      <c r="D1208" s="104">
        <f>IFERROR(IF(DIVIDENDOS[[#This Row],[Data Pagamento]]="","",DIVIDENDOS[[#This Row],[Data Pagamento]]),"")</f>
        <v/>
      </c>
      <c r="F1208" s="106" t="n"/>
    </row>
    <row r="1209">
      <c r="A1209" s="101">
        <f>YEAR(DIVIDENDOS[[#This Row],[Data Pagamento]])</f>
        <v/>
      </c>
      <c r="C1209" s="103">
        <f>IFERROR(IF(DIVIDENDOS[[#This Row],[Data Pagamento]]="","",EOMONTH(B1209,0)),"")</f>
        <v/>
      </c>
      <c r="D1209" s="104">
        <f>IFERROR(IF(DIVIDENDOS[[#This Row],[Data Pagamento]]="","",DIVIDENDOS[[#This Row],[Data Pagamento]]),"")</f>
        <v/>
      </c>
      <c r="F1209" s="106" t="n"/>
    </row>
    <row r="1210">
      <c r="A1210" s="101">
        <f>YEAR(DIVIDENDOS[[#This Row],[Data Pagamento]])</f>
        <v/>
      </c>
      <c r="C1210" s="103">
        <f>IFERROR(IF(DIVIDENDOS[[#This Row],[Data Pagamento]]="","",EOMONTH(B1210,0)),"")</f>
        <v/>
      </c>
      <c r="D1210" s="104">
        <f>IFERROR(IF(DIVIDENDOS[[#This Row],[Data Pagamento]]="","",DIVIDENDOS[[#This Row],[Data Pagamento]]),"")</f>
        <v/>
      </c>
      <c r="F1210" s="106" t="n"/>
    </row>
    <row r="1211">
      <c r="A1211" s="101">
        <f>YEAR(DIVIDENDOS[[#This Row],[Data Pagamento]])</f>
        <v/>
      </c>
      <c r="C1211" s="103">
        <f>IFERROR(IF(DIVIDENDOS[[#This Row],[Data Pagamento]]="","",EOMONTH(B1211,0)),"")</f>
        <v/>
      </c>
      <c r="D1211" s="104">
        <f>IFERROR(IF(DIVIDENDOS[[#This Row],[Data Pagamento]]="","",DIVIDENDOS[[#This Row],[Data Pagamento]]),"")</f>
        <v/>
      </c>
      <c r="F1211" s="106" t="n"/>
    </row>
    <row r="1212">
      <c r="A1212" s="101">
        <f>YEAR(DIVIDENDOS[[#This Row],[Data Pagamento]])</f>
        <v/>
      </c>
      <c r="C1212" s="103">
        <f>IFERROR(IF(DIVIDENDOS[[#This Row],[Data Pagamento]]="","",EOMONTH(B1212,0)),"")</f>
        <v/>
      </c>
      <c r="D1212" s="104">
        <f>IFERROR(IF(DIVIDENDOS[[#This Row],[Data Pagamento]]="","",DIVIDENDOS[[#This Row],[Data Pagamento]]),"")</f>
        <v/>
      </c>
      <c r="F1212" s="106" t="n"/>
    </row>
    <row r="1213">
      <c r="A1213" s="101">
        <f>YEAR(DIVIDENDOS[[#This Row],[Data Pagamento]])</f>
        <v/>
      </c>
      <c r="C1213" s="103">
        <f>IFERROR(IF(DIVIDENDOS[[#This Row],[Data Pagamento]]="","",EOMONTH(B1213,0)),"")</f>
        <v/>
      </c>
      <c r="D1213" s="104">
        <f>IFERROR(IF(DIVIDENDOS[[#This Row],[Data Pagamento]]="","",DIVIDENDOS[[#This Row],[Data Pagamento]]),"")</f>
        <v/>
      </c>
      <c r="F1213" s="106" t="n"/>
    </row>
    <row r="1214">
      <c r="A1214" s="101">
        <f>YEAR(DIVIDENDOS[[#This Row],[Data Pagamento]])</f>
        <v/>
      </c>
      <c r="C1214" s="103">
        <f>IFERROR(IF(DIVIDENDOS[[#This Row],[Data Pagamento]]="","",EOMONTH(B1214,0)),"")</f>
        <v/>
      </c>
      <c r="D1214" s="104">
        <f>IFERROR(IF(DIVIDENDOS[[#This Row],[Data Pagamento]]="","",DIVIDENDOS[[#This Row],[Data Pagamento]]),"")</f>
        <v/>
      </c>
      <c r="F1214" s="106" t="n"/>
    </row>
    <row r="1215">
      <c r="A1215" s="101">
        <f>YEAR(DIVIDENDOS[[#This Row],[Data Pagamento]])</f>
        <v/>
      </c>
      <c r="C1215" s="103">
        <f>IFERROR(IF(DIVIDENDOS[[#This Row],[Data Pagamento]]="","",EOMONTH(B1215,0)),"")</f>
        <v/>
      </c>
      <c r="D1215" s="104">
        <f>IFERROR(IF(DIVIDENDOS[[#This Row],[Data Pagamento]]="","",DIVIDENDOS[[#This Row],[Data Pagamento]]),"")</f>
        <v/>
      </c>
      <c r="F1215" s="106" t="n"/>
    </row>
    <row r="1216">
      <c r="A1216" s="101">
        <f>YEAR(DIVIDENDOS[[#This Row],[Data Pagamento]])</f>
        <v/>
      </c>
      <c r="C1216" s="103">
        <f>IFERROR(IF(DIVIDENDOS[[#This Row],[Data Pagamento]]="","",EOMONTH(B1216,0)),"")</f>
        <v/>
      </c>
      <c r="D1216" s="104">
        <f>IFERROR(IF(DIVIDENDOS[[#This Row],[Data Pagamento]]="","",DIVIDENDOS[[#This Row],[Data Pagamento]]),"")</f>
        <v/>
      </c>
      <c r="F1216" s="106" t="n"/>
    </row>
    <row r="1217">
      <c r="A1217" s="101">
        <f>YEAR(DIVIDENDOS[[#This Row],[Data Pagamento]])</f>
        <v/>
      </c>
      <c r="C1217" s="103">
        <f>IFERROR(IF(DIVIDENDOS[[#This Row],[Data Pagamento]]="","",EOMONTH(B1217,0)),"")</f>
        <v/>
      </c>
      <c r="D1217" s="104">
        <f>IFERROR(IF(DIVIDENDOS[[#This Row],[Data Pagamento]]="","",DIVIDENDOS[[#This Row],[Data Pagamento]]),"")</f>
        <v/>
      </c>
      <c r="F1217" s="106" t="n"/>
    </row>
    <row r="1218">
      <c r="A1218" s="101">
        <f>YEAR(DIVIDENDOS[[#This Row],[Data Pagamento]])</f>
        <v/>
      </c>
      <c r="C1218" s="103">
        <f>IFERROR(IF(DIVIDENDOS[[#This Row],[Data Pagamento]]="","",EOMONTH(B1218,0)),"")</f>
        <v/>
      </c>
      <c r="D1218" s="104">
        <f>IFERROR(IF(DIVIDENDOS[[#This Row],[Data Pagamento]]="","",DIVIDENDOS[[#This Row],[Data Pagamento]]),"")</f>
        <v/>
      </c>
      <c r="F1218" s="106" t="n"/>
    </row>
    <row r="1219">
      <c r="A1219" s="101">
        <f>YEAR(DIVIDENDOS[[#This Row],[Data Pagamento]])</f>
        <v/>
      </c>
      <c r="C1219" s="103">
        <f>IFERROR(IF(DIVIDENDOS[[#This Row],[Data Pagamento]]="","",EOMONTH(B1219,0)),"")</f>
        <v/>
      </c>
      <c r="D1219" s="104">
        <f>IFERROR(IF(DIVIDENDOS[[#This Row],[Data Pagamento]]="","",DIVIDENDOS[[#This Row],[Data Pagamento]]),"")</f>
        <v/>
      </c>
      <c r="F1219" s="106" t="n"/>
    </row>
    <row r="1220">
      <c r="A1220" s="101">
        <f>YEAR(DIVIDENDOS[[#This Row],[Data Pagamento]])</f>
        <v/>
      </c>
      <c r="C1220" s="103">
        <f>IFERROR(IF(DIVIDENDOS[[#This Row],[Data Pagamento]]="","",EOMONTH(B1220,0)),"")</f>
        <v/>
      </c>
      <c r="D1220" s="104">
        <f>IFERROR(IF(DIVIDENDOS[[#This Row],[Data Pagamento]]="","",DIVIDENDOS[[#This Row],[Data Pagamento]]),"")</f>
        <v/>
      </c>
      <c r="F1220" s="106" t="n"/>
    </row>
    <row r="1221">
      <c r="A1221" s="101">
        <f>YEAR(DIVIDENDOS[[#This Row],[Data Pagamento]])</f>
        <v/>
      </c>
      <c r="C1221" s="103">
        <f>IFERROR(IF(DIVIDENDOS[[#This Row],[Data Pagamento]]="","",EOMONTH(B1221,0)),"")</f>
        <v/>
      </c>
      <c r="D1221" s="104">
        <f>IFERROR(IF(DIVIDENDOS[[#This Row],[Data Pagamento]]="","",DIVIDENDOS[[#This Row],[Data Pagamento]]),"")</f>
        <v/>
      </c>
      <c r="F1221" s="106" t="n"/>
    </row>
    <row r="1222">
      <c r="A1222" s="101">
        <f>YEAR(DIVIDENDOS[[#This Row],[Data Pagamento]])</f>
        <v/>
      </c>
      <c r="C1222" s="103">
        <f>IFERROR(IF(DIVIDENDOS[[#This Row],[Data Pagamento]]="","",EOMONTH(B1222,0)),"")</f>
        <v/>
      </c>
      <c r="D1222" s="104">
        <f>IFERROR(IF(DIVIDENDOS[[#This Row],[Data Pagamento]]="","",DIVIDENDOS[[#This Row],[Data Pagamento]]),"")</f>
        <v/>
      </c>
      <c r="F1222" s="106" t="n"/>
    </row>
    <row r="1223">
      <c r="A1223" s="101">
        <f>YEAR(DIVIDENDOS[[#This Row],[Data Pagamento]])</f>
        <v/>
      </c>
      <c r="C1223" s="103">
        <f>IFERROR(IF(DIVIDENDOS[[#This Row],[Data Pagamento]]="","",EOMONTH(B1223,0)),"")</f>
        <v/>
      </c>
      <c r="D1223" s="104">
        <f>IFERROR(IF(DIVIDENDOS[[#This Row],[Data Pagamento]]="","",DIVIDENDOS[[#This Row],[Data Pagamento]]),"")</f>
        <v/>
      </c>
      <c r="F1223" s="106" t="n"/>
    </row>
    <row r="1224">
      <c r="A1224" s="101">
        <f>YEAR(DIVIDENDOS[[#This Row],[Data Pagamento]])</f>
        <v/>
      </c>
      <c r="C1224" s="103">
        <f>IFERROR(IF(DIVIDENDOS[[#This Row],[Data Pagamento]]="","",EOMONTH(B1224,0)),"")</f>
        <v/>
      </c>
      <c r="D1224" s="104">
        <f>IFERROR(IF(DIVIDENDOS[[#This Row],[Data Pagamento]]="","",DIVIDENDOS[[#This Row],[Data Pagamento]]),"")</f>
        <v/>
      </c>
      <c r="F1224" s="106" t="n"/>
    </row>
    <row r="1225">
      <c r="A1225" s="101">
        <f>YEAR(DIVIDENDOS[[#This Row],[Data Pagamento]])</f>
        <v/>
      </c>
      <c r="C1225" s="103">
        <f>IFERROR(IF(DIVIDENDOS[[#This Row],[Data Pagamento]]="","",EOMONTH(B1225,0)),"")</f>
        <v/>
      </c>
      <c r="D1225" s="104">
        <f>IFERROR(IF(DIVIDENDOS[[#This Row],[Data Pagamento]]="","",DIVIDENDOS[[#This Row],[Data Pagamento]]),"")</f>
        <v/>
      </c>
      <c r="F1225" s="106" t="n"/>
    </row>
    <row r="1226">
      <c r="A1226" s="101">
        <f>YEAR(DIVIDENDOS[[#This Row],[Data Pagamento]])</f>
        <v/>
      </c>
      <c r="C1226" s="103">
        <f>IFERROR(IF(DIVIDENDOS[[#This Row],[Data Pagamento]]="","",EOMONTH(B1226,0)),"")</f>
        <v/>
      </c>
      <c r="D1226" s="104">
        <f>IFERROR(IF(DIVIDENDOS[[#This Row],[Data Pagamento]]="","",DIVIDENDOS[[#This Row],[Data Pagamento]]),"")</f>
        <v/>
      </c>
      <c r="F1226" s="106" t="n"/>
    </row>
    <row r="1227">
      <c r="A1227" s="101">
        <f>YEAR(DIVIDENDOS[[#This Row],[Data Pagamento]])</f>
        <v/>
      </c>
      <c r="C1227" s="103">
        <f>IFERROR(IF(DIVIDENDOS[[#This Row],[Data Pagamento]]="","",EOMONTH(B1227,0)),"")</f>
        <v/>
      </c>
      <c r="D1227" s="104">
        <f>IFERROR(IF(DIVIDENDOS[[#This Row],[Data Pagamento]]="","",DIVIDENDOS[[#This Row],[Data Pagamento]]),"")</f>
        <v/>
      </c>
      <c r="F1227" s="106" t="n"/>
    </row>
    <row r="1228">
      <c r="A1228" s="101">
        <f>YEAR(DIVIDENDOS[[#This Row],[Data Pagamento]])</f>
        <v/>
      </c>
      <c r="C1228" s="103">
        <f>IFERROR(IF(DIVIDENDOS[[#This Row],[Data Pagamento]]="","",EOMONTH(B1228,0)),"")</f>
        <v/>
      </c>
      <c r="D1228" s="104">
        <f>IFERROR(IF(DIVIDENDOS[[#This Row],[Data Pagamento]]="","",DIVIDENDOS[[#This Row],[Data Pagamento]]),"")</f>
        <v/>
      </c>
      <c r="F1228" s="106" t="n"/>
    </row>
    <row r="1229">
      <c r="A1229" s="101">
        <f>YEAR(DIVIDENDOS[[#This Row],[Data Pagamento]])</f>
        <v/>
      </c>
      <c r="C1229" s="103">
        <f>IFERROR(IF(DIVIDENDOS[[#This Row],[Data Pagamento]]="","",EOMONTH(B1229,0)),"")</f>
        <v/>
      </c>
      <c r="D1229" s="104">
        <f>IFERROR(IF(DIVIDENDOS[[#This Row],[Data Pagamento]]="","",DIVIDENDOS[[#This Row],[Data Pagamento]]),"")</f>
        <v/>
      </c>
      <c r="F1229" s="106" t="n"/>
    </row>
    <row r="1230">
      <c r="A1230" s="101">
        <f>YEAR(DIVIDENDOS[[#This Row],[Data Pagamento]])</f>
        <v/>
      </c>
      <c r="C1230" s="103">
        <f>IFERROR(IF(DIVIDENDOS[[#This Row],[Data Pagamento]]="","",EOMONTH(B1230,0)),"")</f>
        <v/>
      </c>
      <c r="D1230" s="104">
        <f>IFERROR(IF(DIVIDENDOS[[#This Row],[Data Pagamento]]="","",DIVIDENDOS[[#This Row],[Data Pagamento]]),"")</f>
        <v/>
      </c>
      <c r="F1230" s="106" t="n"/>
    </row>
    <row r="1231">
      <c r="A1231" s="101">
        <f>YEAR(DIVIDENDOS[[#This Row],[Data Pagamento]])</f>
        <v/>
      </c>
      <c r="C1231" s="103">
        <f>IFERROR(IF(DIVIDENDOS[[#This Row],[Data Pagamento]]="","",EOMONTH(B1231,0)),"")</f>
        <v/>
      </c>
      <c r="D1231" s="104">
        <f>IFERROR(IF(DIVIDENDOS[[#This Row],[Data Pagamento]]="","",DIVIDENDOS[[#This Row],[Data Pagamento]]),"")</f>
        <v/>
      </c>
      <c r="F1231" s="106" t="n"/>
    </row>
    <row r="1232">
      <c r="A1232" s="101">
        <f>YEAR(DIVIDENDOS[[#This Row],[Data Pagamento]])</f>
        <v/>
      </c>
      <c r="C1232" s="103">
        <f>IFERROR(IF(DIVIDENDOS[[#This Row],[Data Pagamento]]="","",EOMONTH(B1232,0)),"")</f>
        <v/>
      </c>
      <c r="D1232" s="104">
        <f>IFERROR(IF(DIVIDENDOS[[#This Row],[Data Pagamento]]="","",DIVIDENDOS[[#This Row],[Data Pagamento]]),"")</f>
        <v/>
      </c>
      <c r="F1232" s="106" t="n"/>
    </row>
    <row r="1233">
      <c r="A1233" s="101">
        <f>YEAR(DIVIDENDOS[[#This Row],[Data Pagamento]])</f>
        <v/>
      </c>
      <c r="C1233" s="103">
        <f>IFERROR(IF(DIVIDENDOS[[#This Row],[Data Pagamento]]="","",EOMONTH(B1233,0)),"")</f>
        <v/>
      </c>
      <c r="D1233" s="104">
        <f>IFERROR(IF(DIVIDENDOS[[#This Row],[Data Pagamento]]="","",DIVIDENDOS[[#This Row],[Data Pagamento]]),"")</f>
        <v/>
      </c>
      <c r="F1233" s="106" t="n"/>
    </row>
    <row r="1234">
      <c r="A1234" s="101">
        <f>YEAR(DIVIDENDOS[[#This Row],[Data Pagamento]])</f>
        <v/>
      </c>
      <c r="C1234" s="103">
        <f>IFERROR(IF(DIVIDENDOS[[#This Row],[Data Pagamento]]="","",EOMONTH(B1234,0)),"")</f>
        <v/>
      </c>
      <c r="D1234" s="104">
        <f>IFERROR(IF(DIVIDENDOS[[#This Row],[Data Pagamento]]="","",DIVIDENDOS[[#This Row],[Data Pagamento]]),"")</f>
        <v/>
      </c>
      <c r="F1234" s="106" t="n"/>
    </row>
    <row r="1235">
      <c r="A1235" s="101">
        <f>YEAR(DIVIDENDOS[[#This Row],[Data Pagamento]])</f>
        <v/>
      </c>
      <c r="C1235" s="103">
        <f>IFERROR(IF(DIVIDENDOS[[#This Row],[Data Pagamento]]="","",EOMONTH(B1235,0)),"")</f>
        <v/>
      </c>
      <c r="D1235" s="104">
        <f>IFERROR(IF(DIVIDENDOS[[#This Row],[Data Pagamento]]="","",DIVIDENDOS[[#This Row],[Data Pagamento]]),"")</f>
        <v/>
      </c>
      <c r="F1235" s="106" t="n"/>
    </row>
    <row r="1236">
      <c r="A1236" s="101">
        <f>YEAR(DIVIDENDOS[[#This Row],[Data Pagamento]])</f>
        <v/>
      </c>
      <c r="C1236" s="103">
        <f>IFERROR(IF(DIVIDENDOS[[#This Row],[Data Pagamento]]="","",EOMONTH(B1236,0)),"")</f>
        <v/>
      </c>
      <c r="D1236" s="104">
        <f>IFERROR(IF(DIVIDENDOS[[#This Row],[Data Pagamento]]="","",DIVIDENDOS[[#This Row],[Data Pagamento]]),"")</f>
        <v/>
      </c>
      <c r="F1236" s="106" t="n"/>
    </row>
    <row r="1237">
      <c r="A1237" s="101">
        <f>YEAR(DIVIDENDOS[[#This Row],[Data Pagamento]])</f>
        <v/>
      </c>
      <c r="C1237" s="103">
        <f>IFERROR(IF(DIVIDENDOS[[#This Row],[Data Pagamento]]="","",EOMONTH(B1237,0)),"")</f>
        <v/>
      </c>
      <c r="D1237" s="104">
        <f>IFERROR(IF(DIVIDENDOS[[#This Row],[Data Pagamento]]="","",DIVIDENDOS[[#This Row],[Data Pagamento]]),"")</f>
        <v/>
      </c>
      <c r="F1237" s="106" t="n"/>
    </row>
    <row r="1238">
      <c r="A1238" s="101">
        <f>YEAR(DIVIDENDOS[[#This Row],[Data Pagamento]])</f>
        <v/>
      </c>
      <c r="C1238" s="103">
        <f>IFERROR(IF(DIVIDENDOS[[#This Row],[Data Pagamento]]="","",EOMONTH(B1238,0)),"")</f>
        <v/>
      </c>
      <c r="D1238" s="104">
        <f>IFERROR(IF(DIVIDENDOS[[#This Row],[Data Pagamento]]="","",DIVIDENDOS[[#This Row],[Data Pagamento]]),"")</f>
        <v/>
      </c>
      <c r="F1238" s="106" t="n"/>
    </row>
    <row r="1239">
      <c r="A1239" s="101">
        <f>YEAR(DIVIDENDOS[[#This Row],[Data Pagamento]])</f>
        <v/>
      </c>
      <c r="C1239" s="103">
        <f>IFERROR(IF(DIVIDENDOS[[#This Row],[Data Pagamento]]="","",EOMONTH(B1239,0)),"")</f>
        <v/>
      </c>
      <c r="D1239" s="104">
        <f>IFERROR(IF(DIVIDENDOS[[#This Row],[Data Pagamento]]="","",DIVIDENDOS[[#This Row],[Data Pagamento]]),"")</f>
        <v/>
      </c>
      <c r="F1239" s="106" t="n"/>
    </row>
    <row r="1240">
      <c r="A1240" s="101">
        <f>YEAR(DIVIDENDOS[[#This Row],[Data Pagamento]])</f>
        <v/>
      </c>
      <c r="C1240" s="103">
        <f>IFERROR(IF(DIVIDENDOS[[#This Row],[Data Pagamento]]="","",EOMONTH(B1240,0)),"")</f>
        <v/>
      </c>
      <c r="D1240" s="104">
        <f>IFERROR(IF(DIVIDENDOS[[#This Row],[Data Pagamento]]="","",DIVIDENDOS[[#This Row],[Data Pagamento]]),"")</f>
        <v/>
      </c>
      <c r="F1240" s="106" t="n"/>
    </row>
    <row r="1241">
      <c r="A1241" s="101">
        <f>YEAR(DIVIDENDOS[[#This Row],[Data Pagamento]])</f>
        <v/>
      </c>
      <c r="C1241" s="103">
        <f>IFERROR(IF(DIVIDENDOS[[#This Row],[Data Pagamento]]="","",EOMONTH(B1241,0)),"")</f>
        <v/>
      </c>
      <c r="D1241" s="104">
        <f>IFERROR(IF(DIVIDENDOS[[#This Row],[Data Pagamento]]="","",DIVIDENDOS[[#This Row],[Data Pagamento]]),"")</f>
        <v/>
      </c>
      <c r="F1241" s="106" t="n"/>
    </row>
    <row r="1242">
      <c r="A1242" s="101">
        <f>YEAR(DIVIDENDOS[[#This Row],[Data Pagamento]])</f>
        <v/>
      </c>
      <c r="C1242" s="103">
        <f>IFERROR(IF(DIVIDENDOS[[#This Row],[Data Pagamento]]="","",EOMONTH(B1242,0)),"")</f>
        <v/>
      </c>
      <c r="D1242" s="104">
        <f>IFERROR(IF(DIVIDENDOS[[#This Row],[Data Pagamento]]="","",DIVIDENDOS[[#This Row],[Data Pagamento]]),"")</f>
        <v/>
      </c>
      <c r="F1242" s="106" t="n"/>
    </row>
    <row r="1243">
      <c r="A1243" s="101">
        <f>YEAR(DIVIDENDOS[[#This Row],[Data Pagamento]])</f>
        <v/>
      </c>
      <c r="C1243" s="103">
        <f>IFERROR(IF(DIVIDENDOS[[#This Row],[Data Pagamento]]="","",EOMONTH(B1243,0)),"")</f>
        <v/>
      </c>
      <c r="D1243" s="104">
        <f>IFERROR(IF(DIVIDENDOS[[#This Row],[Data Pagamento]]="","",DIVIDENDOS[[#This Row],[Data Pagamento]]),"")</f>
        <v/>
      </c>
      <c r="F1243" s="106" t="n"/>
    </row>
    <row r="1244">
      <c r="A1244" s="101">
        <f>YEAR(DIVIDENDOS[[#This Row],[Data Pagamento]])</f>
        <v/>
      </c>
      <c r="C1244" s="103">
        <f>IFERROR(IF(DIVIDENDOS[[#This Row],[Data Pagamento]]="","",EOMONTH(B1244,0)),"")</f>
        <v/>
      </c>
      <c r="D1244" s="104">
        <f>IFERROR(IF(DIVIDENDOS[[#This Row],[Data Pagamento]]="","",DIVIDENDOS[[#This Row],[Data Pagamento]]),"")</f>
        <v/>
      </c>
      <c r="F1244" s="106" t="n"/>
    </row>
    <row r="1245">
      <c r="A1245" s="101">
        <f>YEAR(DIVIDENDOS[[#This Row],[Data Pagamento]])</f>
        <v/>
      </c>
      <c r="C1245" s="103">
        <f>IFERROR(IF(DIVIDENDOS[[#This Row],[Data Pagamento]]="","",EOMONTH(B1245,0)),"")</f>
        <v/>
      </c>
      <c r="D1245" s="104">
        <f>IFERROR(IF(DIVIDENDOS[[#This Row],[Data Pagamento]]="","",DIVIDENDOS[[#This Row],[Data Pagamento]]),"")</f>
        <v/>
      </c>
      <c r="F1245" s="106" t="n"/>
    </row>
    <row r="1246">
      <c r="A1246" s="101">
        <f>YEAR(DIVIDENDOS[[#This Row],[Data Pagamento]])</f>
        <v/>
      </c>
      <c r="C1246" s="103">
        <f>IFERROR(IF(DIVIDENDOS[[#This Row],[Data Pagamento]]="","",EOMONTH(B1246,0)),"")</f>
        <v/>
      </c>
      <c r="D1246" s="104">
        <f>IFERROR(IF(DIVIDENDOS[[#This Row],[Data Pagamento]]="","",DIVIDENDOS[[#This Row],[Data Pagamento]]),"")</f>
        <v/>
      </c>
      <c r="F1246" s="106" t="n"/>
    </row>
    <row r="1247">
      <c r="A1247" s="101">
        <f>YEAR(DIVIDENDOS[[#This Row],[Data Pagamento]])</f>
        <v/>
      </c>
      <c r="C1247" s="103">
        <f>IFERROR(IF(DIVIDENDOS[[#This Row],[Data Pagamento]]="","",EOMONTH(B1247,0)),"")</f>
        <v/>
      </c>
      <c r="D1247" s="104">
        <f>IFERROR(IF(DIVIDENDOS[[#This Row],[Data Pagamento]]="","",DIVIDENDOS[[#This Row],[Data Pagamento]]),"")</f>
        <v/>
      </c>
      <c r="F1247" s="106" t="n"/>
    </row>
    <row r="1248">
      <c r="A1248" s="101">
        <f>YEAR(DIVIDENDOS[[#This Row],[Data Pagamento]])</f>
        <v/>
      </c>
      <c r="C1248" s="103">
        <f>IFERROR(IF(DIVIDENDOS[[#This Row],[Data Pagamento]]="","",EOMONTH(B1248,0)),"")</f>
        <v/>
      </c>
      <c r="D1248" s="104">
        <f>IFERROR(IF(DIVIDENDOS[[#This Row],[Data Pagamento]]="","",DIVIDENDOS[[#This Row],[Data Pagamento]]),"")</f>
        <v/>
      </c>
      <c r="F1248" s="106" t="n"/>
    </row>
    <row r="1249">
      <c r="A1249" s="101">
        <f>YEAR(DIVIDENDOS[[#This Row],[Data Pagamento]])</f>
        <v/>
      </c>
      <c r="C1249" s="103">
        <f>IFERROR(IF(DIVIDENDOS[[#This Row],[Data Pagamento]]="","",EOMONTH(B1249,0)),"")</f>
        <v/>
      </c>
      <c r="D1249" s="104">
        <f>IFERROR(IF(DIVIDENDOS[[#This Row],[Data Pagamento]]="","",DIVIDENDOS[[#This Row],[Data Pagamento]]),"")</f>
        <v/>
      </c>
      <c r="F1249" s="106" t="n"/>
    </row>
    <row r="1250">
      <c r="A1250" s="101">
        <f>YEAR(DIVIDENDOS[[#This Row],[Data Pagamento]])</f>
        <v/>
      </c>
      <c r="C1250" s="103">
        <f>IFERROR(IF(DIVIDENDOS[[#This Row],[Data Pagamento]]="","",EOMONTH(B1250,0)),"")</f>
        <v/>
      </c>
      <c r="D1250" s="104">
        <f>IFERROR(IF(DIVIDENDOS[[#This Row],[Data Pagamento]]="","",DIVIDENDOS[[#This Row],[Data Pagamento]]),"")</f>
        <v/>
      </c>
      <c r="F1250" s="106" t="n"/>
    </row>
    <row r="1251">
      <c r="A1251" s="101">
        <f>YEAR(DIVIDENDOS[[#This Row],[Data Pagamento]])</f>
        <v/>
      </c>
      <c r="C1251" s="103">
        <f>IFERROR(IF(DIVIDENDOS[[#This Row],[Data Pagamento]]="","",EOMONTH(B1251,0)),"")</f>
        <v/>
      </c>
      <c r="D1251" s="104">
        <f>IFERROR(IF(DIVIDENDOS[[#This Row],[Data Pagamento]]="","",DIVIDENDOS[[#This Row],[Data Pagamento]]),"")</f>
        <v/>
      </c>
      <c r="F1251" s="106" t="n"/>
    </row>
    <row r="1252">
      <c r="A1252" s="101">
        <f>YEAR(DIVIDENDOS[[#This Row],[Data Pagamento]])</f>
        <v/>
      </c>
      <c r="C1252" s="103">
        <f>IFERROR(IF(DIVIDENDOS[[#This Row],[Data Pagamento]]="","",EOMONTH(B1252,0)),"")</f>
        <v/>
      </c>
      <c r="D1252" s="104">
        <f>IFERROR(IF(DIVIDENDOS[[#This Row],[Data Pagamento]]="","",DIVIDENDOS[[#This Row],[Data Pagamento]]),"")</f>
        <v/>
      </c>
      <c r="F1252" s="106" t="n"/>
    </row>
    <row r="1253">
      <c r="A1253" s="101">
        <f>YEAR(DIVIDENDOS[[#This Row],[Data Pagamento]])</f>
        <v/>
      </c>
      <c r="C1253" s="103">
        <f>IFERROR(IF(DIVIDENDOS[[#This Row],[Data Pagamento]]="","",EOMONTH(B1253,0)),"")</f>
        <v/>
      </c>
      <c r="D1253" s="104">
        <f>IFERROR(IF(DIVIDENDOS[[#This Row],[Data Pagamento]]="","",DIVIDENDOS[[#This Row],[Data Pagamento]]),"")</f>
        <v/>
      </c>
      <c r="F1253" s="106" t="n"/>
    </row>
    <row r="1254">
      <c r="A1254" s="101">
        <f>YEAR(DIVIDENDOS[[#This Row],[Data Pagamento]])</f>
        <v/>
      </c>
      <c r="C1254" s="103">
        <f>IFERROR(IF(DIVIDENDOS[[#This Row],[Data Pagamento]]="","",EOMONTH(B1254,0)),"")</f>
        <v/>
      </c>
      <c r="D1254" s="104">
        <f>IFERROR(IF(DIVIDENDOS[[#This Row],[Data Pagamento]]="","",DIVIDENDOS[[#This Row],[Data Pagamento]]),"")</f>
        <v/>
      </c>
      <c r="F1254" s="106" t="n"/>
    </row>
    <row r="1255">
      <c r="A1255" s="101">
        <f>YEAR(DIVIDENDOS[[#This Row],[Data Pagamento]])</f>
        <v/>
      </c>
      <c r="C1255" s="103">
        <f>IFERROR(IF(DIVIDENDOS[[#This Row],[Data Pagamento]]="","",EOMONTH(B1255,0)),"")</f>
        <v/>
      </c>
      <c r="D1255" s="104">
        <f>IFERROR(IF(DIVIDENDOS[[#This Row],[Data Pagamento]]="","",DIVIDENDOS[[#This Row],[Data Pagamento]]),"")</f>
        <v/>
      </c>
      <c r="F1255" s="106" t="n"/>
    </row>
    <row r="1256">
      <c r="A1256" s="101">
        <f>YEAR(DIVIDENDOS[[#This Row],[Data Pagamento]])</f>
        <v/>
      </c>
      <c r="C1256" s="103">
        <f>IFERROR(IF(DIVIDENDOS[[#This Row],[Data Pagamento]]="","",EOMONTH(B1256,0)),"")</f>
        <v/>
      </c>
      <c r="D1256" s="104">
        <f>IFERROR(IF(DIVIDENDOS[[#This Row],[Data Pagamento]]="","",DIVIDENDOS[[#This Row],[Data Pagamento]]),"")</f>
        <v/>
      </c>
      <c r="F1256" s="106" t="n"/>
    </row>
    <row r="1257">
      <c r="A1257" s="101">
        <f>YEAR(DIVIDENDOS[[#This Row],[Data Pagamento]])</f>
        <v/>
      </c>
      <c r="C1257" s="103">
        <f>IFERROR(IF(DIVIDENDOS[[#This Row],[Data Pagamento]]="","",EOMONTH(B1257,0)),"")</f>
        <v/>
      </c>
      <c r="D1257" s="104">
        <f>IFERROR(IF(DIVIDENDOS[[#This Row],[Data Pagamento]]="","",DIVIDENDOS[[#This Row],[Data Pagamento]]),"")</f>
        <v/>
      </c>
      <c r="F1257" s="106" t="n"/>
    </row>
    <row r="1258">
      <c r="A1258" s="101">
        <f>YEAR(DIVIDENDOS[[#This Row],[Data Pagamento]])</f>
        <v/>
      </c>
      <c r="C1258" s="103">
        <f>IFERROR(IF(DIVIDENDOS[[#This Row],[Data Pagamento]]="","",EOMONTH(B1258,0)),"")</f>
        <v/>
      </c>
      <c r="D1258" s="104">
        <f>IFERROR(IF(DIVIDENDOS[[#This Row],[Data Pagamento]]="","",DIVIDENDOS[[#This Row],[Data Pagamento]]),"")</f>
        <v/>
      </c>
      <c r="F1258" s="106" t="n"/>
    </row>
    <row r="1259">
      <c r="A1259" s="101">
        <f>YEAR(DIVIDENDOS[[#This Row],[Data Pagamento]])</f>
        <v/>
      </c>
      <c r="C1259" s="103">
        <f>IFERROR(IF(DIVIDENDOS[[#This Row],[Data Pagamento]]="","",EOMONTH(B1259,0)),"")</f>
        <v/>
      </c>
      <c r="D1259" s="104">
        <f>IFERROR(IF(DIVIDENDOS[[#This Row],[Data Pagamento]]="","",DIVIDENDOS[[#This Row],[Data Pagamento]]),"")</f>
        <v/>
      </c>
      <c r="F1259" s="106" t="n"/>
    </row>
    <row r="1260">
      <c r="A1260" s="101">
        <f>YEAR(DIVIDENDOS[[#This Row],[Data Pagamento]])</f>
        <v/>
      </c>
      <c r="C1260" s="103">
        <f>IFERROR(IF(DIVIDENDOS[[#This Row],[Data Pagamento]]="","",EOMONTH(B1260,0)),"")</f>
        <v/>
      </c>
      <c r="D1260" s="104">
        <f>IFERROR(IF(DIVIDENDOS[[#This Row],[Data Pagamento]]="","",DIVIDENDOS[[#This Row],[Data Pagamento]]),"")</f>
        <v/>
      </c>
      <c r="F1260" s="106" t="n"/>
    </row>
    <row r="1261">
      <c r="A1261" s="101">
        <f>YEAR(DIVIDENDOS[[#This Row],[Data Pagamento]])</f>
        <v/>
      </c>
      <c r="C1261" s="103">
        <f>IFERROR(IF(DIVIDENDOS[[#This Row],[Data Pagamento]]="","",EOMONTH(B1261,0)),"")</f>
        <v/>
      </c>
      <c r="D1261" s="104">
        <f>IFERROR(IF(DIVIDENDOS[[#This Row],[Data Pagamento]]="","",DIVIDENDOS[[#This Row],[Data Pagamento]]),"")</f>
        <v/>
      </c>
      <c r="F1261" s="106" t="n"/>
    </row>
    <row r="1262">
      <c r="A1262" s="101">
        <f>YEAR(DIVIDENDOS[[#This Row],[Data Pagamento]])</f>
        <v/>
      </c>
      <c r="C1262" s="103">
        <f>IFERROR(IF(DIVIDENDOS[[#This Row],[Data Pagamento]]="","",EOMONTH(B1262,0)),"")</f>
        <v/>
      </c>
      <c r="D1262" s="104">
        <f>IFERROR(IF(DIVIDENDOS[[#This Row],[Data Pagamento]]="","",DIVIDENDOS[[#This Row],[Data Pagamento]]),"")</f>
        <v/>
      </c>
      <c r="F1262" s="106" t="n"/>
    </row>
    <row r="1263">
      <c r="A1263" s="101">
        <f>YEAR(DIVIDENDOS[[#This Row],[Data Pagamento]])</f>
        <v/>
      </c>
      <c r="C1263" s="103">
        <f>IFERROR(IF(DIVIDENDOS[[#This Row],[Data Pagamento]]="","",EOMONTH(B1263,0)),"")</f>
        <v/>
      </c>
      <c r="D1263" s="104">
        <f>IFERROR(IF(DIVIDENDOS[[#This Row],[Data Pagamento]]="","",DIVIDENDOS[[#This Row],[Data Pagamento]]),"")</f>
        <v/>
      </c>
      <c r="F1263" s="106" t="n"/>
    </row>
    <row r="1264">
      <c r="A1264" s="101">
        <f>YEAR(DIVIDENDOS[[#This Row],[Data Pagamento]])</f>
        <v/>
      </c>
      <c r="C1264" s="103">
        <f>IFERROR(IF(DIVIDENDOS[[#This Row],[Data Pagamento]]="","",EOMONTH(B1264,0)),"")</f>
        <v/>
      </c>
      <c r="D1264" s="104">
        <f>IFERROR(IF(DIVIDENDOS[[#This Row],[Data Pagamento]]="","",DIVIDENDOS[[#This Row],[Data Pagamento]]),"")</f>
        <v/>
      </c>
      <c r="F1264" s="106" t="n"/>
    </row>
    <row r="1265">
      <c r="A1265" s="101">
        <f>YEAR(DIVIDENDOS[[#This Row],[Data Pagamento]])</f>
        <v/>
      </c>
      <c r="C1265" s="103">
        <f>IFERROR(IF(DIVIDENDOS[[#This Row],[Data Pagamento]]="","",EOMONTH(B1265,0)),"")</f>
        <v/>
      </c>
      <c r="D1265" s="104">
        <f>IFERROR(IF(DIVIDENDOS[[#This Row],[Data Pagamento]]="","",DIVIDENDOS[[#This Row],[Data Pagamento]]),"")</f>
        <v/>
      </c>
      <c r="F1265" s="106" t="n"/>
    </row>
    <row r="1266">
      <c r="A1266" s="101">
        <f>YEAR(DIVIDENDOS[[#This Row],[Data Pagamento]])</f>
        <v/>
      </c>
      <c r="C1266" s="103">
        <f>IFERROR(IF(DIVIDENDOS[[#This Row],[Data Pagamento]]="","",EOMONTH(B1266,0)),"")</f>
        <v/>
      </c>
      <c r="D1266" s="104">
        <f>IFERROR(IF(DIVIDENDOS[[#This Row],[Data Pagamento]]="","",DIVIDENDOS[[#This Row],[Data Pagamento]]),"")</f>
        <v/>
      </c>
      <c r="F1266" s="106" t="n"/>
    </row>
    <row r="1267">
      <c r="A1267" s="101">
        <f>YEAR(DIVIDENDOS[[#This Row],[Data Pagamento]])</f>
        <v/>
      </c>
      <c r="C1267" s="103">
        <f>IFERROR(IF(DIVIDENDOS[[#This Row],[Data Pagamento]]="","",EOMONTH(B1267,0)),"")</f>
        <v/>
      </c>
      <c r="D1267" s="104">
        <f>IFERROR(IF(DIVIDENDOS[[#This Row],[Data Pagamento]]="","",DIVIDENDOS[[#This Row],[Data Pagamento]]),"")</f>
        <v/>
      </c>
      <c r="F1267" s="106" t="n"/>
    </row>
    <row r="1268">
      <c r="A1268" s="101">
        <f>YEAR(DIVIDENDOS[[#This Row],[Data Pagamento]])</f>
        <v/>
      </c>
      <c r="C1268" s="103">
        <f>IFERROR(IF(DIVIDENDOS[[#This Row],[Data Pagamento]]="","",EOMONTH(B1268,0)),"")</f>
        <v/>
      </c>
      <c r="D1268" s="104">
        <f>IFERROR(IF(DIVIDENDOS[[#This Row],[Data Pagamento]]="","",DIVIDENDOS[[#This Row],[Data Pagamento]]),"")</f>
        <v/>
      </c>
      <c r="F1268" s="106" t="n"/>
    </row>
    <row r="1269">
      <c r="A1269" s="101">
        <f>YEAR(DIVIDENDOS[[#This Row],[Data Pagamento]])</f>
        <v/>
      </c>
      <c r="C1269" s="103">
        <f>IFERROR(IF(DIVIDENDOS[[#This Row],[Data Pagamento]]="","",EOMONTH(B1269,0)),"")</f>
        <v/>
      </c>
      <c r="D1269" s="104">
        <f>IFERROR(IF(DIVIDENDOS[[#This Row],[Data Pagamento]]="","",DIVIDENDOS[[#This Row],[Data Pagamento]]),"")</f>
        <v/>
      </c>
      <c r="F1269" s="106" t="n"/>
    </row>
    <row r="1270">
      <c r="A1270" s="101">
        <f>YEAR(DIVIDENDOS[[#This Row],[Data Pagamento]])</f>
        <v/>
      </c>
      <c r="C1270" s="103">
        <f>IFERROR(IF(DIVIDENDOS[[#This Row],[Data Pagamento]]="","",EOMONTH(B1270,0)),"")</f>
        <v/>
      </c>
      <c r="D1270" s="104">
        <f>IFERROR(IF(DIVIDENDOS[[#This Row],[Data Pagamento]]="","",DIVIDENDOS[[#This Row],[Data Pagamento]]),"")</f>
        <v/>
      </c>
      <c r="F1270" s="106" t="n"/>
    </row>
    <row r="1271">
      <c r="A1271" s="101">
        <f>YEAR(DIVIDENDOS[[#This Row],[Data Pagamento]])</f>
        <v/>
      </c>
      <c r="C1271" s="103">
        <f>IFERROR(IF(DIVIDENDOS[[#This Row],[Data Pagamento]]="","",EOMONTH(B1271,0)),"")</f>
        <v/>
      </c>
      <c r="D1271" s="104">
        <f>IFERROR(IF(DIVIDENDOS[[#This Row],[Data Pagamento]]="","",DIVIDENDOS[[#This Row],[Data Pagamento]]),"")</f>
        <v/>
      </c>
      <c r="F1271" s="106" t="n"/>
    </row>
    <row r="1272">
      <c r="A1272" s="101">
        <f>YEAR(DIVIDENDOS[[#This Row],[Data Pagamento]])</f>
        <v/>
      </c>
      <c r="C1272" s="103">
        <f>IFERROR(IF(DIVIDENDOS[[#This Row],[Data Pagamento]]="","",EOMONTH(B1272,0)),"")</f>
        <v/>
      </c>
      <c r="D1272" s="104">
        <f>IFERROR(IF(DIVIDENDOS[[#This Row],[Data Pagamento]]="","",DIVIDENDOS[[#This Row],[Data Pagamento]]),"")</f>
        <v/>
      </c>
      <c r="F1272" s="106" t="n"/>
    </row>
    <row r="1273">
      <c r="A1273" s="101">
        <f>YEAR(DIVIDENDOS[[#This Row],[Data Pagamento]])</f>
        <v/>
      </c>
      <c r="C1273" s="103">
        <f>IFERROR(IF(DIVIDENDOS[[#This Row],[Data Pagamento]]="","",EOMONTH(B1273,0)),"")</f>
        <v/>
      </c>
      <c r="D1273" s="104">
        <f>IFERROR(IF(DIVIDENDOS[[#This Row],[Data Pagamento]]="","",DIVIDENDOS[[#This Row],[Data Pagamento]]),"")</f>
        <v/>
      </c>
      <c r="F1273" s="106" t="n"/>
    </row>
    <row r="1274">
      <c r="A1274" s="101">
        <f>YEAR(DIVIDENDOS[[#This Row],[Data Pagamento]])</f>
        <v/>
      </c>
      <c r="C1274" s="103">
        <f>IFERROR(IF(DIVIDENDOS[[#This Row],[Data Pagamento]]="","",EOMONTH(B1274,0)),"")</f>
        <v/>
      </c>
      <c r="D1274" s="104">
        <f>IFERROR(IF(DIVIDENDOS[[#This Row],[Data Pagamento]]="","",DIVIDENDOS[[#This Row],[Data Pagamento]]),"")</f>
        <v/>
      </c>
      <c r="F1274" s="106" t="n"/>
    </row>
    <row r="1275">
      <c r="A1275" s="101">
        <f>YEAR(DIVIDENDOS[[#This Row],[Data Pagamento]])</f>
        <v/>
      </c>
      <c r="C1275" s="103">
        <f>IFERROR(IF(DIVIDENDOS[[#This Row],[Data Pagamento]]="","",EOMONTH(B1275,0)),"")</f>
        <v/>
      </c>
      <c r="D1275" s="104">
        <f>IFERROR(IF(DIVIDENDOS[[#This Row],[Data Pagamento]]="","",DIVIDENDOS[[#This Row],[Data Pagamento]]),"")</f>
        <v/>
      </c>
      <c r="F1275" s="106" t="n"/>
    </row>
    <row r="1276">
      <c r="A1276" s="101">
        <f>YEAR(DIVIDENDOS[[#This Row],[Data Pagamento]])</f>
        <v/>
      </c>
      <c r="C1276" s="103">
        <f>IFERROR(IF(DIVIDENDOS[[#This Row],[Data Pagamento]]="","",EOMONTH(B1276,0)),"")</f>
        <v/>
      </c>
      <c r="D1276" s="104">
        <f>IFERROR(IF(DIVIDENDOS[[#This Row],[Data Pagamento]]="","",DIVIDENDOS[[#This Row],[Data Pagamento]]),"")</f>
        <v/>
      </c>
      <c r="F1276" s="106" t="n"/>
    </row>
    <row r="1277">
      <c r="A1277" s="101">
        <f>YEAR(DIVIDENDOS[[#This Row],[Data Pagamento]])</f>
        <v/>
      </c>
      <c r="C1277" s="103">
        <f>IFERROR(IF(DIVIDENDOS[[#This Row],[Data Pagamento]]="","",EOMONTH(B1277,0)),"")</f>
        <v/>
      </c>
      <c r="D1277" s="104">
        <f>IFERROR(IF(DIVIDENDOS[[#This Row],[Data Pagamento]]="","",DIVIDENDOS[[#This Row],[Data Pagamento]]),"")</f>
        <v/>
      </c>
      <c r="F1277" s="106" t="n"/>
    </row>
    <row r="1278">
      <c r="A1278" s="101">
        <f>YEAR(DIVIDENDOS[[#This Row],[Data Pagamento]])</f>
        <v/>
      </c>
      <c r="C1278" s="103">
        <f>IFERROR(IF(DIVIDENDOS[[#This Row],[Data Pagamento]]="","",EOMONTH(B1278,0)),"")</f>
        <v/>
      </c>
      <c r="D1278" s="104">
        <f>IFERROR(IF(DIVIDENDOS[[#This Row],[Data Pagamento]]="","",DIVIDENDOS[[#This Row],[Data Pagamento]]),"")</f>
        <v/>
      </c>
      <c r="F1278" s="106" t="n"/>
    </row>
    <row r="1279">
      <c r="A1279" s="101">
        <f>YEAR(DIVIDENDOS[[#This Row],[Data Pagamento]])</f>
        <v/>
      </c>
      <c r="C1279" s="103">
        <f>IFERROR(IF(DIVIDENDOS[[#This Row],[Data Pagamento]]="","",EOMONTH(B1279,0)),"")</f>
        <v/>
      </c>
      <c r="D1279" s="104">
        <f>IFERROR(IF(DIVIDENDOS[[#This Row],[Data Pagamento]]="","",DIVIDENDOS[[#This Row],[Data Pagamento]]),"")</f>
        <v/>
      </c>
      <c r="F1279" s="106" t="n"/>
    </row>
    <row r="1280">
      <c r="A1280" s="101">
        <f>YEAR(DIVIDENDOS[[#This Row],[Data Pagamento]])</f>
        <v/>
      </c>
      <c r="C1280" s="103">
        <f>IFERROR(IF(DIVIDENDOS[[#This Row],[Data Pagamento]]="","",EOMONTH(B1280,0)),"")</f>
        <v/>
      </c>
      <c r="D1280" s="104">
        <f>IFERROR(IF(DIVIDENDOS[[#This Row],[Data Pagamento]]="","",DIVIDENDOS[[#This Row],[Data Pagamento]]),"")</f>
        <v/>
      </c>
      <c r="F1280" s="106" t="n"/>
    </row>
    <row r="1281">
      <c r="A1281" s="101">
        <f>YEAR(DIVIDENDOS[[#This Row],[Data Pagamento]])</f>
        <v/>
      </c>
      <c r="C1281" s="103">
        <f>IFERROR(IF(DIVIDENDOS[[#This Row],[Data Pagamento]]="","",EOMONTH(B1281,0)),"")</f>
        <v/>
      </c>
      <c r="D1281" s="104">
        <f>IFERROR(IF(DIVIDENDOS[[#This Row],[Data Pagamento]]="","",DIVIDENDOS[[#This Row],[Data Pagamento]]),"")</f>
        <v/>
      </c>
      <c r="F1281" s="106" t="n"/>
    </row>
    <row r="1282">
      <c r="A1282" s="101">
        <f>YEAR(DIVIDENDOS[[#This Row],[Data Pagamento]])</f>
        <v/>
      </c>
      <c r="C1282" s="103">
        <f>IFERROR(IF(DIVIDENDOS[[#This Row],[Data Pagamento]]="","",EOMONTH(B1282,0)),"")</f>
        <v/>
      </c>
      <c r="D1282" s="104">
        <f>IFERROR(IF(DIVIDENDOS[[#This Row],[Data Pagamento]]="","",DIVIDENDOS[[#This Row],[Data Pagamento]]),"")</f>
        <v/>
      </c>
      <c r="F1282" s="106" t="n"/>
    </row>
    <row r="1283">
      <c r="A1283" s="101">
        <f>YEAR(DIVIDENDOS[[#This Row],[Data Pagamento]])</f>
        <v/>
      </c>
      <c r="C1283" s="103">
        <f>IFERROR(IF(DIVIDENDOS[[#This Row],[Data Pagamento]]="","",EOMONTH(B1283,0)),"")</f>
        <v/>
      </c>
      <c r="D1283" s="104">
        <f>IFERROR(IF(DIVIDENDOS[[#This Row],[Data Pagamento]]="","",DIVIDENDOS[[#This Row],[Data Pagamento]]),"")</f>
        <v/>
      </c>
      <c r="F1283" s="106" t="n"/>
    </row>
    <row r="1284">
      <c r="A1284" s="101">
        <f>YEAR(DIVIDENDOS[[#This Row],[Data Pagamento]])</f>
        <v/>
      </c>
      <c r="C1284" s="103">
        <f>IFERROR(IF(DIVIDENDOS[[#This Row],[Data Pagamento]]="","",EOMONTH(B1284,0)),"")</f>
        <v/>
      </c>
      <c r="D1284" s="104">
        <f>IFERROR(IF(DIVIDENDOS[[#This Row],[Data Pagamento]]="","",DIVIDENDOS[[#This Row],[Data Pagamento]]),"")</f>
        <v/>
      </c>
      <c r="F1284" s="106" t="n"/>
    </row>
    <row r="1285">
      <c r="A1285" s="101">
        <f>YEAR(DIVIDENDOS[[#This Row],[Data Pagamento]])</f>
        <v/>
      </c>
      <c r="C1285" s="103">
        <f>IFERROR(IF(DIVIDENDOS[[#This Row],[Data Pagamento]]="","",EOMONTH(B1285,0)),"")</f>
        <v/>
      </c>
      <c r="D1285" s="104">
        <f>IFERROR(IF(DIVIDENDOS[[#This Row],[Data Pagamento]]="","",DIVIDENDOS[[#This Row],[Data Pagamento]]),"")</f>
        <v/>
      </c>
      <c r="F1285" s="106" t="n"/>
    </row>
    <row r="1286">
      <c r="A1286" s="101">
        <f>YEAR(DIVIDENDOS[[#This Row],[Data Pagamento]])</f>
        <v/>
      </c>
      <c r="C1286" s="103">
        <f>IFERROR(IF(DIVIDENDOS[[#This Row],[Data Pagamento]]="","",EOMONTH(B1286,0)),"")</f>
        <v/>
      </c>
      <c r="D1286" s="104">
        <f>IFERROR(IF(DIVIDENDOS[[#This Row],[Data Pagamento]]="","",DIVIDENDOS[[#This Row],[Data Pagamento]]),"")</f>
        <v/>
      </c>
      <c r="F1286" s="106" t="n"/>
    </row>
    <row r="1287">
      <c r="A1287" s="101">
        <f>YEAR(DIVIDENDOS[[#This Row],[Data Pagamento]])</f>
        <v/>
      </c>
      <c r="C1287" s="103">
        <f>IFERROR(IF(DIVIDENDOS[[#This Row],[Data Pagamento]]="","",EOMONTH(B1287,0)),"")</f>
        <v/>
      </c>
      <c r="D1287" s="104">
        <f>IFERROR(IF(DIVIDENDOS[[#This Row],[Data Pagamento]]="","",DIVIDENDOS[[#This Row],[Data Pagamento]]),"")</f>
        <v/>
      </c>
      <c r="F1287" s="106" t="n"/>
    </row>
    <row r="1288">
      <c r="A1288" s="101">
        <f>YEAR(DIVIDENDOS[[#This Row],[Data Pagamento]])</f>
        <v/>
      </c>
      <c r="C1288" s="103">
        <f>IFERROR(IF(DIVIDENDOS[[#This Row],[Data Pagamento]]="","",EOMONTH(B1288,0)),"")</f>
        <v/>
      </c>
      <c r="D1288" s="104">
        <f>IFERROR(IF(DIVIDENDOS[[#This Row],[Data Pagamento]]="","",DIVIDENDOS[[#This Row],[Data Pagamento]]),"")</f>
        <v/>
      </c>
      <c r="F1288" s="106" t="n"/>
    </row>
    <row r="1289">
      <c r="A1289" s="101">
        <f>YEAR(DIVIDENDOS[[#This Row],[Data Pagamento]])</f>
        <v/>
      </c>
      <c r="C1289" s="103">
        <f>IFERROR(IF(DIVIDENDOS[[#This Row],[Data Pagamento]]="","",EOMONTH(B1289,0)),"")</f>
        <v/>
      </c>
      <c r="D1289" s="104">
        <f>IFERROR(IF(DIVIDENDOS[[#This Row],[Data Pagamento]]="","",DIVIDENDOS[[#This Row],[Data Pagamento]]),"")</f>
        <v/>
      </c>
      <c r="F1289" s="106" t="n"/>
    </row>
    <row r="1290">
      <c r="A1290" s="101">
        <f>YEAR(DIVIDENDOS[[#This Row],[Data Pagamento]])</f>
        <v/>
      </c>
      <c r="C1290" s="103">
        <f>IFERROR(IF(DIVIDENDOS[[#This Row],[Data Pagamento]]="","",EOMONTH(B1290,0)),"")</f>
        <v/>
      </c>
      <c r="D1290" s="104">
        <f>IFERROR(IF(DIVIDENDOS[[#This Row],[Data Pagamento]]="","",DIVIDENDOS[[#This Row],[Data Pagamento]]),"")</f>
        <v/>
      </c>
      <c r="F1290" s="106" t="n"/>
    </row>
    <row r="1291">
      <c r="A1291" s="101">
        <f>YEAR(DIVIDENDOS[[#This Row],[Data Pagamento]])</f>
        <v/>
      </c>
      <c r="C1291" s="103">
        <f>IFERROR(IF(DIVIDENDOS[[#This Row],[Data Pagamento]]="","",EOMONTH(B1291,0)),"")</f>
        <v/>
      </c>
      <c r="D1291" s="104">
        <f>IFERROR(IF(DIVIDENDOS[[#This Row],[Data Pagamento]]="","",DIVIDENDOS[[#This Row],[Data Pagamento]]),"")</f>
        <v/>
      </c>
      <c r="F1291" s="106" t="n"/>
    </row>
    <row r="1292">
      <c r="A1292" s="101">
        <f>YEAR(DIVIDENDOS[[#This Row],[Data Pagamento]])</f>
        <v/>
      </c>
      <c r="C1292" s="103">
        <f>IFERROR(IF(DIVIDENDOS[[#This Row],[Data Pagamento]]="","",EOMONTH(B1292,0)),"")</f>
        <v/>
      </c>
      <c r="D1292" s="104">
        <f>IFERROR(IF(DIVIDENDOS[[#This Row],[Data Pagamento]]="","",DIVIDENDOS[[#This Row],[Data Pagamento]]),"")</f>
        <v/>
      </c>
      <c r="F1292" s="106" t="n"/>
    </row>
    <row r="1293">
      <c r="A1293" s="101">
        <f>YEAR(DIVIDENDOS[[#This Row],[Data Pagamento]])</f>
        <v/>
      </c>
      <c r="C1293" s="103">
        <f>IFERROR(IF(DIVIDENDOS[[#This Row],[Data Pagamento]]="","",EOMONTH(B1293,0)),"")</f>
        <v/>
      </c>
      <c r="D1293" s="104">
        <f>IFERROR(IF(DIVIDENDOS[[#This Row],[Data Pagamento]]="","",DIVIDENDOS[[#This Row],[Data Pagamento]]),"")</f>
        <v/>
      </c>
      <c r="F1293" s="106" t="n"/>
    </row>
    <row r="1294">
      <c r="A1294" s="101">
        <f>YEAR(DIVIDENDOS[[#This Row],[Data Pagamento]])</f>
        <v/>
      </c>
      <c r="C1294" s="103">
        <f>IFERROR(IF(DIVIDENDOS[[#This Row],[Data Pagamento]]="","",EOMONTH(B1294,0)),"")</f>
        <v/>
      </c>
      <c r="D1294" s="104">
        <f>IFERROR(IF(DIVIDENDOS[[#This Row],[Data Pagamento]]="","",DIVIDENDOS[[#This Row],[Data Pagamento]]),"")</f>
        <v/>
      </c>
      <c r="F1294" s="106" t="n"/>
    </row>
    <row r="1295">
      <c r="A1295" s="101">
        <f>YEAR(DIVIDENDOS[[#This Row],[Data Pagamento]])</f>
        <v/>
      </c>
      <c r="C1295" s="103">
        <f>IFERROR(IF(DIVIDENDOS[[#This Row],[Data Pagamento]]="","",EOMONTH(B1295,0)),"")</f>
        <v/>
      </c>
      <c r="D1295" s="104">
        <f>IFERROR(IF(DIVIDENDOS[[#This Row],[Data Pagamento]]="","",DIVIDENDOS[[#This Row],[Data Pagamento]]),"")</f>
        <v/>
      </c>
      <c r="F1295" s="106" t="n"/>
    </row>
    <row r="1296">
      <c r="A1296" s="101">
        <f>YEAR(DIVIDENDOS[[#This Row],[Data Pagamento]])</f>
        <v/>
      </c>
      <c r="C1296" s="103">
        <f>IFERROR(IF(DIVIDENDOS[[#This Row],[Data Pagamento]]="","",EOMONTH(B1296,0)),"")</f>
        <v/>
      </c>
      <c r="D1296" s="104">
        <f>IFERROR(IF(DIVIDENDOS[[#This Row],[Data Pagamento]]="","",DIVIDENDOS[[#This Row],[Data Pagamento]]),"")</f>
        <v/>
      </c>
      <c r="F1296" s="106" t="n"/>
    </row>
    <row r="1297">
      <c r="A1297" s="101">
        <f>YEAR(DIVIDENDOS[[#This Row],[Data Pagamento]])</f>
        <v/>
      </c>
      <c r="C1297" s="103">
        <f>IFERROR(IF(DIVIDENDOS[[#This Row],[Data Pagamento]]="","",EOMONTH(B1297,0)),"")</f>
        <v/>
      </c>
      <c r="D1297" s="104">
        <f>IFERROR(IF(DIVIDENDOS[[#This Row],[Data Pagamento]]="","",DIVIDENDOS[[#This Row],[Data Pagamento]]),"")</f>
        <v/>
      </c>
      <c r="F1297" s="106" t="n"/>
    </row>
    <row r="1298">
      <c r="A1298" s="101">
        <f>YEAR(DIVIDENDOS[[#This Row],[Data Pagamento]])</f>
        <v/>
      </c>
      <c r="C1298" s="103">
        <f>IFERROR(IF(DIVIDENDOS[[#This Row],[Data Pagamento]]="","",EOMONTH(B1298,0)),"")</f>
        <v/>
      </c>
      <c r="D1298" s="104">
        <f>IFERROR(IF(DIVIDENDOS[[#This Row],[Data Pagamento]]="","",DIVIDENDOS[[#This Row],[Data Pagamento]]),"")</f>
        <v/>
      </c>
      <c r="F1298" s="106" t="n"/>
    </row>
    <row r="1299">
      <c r="A1299" s="101">
        <f>YEAR(DIVIDENDOS[[#This Row],[Data Pagamento]])</f>
        <v/>
      </c>
      <c r="C1299" s="103">
        <f>IFERROR(IF(DIVIDENDOS[[#This Row],[Data Pagamento]]="","",EOMONTH(B1299,0)),"")</f>
        <v/>
      </c>
      <c r="D1299" s="104">
        <f>IFERROR(IF(DIVIDENDOS[[#This Row],[Data Pagamento]]="","",DIVIDENDOS[[#This Row],[Data Pagamento]]),"")</f>
        <v/>
      </c>
      <c r="F1299" s="106" t="n"/>
    </row>
    <row r="1300">
      <c r="A1300" s="101">
        <f>YEAR(DIVIDENDOS[[#This Row],[Data Pagamento]])</f>
        <v/>
      </c>
      <c r="C1300" s="103">
        <f>IFERROR(IF(DIVIDENDOS[[#This Row],[Data Pagamento]]="","",EOMONTH(B1300,0)),"")</f>
        <v/>
      </c>
      <c r="D1300" s="104">
        <f>IFERROR(IF(DIVIDENDOS[[#This Row],[Data Pagamento]]="","",DIVIDENDOS[[#This Row],[Data Pagamento]]),"")</f>
        <v/>
      </c>
      <c r="F1300" s="106" t="n"/>
    </row>
    <row r="1301">
      <c r="A1301" s="101">
        <f>YEAR(DIVIDENDOS[[#This Row],[Data Pagamento]])</f>
        <v/>
      </c>
      <c r="C1301" s="103">
        <f>IFERROR(IF(DIVIDENDOS[[#This Row],[Data Pagamento]]="","",EOMONTH(B1301,0)),"")</f>
        <v/>
      </c>
      <c r="D1301" s="104">
        <f>IFERROR(IF(DIVIDENDOS[[#This Row],[Data Pagamento]]="","",DIVIDENDOS[[#This Row],[Data Pagamento]]),"")</f>
        <v/>
      </c>
      <c r="F1301" s="106" t="n"/>
    </row>
    <row r="1302">
      <c r="A1302" s="101">
        <f>YEAR(DIVIDENDOS[[#This Row],[Data Pagamento]])</f>
        <v/>
      </c>
      <c r="C1302" s="103">
        <f>IFERROR(IF(DIVIDENDOS[[#This Row],[Data Pagamento]]="","",EOMONTH(B1302,0)),"")</f>
        <v/>
      </c>
      <c r="D1302" s="104">
        <f>IFERROR(IF(DIVIDENDOS[[#This Row],[Data Pagamento]]="","",DIVIDENDOS[[#This Row],[Data Pagamento]]),"")</f>
        <v/>
      </c>
      <c r="F1302" s="106" t="n"/>
    </row>
    <row r="1303">
      <c r="A1303" s="101">
        <f>YEAR(DIVIDENDOS[[#This Row],[Data Pagamento]])</f>
        <v/>
      </c>
      <c r="C1303" s="103">
        <f>IFERROR(IF(DIVIDENDOS[[#This Row],[Data Pagamento]]="","",EOMONTH(B1303,0)),"")</f>
        <v/>
      </c>
      <c r="D1303" s="104">
        <f>IFERROR(IF(DIVIDENDOS[[#This Row],[Data Pagamento]]="","",DIVIDENDOS[[#This Row],[Data Pagamento]]),"")</f>
        <v/>
      </c>
      <c r="F1303" s="106" t="n"/>
    </row>
    <row r="1304">
      <c r="A1304" s="101">
        <f>YEAR(DIVIDENDOS[[#This Row],[Data Pagamento]])</f>
        <v/>
      </c>
      <c r="C1304" s="103">
        <f>IFERROR(IF(DIVIDENDOS[[#This Row],[Data Pagamento]]="","",EOMONTH(B1304,0)),"")</f>
        <v/>
      </c>
      <c r="D1304" s="104">
        <f>IFERROR(IF(DIVIDENDOS[[#This Row],[Data Pagamento]]="","",DIVIDENDOS[[#This Row],[Data Pagamento]]),"")</f>
        <v/>
      </c>
      <c r="F1304" s="106" t="n"/>
    </row>
    <row r="1305">
      <c r="A1305" s="101">
        <f>YEAR(DIVIDENDOS[[#This Row],[Data Pagamento]])</f>
        <v/>
      </c>
      <c r="C1305" s="103">
        <f>IFERROR(IF(DIVIDENDOS[[#This Row],[Data Pagamento]]="","",EOMONTH(B1305,0)),"")</f>
        <v/>
      </c>
      <c r="D1305" s="104">
        <f>IFERROR(IF(DIVIDENDOS[[#This Row],[Data Pagamento]]="","",DIVIDENDOS[[#This Row],[Data Pagamento]]),"")</f>
        <v/>
      </c>
      <c r="F1305" s="106" t="n"/>
    </row>
    <row r="1306">
      <c r="A1306" s="101">
        <f>YEAR(DIVIDENDOS[[#This Row],[Data Pagamento]])</f>
        <v/>
      </c>
      <c r="C1306" s="103">
        <f>IFERROR(IF(DIVIDENDOS[[#This Row],[Data Pagamento]]="","",EOMONTH(B1306,0)),"")</f>
        <v/>
      </c>
      <c r="D1306" s="104">
        <f>IFERROR(IF(DIVIDENDOS[[#This Row],[Data Pagamento]]="","",DIVIDENDOS[[#This Row],[Data Pagamento]]),"")</f>
        <v/>
      </c>
      <c r="F1306" s="106" t="n"/>
    </row>
    <row r="1307">
      <c r="A1307" s="101">
        <f>YEAR(DIVIDENDOS[[#This Row],[Data Pagamento]])</f>
        <v/>
      </c>
      <c r="C1307" s="103">
        <f>IFERROR(IF(DIVIDENDOS[[#This Row],[Data Pagamento]]="","",EOMONTH(B1307,0)),"")</f>
        <v/>
      </c>
      <c r="D1307" s="104">
        <f>IFERROR(IF(DIVIDENDOS[[#This Row],[Data Pagamento]]="","",DIVIDENDOS[[#This Row],[Data Pagamento]]),"")</f>
        <v/>
      </c>
      <c r="F1307" s="106" t="n"/>
    </row>
    <row r="1308">
      <c r="A1308" s="101">
        <f>YEAR(DIVIDENDOS[[#This Row],[Data Pagamento]])</f>
        <v/>
      </c>
      <c r="C1308" s="103">
        <f>IFERROR(IF(DIVIDENDOS[[#This Row],[Data Pagamento]]="","",EOMONTH(B1308,0)),"")</f>
        <v/>
      </c>
      <c r="D1308" s="104">
        <f>IFERROR(IF(DIVIDENDOS[[#This Row],[Data Pagamento]]="","",DIVIDENDOS[[#This Row],[Data Pagamento]]),"")</f>
        <v/>
      </c>
      <c r="F1308" s="106" t="n"/>
    </row>
    <row r="1309">
      <c r="A1309" s="101">
        <f>YEAR(DIVIDENDOS[[#This Row],[Data Pagamento]])</f>
        <v/>
      </c>
      <c r="C1309" s="103">
        <f>IFERROR(IF(DIVIDENDOS[[#This Row],[Data Pagamento]]="","",EOMONTH(B1309,0)),"")</f>
        <v/>
      </c>
      <c r="D1309" s="104">
        <f>IFERROR(IF(DIVIDENDOS[[#This Row],[Data Pagamento]]="","",DIVIDENDOS[[#This Row],[Data Pagamento]]),"")</f>
        <v/>
      </c>
      <c r="F1309" s="106" t="n"/>
    </row>
    <row r="1310">
      <c r="A1310" s="101">
        <f>YEAR(DIVIDENDOS[[#This Row],[Data Pagamento]])</f>
        <v/>
      </c>
      <c r="C1310" s="103">
        <f>IFERROR(IF(DIVIDENDOS[[#This Row],[Data Pagamento]]="","",EOMONTH(B1310,0)),"")</f>
        <v/>
      </c>
      <c r="D1310" s="104">
        <f>IFERROR(IF(DIVIDENDOS[[#This Row],[Data Pagamento]]="","",DIVIDENDOS[[#This Row],[Data Pagamento]]),"")</f>
        <v/>
      </c>
      <c r="F1310" s="106" t="n"/>
    </row>
    <row r="1311">
      <c r="A1311" s="101">
        <f>YEAR(DIVIDENDOS[[#This Row],[Data Pagamento]])</f>
        <v/>
      </c>
      <c r="C1311" s="103">
        <f>IFERROR(IF(DIVIDENDOS[[#This Row],[Data Pagamento]]="","",EOMONTH(B1311,0)),"")</f>
        <v/>
      </c>
      <c r="D1311" s="104">
        <f>IFERROR(IF(DIVIDENDOS[[#This Row],[Data Pagamento]]="","",DIVIDENDOS[[#This Row],[Data Pagamento]]),"")</f>
        <v/>
      </c>
      <c r="F1311" s="106" t="n"/>
    </row>
    <row r="1312">
      <c r="A1312" s="101">
        <f>YEAR(DIVIDENDOS[[#This Row],[Data Pagamento]])</f>
        <v/>
      </c>
      <c r="C1312" s="103">
        <f>IFERROR(IF(DIVIDENDOS[[#This Row],[Data Pagamento]]="","",EOMONTH(B1312,0)),"")</f>
        <v/>
      </c>
      <c r="D1312" s="104">
        <f>IFERROR(IF(DIVIDENDOS[[#This Row],[Data Pagamento]]="","",DIVIDENDOS[[#This Row],[Data Pagamento]]),"")</f>
        <v/>
      </c>
      <c r="F1312" s="106" t="n"/>
    </row>
    <row r="1313">
      <c r="A1313" s="101">
        <f>YEAR(DIVIDENDOS[[#This Row],[Data Pagamento]])</f>
        <v/>
      </c>
      <c r="C1313" s="103">
        <f>IFERROR(IF(DIVIDENDOS[[#This Row],[Data Pagamento]]="","",EOMONTH(B1313,0)),"")</f>
        <v/>
      </c>
      <c r="D1313" s="104">
        <f>IFERROR(IF(DIVIDENDOS[[#This Row],[Data Pagamento]]="","",DIVIDENDOS[[#This Row],[Data Pagamento]]),"")</f>
        <v/>
      </c>
      <c r="F1313" s="106" t="n"/>
    </row>
    <row r="1314">
      <c r="A1314" s="101">
        <f>YEAR(DIVIDENDOS[[#This Row],[Data Pagamento]])</f>
        <v/>
      </c>
      <c r="C1314" s="103">
        <f>IFERROR(IF(DIVIDENDOS[[#This Row],[Data Pagamento]]="","",EOMONTH(B1314,0)),"")</f>
        <v/>
      </c>
      <c r="D1314" s="104">
        <f>IFERROR(IF(DIVIDENDOS[[#This Row],[Data Pagamento]]="","",DIVIDENDOS[[#This Row],[Data Pagamento]]),"")</f>
        <v/>
      </c>
      <c r="F1314" s="106" t="n"/>
    </row>
    <row r="1315">
      <c r="A1315" s="101">
        <f>YEAR(DIVIDENDOS[[#This Row],[Data Pagamento]])</f>
        <v/>
      </c>
      <c r="C1315" s="103">
        <f>IFERROR(IF(DIVIDENDOS[[#This Row],[Data Pagamento]]="","",EOMONTH(B1315,0)),"")</f>
        <v/>
      </c>
      <c r="D1315" s="104">
        <f>IFERROR(IF(DIVIDENDOS[[#This Row],[Data Pagamento]]="","",DIVIDENDOS[[#This Row],[Data Pagamento]]),"")</f>
        <v/>
      </c>
      <c r="F1315" s="106" t="n"/>
    </row>
    <row r="1316">
      <c r="A1316" s="101">
        <f>YEAR(DIVIDENDOS[[#This Row],[Data Pagamento]])</f>
        <v/>
      </c>
      <c r="C1316" s="103">
        <f>IFERROR(IF(DIVIDENDOS[[#This Row],[Data Pagamento]]="","",EOMONTH(B1316,0)),"")</f>
        <v/>
      </c>
      <c r="D1316" s="104">
        <f>IFERROR(IF(DIVIDENDOS[[#This Row],[Data Pagamento]]="","",DIVIDENDOS[[#This Row],[Data Pagamento]]),"")</f>
        <v/>
      </c>
      <c r="F1316" s="106" t="n"/>
    </row>
    <row r="1317">
      <c r="A1317" s="101">
        <f>YEAR(DIVIDENDOS[[#This Row],[Data Pagamento]])</f>
        <v/>
      </c>
      <c r="C1317" s="103">
        <f>IFERROR(IF(DIVIDENDOS[[#This Row],[Data Pagamento]]="","",EOMONTH(B1317,0)),"")</f>
        <v/>
      </c>
      <c r="D1317" s="104">
        <f>IFERROR(IF(DIVIDENDOS[[#This Row],[Data Pagamento]]="","",DIVIDENDOS[[#This Row],[Data Pagamento]]),"")</f>
        <v/>
      </c>
      <c r="F1317" s="106" t="n"/>
    </row>
    <row r="1318">
      <c r="A1318" s="101">
        <f>YEAR(DIVIDENDOS[[#This Row],[Data Pagamento]])</f>
        <v/>
      </c>
      <c r="C1318" s="103">
        <f>IFERROR(IF(DIVIDENDOS[[#This Row],[Data Pagamento]]="","",EOMONTH(B1318,0)),"")</f>
        <v/>
      </c>
      <c r="D1318" s="104">
        <f>IFERROR(IF(DIVIDENDOS[[#This Row],[Data Pagamento]]="","",DIVIDENDOS[[#This Row],[Data Pagamento]]),"")</f>
        <v/>
      </c>
      <c r="F1318" s="106" t="n"/>
    </row>
    <row r="1319">
      <c r="A1319" s="101">
        <f>YEAR(DIVIDENDOS[[#This Row],[Data Pagamento]])</f>
        <v/>
      </c>
      <c r="C1319" s="103">
        <f>IFERROR(IF(DIVIDENDOS[[#This Row],[Data Pagamento]]="","",EOMONTH(B1319,0)),"")</f>
        <v/>
      </c>
      <c r="D1319" s="104">
        <f>IFERROR(IF(DIVIDENDOS[[#This Row],[Data Pagamento]]="","",DIVIDENDOS[[#This Row],[Data Pagamento]]),"")</f>
        <v/>
      </c>
      <c r="F1319" s="106" t="n"/>
    </row>
    <row r="1320">
      <c r="A1320" s="101">
        <f>YEAR(DIVIDENDOS[[#This Row],[Data Pagamento]])</f>
        <v/>
      </c>
      <c r="C1320" s="103">
        <f>IFERROR(IF(DIVIDENDOS[[#This Row],[Data Pagamento]]="","",EOMONTH(B1320,0)),"")</f>
        <v/>
      </c>
      <c r="D1320" s="104">
        <f>IFERROR(IF(DIVIDENDOS[[#This Row],[Data Pagamento]]="","",DIVIDENDOS[[#This Row],[Data Pagamento]]),"")</f>
        <v/>
      </c>
      <c r="F1320" s="106" t="n"/>
    </row>
    <row r="1321">
      <c r="A1321" s="101">
        <f>YEAR(DIVIDENDOS[[#This Row],[Data Pagamento]])</f>
        <v/>
      </c>
      <c r="C1321" s="103">
        <f>IFERROR(IF(DIVIDENDOS[[#This Row],[Data Pagamento]]="","",EOMONTH(B1321,0)),"")</f>
        <v/>
      </c>
      <c r="D1321" s="104">
        <f>IFERROR(IF(DIVIDENDOS[[#This Row],[Data Pagamento]]="","",DIVIDENDOS[[#This Row],[Data Pagamento]]),"")</f>
        <v/>
      </c>
      <c r="F1321" s="106" t="n"/>
    </row>
    <row r="1322">
      <c r="A1322" s="101">
        <f>YEAR(DIVIDENDOS[[#This Row],[Data Pagamento]])</f>
        <v/>
      </c>
      <c r="C1322" s="103">
        <f>IFERROR(IF(DIVIDENDOS[[#This Row],[Data Pagamento]]="","",EOMONTH(B1322,0)),"")</f>
        <v/>
      </c>
      <c r="D1322" s="104">
        <f>IFERROR(IF(DIVIDENDOS[[#This Row],[Data Pagamento]]="","",DIVIDENDOS[[#This Row],[Data Pagamento]]),"")</f>
        <v/>
      </c>
      <c r="F1322" s="106" t="n"/>
    </row>
    <row r="1323">
      <c r="A1323" s="101">
        <f>YEAR(DIVIDENDOS[[#This Row],[Data Pagamento]])</f>
        <v/>
      </c>
      <c r="C1323" s="103">
        <f>IFERROR(IF(DIVIDENDOS[[#This Row],[Data Pagamento]]="","",EOMONTH(B1323,0)),"")</f>
        <v/>
      </c>
      <c r="D1323" s="104">
        <f>IFERROR(IF(DIVIDENDOS[[#This Row],[Data Pagamento]]="","",DIVIDENDOS[[#This Row],[Data Pagamento]]),"")</f>
        <v/>
      </c>
      <c r="F1323" s="106" t="n"/>
    </row>
    <row r="1324">
      <c r="A1324" s="101">
        <f>YEAR(DIVIDENDOS[[#This Row],[Data Pagamento]])</f>
        <v/>
      </c>
      <c r="C1324" s="103">
        <f>IFERROR(IF(DIVIDENDOS[[#This Row],[Data Pagamento]]="","",EOMONTH(B1324,0)),"")</f>
        <v/>
      </c>
      <c r="D1324" s="104">
        <f>IFERROR(IF(DIVIDENDOS[[#This Row],[Data Pagamento]]="","",DIVIDENDOS[[#This Row],[Data Pagamento]]),"")</f>
        <v/>
      </c>
      <c r="F1324" s="106" t="n"/>
    </row>
    <row r="1325">
      <c r="A1325" s="101">
        <f>YEAR(DIVIDENDOS[[#This Row],[Data Pagamento]])</f>
        <v/>
      </c>
      <c r="C1325" s="103">
        <f>IFERROR(IF(DIVIDENDOS[[#This Row],[Data Pagamento]]="","",EOMONTH(B1325,0)),"")</f>
        <v/>
      </c>
      <c r="D1325" s="104">
        <f>IFERROR(IF(DIVIDENDOS[[#This Row],[Data Pagamento]]="","",DIVIDENDOS[[#This Row],[Data Pagamento]]),"")</f>
        <v/>
      </c>
      <c r="F1325" s="106" t="n"/>
    </row>
    <row r="1326">
      <c r="A1326" s="101">
        <f>YEAR(DIVIDENDOS[[#This Row],[Data Pagamento]])</f>
        <v/>
      </c>
      <c r="C1326" s="103">
        <f>IFERROR(IF(DIVIDENDOS[[#This Row],[Data Pagamento]]="","",EOMONTH(B1326,0)),"")</f>
        <v/>
      </c>
      <c r="D1326" s="104">
        <f>IFERROR(IF(DIVIDENDOS[[#This Row],[Data Pagamento]]="","",DIVIDENDOS[[#This Row],[Data Pagamento]]),"")</f>
        <v/>
      </c>
      <c r="F1326" s="106" t="n"/>
    </row>
    <row r="1327">
      <c r="A1327" s="101">
        <f>YEAR(DIVIDENDOS[[#This Row],[Data Pagamento]])</f>
        <v/>
      </c>
      <c r="C1327" s="103">
        <f>IFERROR(IF(DIVIDENDOS[[#This Row],[Data Pagamento]]="","",EOMONTH(B1327,0)),"")</f>
        <v/>
      </c>
      <c r="D1327" s="104">
        <f>IFERROR(IF(DIVIDENDOS[[#This Row],[Data Pagamento]]="","",DIVIDENDOS[[#This Row],[Data Pagamento]]),"")</f>
        <v/>
      </c>
      <c r="F1327" s="106" t="n"/>
    </row>
    <row r="1328">
      <c r="A1328" s="101">
        <f>YEAR(DIVIDENDOS[[#This Row],[Data Pagamento]])</f>
        <v/>
      </c>
      <c r="C1328" s="103">
        <f>IFERROR(IF(DIVIDENDOS[[#This Row],[Data Pagamento]]="","",EOMONTH(B1328,0)),"")</f>
        <v/>
      </c>
      <c r="D1328" s="104">
        <f>IFERROR(IF(DIVIDENDOS[[#This Row],[Data Pagamento]]="","",DIVIDENDOS[[#This Row],[Data Pagamento]]),"")</f>
        <v/>
      </c>
      <c r="F1328" s="106" t="n"/>
    </row>
    <row r="1329">
      <c r="A1329" s="101">
        <f>YEAR(DIVIDENDOS[[#This Row],[Data Pagamento]])</f>
        <v/>
      </c>
      <c r="C1329" s="103">
        <f>IFERROR(IF(DIVIDENDOS[[#This Row],[Data Pagamento]]="","",EOMONTH(B1329,0)),"")</f>
        <v/>
      </c>
      <c r="D1329" s="104">
        <f>IFERROR(IF(DIVIDENDOS[[#This Row],[Data Pagamento]]="","",DIVIDENDOS[[#This Row],[Data Pagamento]]),"")</f>
        <v/>
      </c>
      <c r="F1329" s="106" t="n"/>
    </row>
    <row r="1330">
      <c r="A1330" s="101">
        <f>YEAR(DIVIDENDOS[[#This Row],[Data Pagamento]])</f>
        <v/>
      </c>
      <c r="C1330" s="103">
        <f>IFERROR(IF(DIVIDENDOS[[#This Row],[Data Pagamento]]="","",EOMONTH(B1330,0)),"")</f>
        <v/>
      </c>
      <c r="D1330" s="104">
        <f>IFERROR(IF(DIVIDENDOS[[#This Row],[Data Pagamento]]="","",DIVIDENDOS[[#This Row],[Data Pagamento]]),"")</f>
        <v/>
      </c>
      <c r="F1330" s="106" t="n"/>
    </row>
    <row r="1331">
      <c r="A1331" s="101">
        <f>YEAR(DIVIDENDOS[[#This Row],[Data Pagamento]])</f>
        <v/>
      </c>
      <c r="C1331" s="103">
        <f>IFERROR(IF(DIVIDENDOS[[#This Row],[Data Pagamento]]="","",EOMONTH(B1331,0)),"")</f>
        <v/>
      </c>
      <c r="D1331" s="104">
        <f>IFERROR(IF(DIVIDENDOS[[#This Row],[Data Pagamento]]="","",DIVIDENDOS[[#This Row],[Data Pagamento]]),"")</f>
        <v/>
      </c>
      <c r="F1331" s="106" t="n"/>
    </row>
    <row r="1332">
      <c r="A1332" s="101">
        <f>YEAR(DIVIDENDOS[[#This Row],[Data Pagamento]])</f>
        <v/>
      </c>
      <c r="C1332" s="103">
        <f>IFERROR(IF(DIVIDENDOS[[#This Row],[Data Pagamento]]="","",EOMONTH(B1332,0)),"")</f>
        <v/>
      </c>
      <c r="D1332" s="104">
        <f>IFERROR(IF(DIVIDENDOS[[#This Row],[Data Pagamento]]="","",DIVIDENDOS[[#This Row],[Data Pagamento]]),"")</f>
        <v/>
      </c>
      <c r="F1332" s="106" t="n"/>
    </row>
    <row r="1333">
      <c r="A1333" s="101">
        <f>YEAR(DIVIDENDOS[[#This Row],[Data Pagamento]])</f>
        <v/>
      </c>
      <c r="C1333" s="103">
        <f>IFERROR(IF(DIVIDENDOS[[#This Row],[Data Pagamento]]="","",EOMONTH(B1333,0)),"")</f>
        <v/>
      </c>
      <c r="D1333" s="104">
        <f>IFERROR(IF(DIVIDENDOS[[#This Row],[Data Pagamento]]="","",DIVIDENDOS[[#This Row],[Data Pagamento]]),"")</f>
        <v/>
      </c>
      <c r="F1333" s="106" t="n"/>
    </row>
    <row r="1334">
      <c r="A1334" s="101">
        <f>YEAR(DIVIDENDOS[[#This Row],[Data Pagamento]])</f>
        <v/>
      </c>
      <c r="C1334" s="103">
        <f>IFERROR(IF(DIVIDENDOS[[#This Row],[Data Pagamento]]="","",EOMONTH(B1334,0)),"")</f>
        <v/>
      </c>
      <c r="D1334" s="104">
        <f>IFERROR(IF(DIVIDENDOS[[#This Row],[Data Pagamento]]="","",DIVIDENDOS[[#This Row],[Data Pagamento]]),"")</f>
        <v/>
      </c>
      <c r="F1334" s="106" t="n"/>
    </row>
    <row r="1335">
      <c r="A1335" s="101">
        <f>YEAR(DIVIDENDOS[[#This Row],[Data Pagamento]])</f>
        <v/>
      </c>
      <c r="C1335" s="103">
        <f>IFERROR(IF(DIVIDENDOS[[#This Row],[Data Pagamento]]="","",EOMONTH(B1335,0)),"")</f>
        <v/>
      </c>
      <c r="D1335" s="104">
        <f>IFERROR(IF(DIVIDENDOS[[#This Row],[Data Pagamento]]="","",DIVIDENDOS[[#This Row],[Data Pagamento]]),"")</f>
        <v/>
      </c>
      <c r="F1335" s="106" t="n"/>
    </row>
    <row r="1336">
      <c r="A1336" s="101">
        <f>YEAR(DIVIDENDOS[[#This Row],[Data Pagamento]])</f>
        <v/>
      </c>
      <c r="C1336" s="103">
        <f>IFERROR(IF(DIVIDENDOS[[#This Row],[Data Pagamento]]="","",EOMONTH(B1336,0)),"")</f>
        <v/>
      </c>
      <c r="D1336" s="104">
        <f>IFERROR(IF(DIVIDENDOS[[#This Row],[Data Pagamento]]="","",DIVIDENDOS[[#This Row],[Data Pagamento]]),"")</f>
        <v/>
      </c>
      <c r="F1336" s="106" t="n"/>
    </row>
    <row r="1337">
      <c r="A1337" s="101">
        <f>YEAR(DIVIDENDOS[[#This Row],[Data Pagamento]])</f>
        <v/>
      </c>
      <c r="C1337" s="103">
        <f>IFERROR(IF(DIVIDENDOS[[#This Row],[Data Pagamento]]="","",EOMONTH(B1337,0)),"")</f>
        <v/>
      </c>
      <c r="D1337" s="104">
        <f>IFERROR(IF(DIVIDENDOS[[#This Row],[Data Pagamento]]="","",DIVIDENDOS[[#This Row],[Data Pagamento]]),"")</f>
        <v/>
      </c>
      <c r="F1337" s="106" t="n"/>
    </row>
    <row r="1338">
      <c r="A1338" s="101">
        <f>YEAR(DIVIDENDOS[[#This Row],[Data Pagamento]])</f>
        <v/>
      </c>
      <c r="C1338" s="103">
        <f>IFERROR(IF(DIVIDENDOS[[#This Row],[Data Pagamento]]="","",EOMONTH(B1338,0)),"")</f>
        <v/>
      </c>
      <c r="D1338" s="104">
        <f>IFERROR(IF(DIVIDENDOS[[#This Row],[Data Pagamento]]="","",DIVIDENDOS[[#This Row],[Data Pagamento]]),"")</f>
        <v/>
      </c>
      <c r="F1338" s="106" t="n"/>
    </row>
    <row r="1339">
      <c r="A1339" s="101">
        <f>YEAR(DIVIDENDOS[[#This Row],[Data Pagamento]])</f>
        <v/>
      </c>
      <c r="C1339" s="103">
        <f>IFERROR(IF(DIVIDENDOS[[#This Row],[Data Pagamento]]="","",EOMONTH(B1339,0)),"")</f>
        <v/>
      </c>
      <c r="D1339" s="104">
        <f>IFERROR(IF(DIVIDENDOS[[#This Row],[Data Pagamento]]="","",DIVIDENDOS[[#This Row],[Data Pagamento]]),"")</f>
        <v/>
      </c>
      <c r="F1339" s="106" t="n"/>
    </row>
    <row r="1340">
      <c r="A1340" s="101">
        <f>YEAR(DIVIDENDOS[[#This Row],[Data Pagamento]])</f>
        <v/>
      </c>
      <c r="C1340" s="103">
        <f>IFERROR(IF(DIVIDENDOS[[#This Row],[Data Pagamento]]="","",EOMONTH(B1340,0)),"")</f>
        <v/>
      </c>
      <c r="D1340" s="104">
        <f>IFERROR(IF(DIVIDENDOS[[#This Row],[Data Pagamento]]="","",DIVIDENDOS[[#This Row],[Data Pagamento]]),"")</f>
        <v/>
      </c>
      <c r="F1340" s="106" t="n"/>
    </row>
    <row r="1341">
      <c r="A1341" s="101">
        <f>YEAR(DIVIDENDOS[[#This Row],[Data Pagamento]])</f>
        <v/>
      </c>
      <c r="C1341" s="103">
        <f>IFERROR(IF(DIVIDENDOS[[#This Row],[Data Pagamento]]="","",EOMONTH(B1341,0)),"")</f>
        <v/>
      </c>
      <c r="D1341" s="104">
        <f>IFERROR(IF(DIVIDENDOS[[#This Row],[Data Pagamento]]="","",DIVIDENDOS[[#This Row],[Data Pagamento]]),"")</f>
        <v/>
      </c>
      <c r="F1341" s="106" t="n"/>
    </row>
    <row r="1342">
      <c r="A1342" s="101">
        <f>YEAR(DIVIDENDOS[[#This Row],[Data Pagamento]])</f>
        <v/>
      </c>
      <c r="C1342" s="103">
        <f>IFERROR(IF(DIVIDENDOS[[#This Row],[Data Pagamento]]="","",EOMONTH(B1342,0)),"")</f>
        <v/>
      </c>
      <c r="D1342" s="104">
        <f>IFERROR(IF(DIVIDENDOS[[#This Row],[Data Pagamento]]="","",DIVIDENDOS[[#This Row],[Data Pagamento]]),"")</f>
        <v/>
      </c>
      <c r="F1342" s="106" t="n"/>
    </row>
    <row r="1343">
      <c r="A1343" s="101">
        <f>YEAR(DIVIDENDOS[[#This Row],[Data Pagamento]])</f>
        <v/>
      </c>
      <c r="C1343" s="103">
        <f>IFERROR(IF(DIVIDENDOS[[#This Row],[Data Pagamento]]="","",EOMONTH(B1343,0)),"")</f>
        <v/>
      </c>
      <c r="D1343" s="104">
        <f>IFERROR(IF(DIVIDENDOS[[#This Row],[Data Pagamento]]="","",DIVIDENDOS[[#This Row],[Data Pagamento]]),"")</f>
        <v/>
      </c>
      <c r="F1343" s="106" t="n"/>
    </row>
    <row r="1344">
      <c r="A1344" s="101">
        <f>YEAR(DIVIDENDOS[[#This Row],[Data Pagamento]])</f>
        <v/>
      </c>
      <c r="C1344" s="103">
        <f>IFERROR(IF(DIVIDENDOS[[#This Row],[Data Pagamento]]="","",EOMONTH(B1344,0)),"")</f>
        <v/>
      </c>
      <c r="D1344" s="104">
        <f>IFERROR(IF(DIVIDENDOS[[#This Row],[Data Pagamento]]="","",DIVIDENDOS[[#This Row],[Data Pagamento]]),"")</f>
        <v/>
      </c>
      <c r="F1344" s="106" t="n"/>
    </row>
    <row r="1345">
      <c r="A1345" s="101">
        <f>YEAR(DIVIDENDOS[[#This Row],[Data Pagamento]])</f>
        <v/>
      </c>
      <c r="C1345" s="103">
        <f>IFERROR(IF(DIVIDENDOS[[#This Row],[Data Pagamento]]="","",EOMONTH(B1345,0)),"")</f>
        <v/>
      </c>
      <c r="D1345" s="104">
        <f>IFERROR(IF(DIVIDENDOS[[#This Row],[Data Pagamento]]="","",DIVIDENDOS[[#This Row],[Data Pagamento]]),"")</f>
        <v/>
      </c>
      <c r="F1345" s="106" t="n"/>
    </row>
    <row r="1346">
      <c r="A1346" s="101">
        <f>YEAR(DIVIDENDOS[[#This Row],[Data Pagamento]])</f>
        <v/>
      </c>
      <c r="C1346" s="103">
        <f>IFERROR(IF(DIVIDENDOS[[#This Row],[Data Pagamento]]="","",EOMONTH(B1346,0)),"")</f>
        <v/>
      </c>
      <c r="D1346" s="104">
        <f>IFERROR(IF(DIVIDENDOS[[#This Row],[Data Pagamento]]="","",DIVIDENDOS[[#This Row],[Data Pagamento]]),"")</f>
        <v/>
      </c>
      <c r="F1346" s="106" t="n"/>
    </row>
    <row r="1347">
      <c r="A1347" s="101">
        <f>YEAR(DIVIDENDOS[[#This Row],[Data Pagamento]])</f>
        <v/>
      </c>
      <c r="C1347" s="103">
        <f>IFERROR(IF(DIVIDENDOS[[#This Row],[Data Pagamento]]="","",EOMONTH(B1347,0)),"")</f>
        <v/>
      </c>
      <c r="D1347" s="104">
        <f>IFERROR(IF(DIVIDENDOS[[#This Row],[Data Pagamento]]="","",DIVIDENDOS[[#This Row],[Data Pagamento]]),"")</f>
        <v/>
      </c>
      <c r="F1347" s="106" t="n"/>
    </row>
    <row r="1348">
      <c r="A1348" s="101">
        <f>YEAR(DIVIDENDOS[[#This Row],[Data Pagamento]])</f>
        <v/>
      </c>
      <c r="C1348" s="103">
        <f>IFERROR(IF(DIVIDENDOS[[#This Row],[Data Pagamento]]="","",EOMONTH(B1348,0)),"")</f>
        <v/>
      </c>
      <c r="D1348" s="104">
        <f>IFERROR(IF(DIVIDENDOS[[#This Row],[Data Pagamento]]="","",DIVIDENDOS[[#This Row],[Data Pagamento]]),"")</f>
        <v/>
      </c>
      <c r="F1348" s="106" t="n"/>
    </row>
    <row r="1349">
      <c r="A1349" s="101">
        <f>YEAR(DIVIDENDOS[[#This Row],[Data Pagamento]])</f>
        <v/>
      </c>
      <c r="C1349" s="103">
        <f>IFERROR(IF(DIVIDENDOS[[#This Row],[Data Pagamento]]="","",EOMONTH(B1349,0)),"")</f>
        <v/>
      </c>
      <c r="D1349" s="104">
        <f>IFERROR(IF(DIVIDENDOS[[#This Row],[Data Pagamento]]="","",DIVIDENDOS[[#This Row],[Data Pagamento]]),"")</f>
        <v/>
      </c>
      <c r="F1349" s="106" t="n"/>
    </row>
    <row r="1350">
      <c r="A1350" s="101">
        <f>YEAR(DIVIDENDOS[[#This Row],[Data Pagamento]])</f>
        <v/>
      </c>
      <c r="C1350" s="103">
        <f>IFERROR(IF(DIVIDENDOS[[#This Row],[Data Pagamento]]="","",EOMONTH(B1350,0)),"")</f>
        <v/>
      </c>
      <c r="D1350" s="104">
        <f>IFERROR(IF(DIVIDENDOS[[#This Row],[Data Pagamento]]="","",DIVIDENDOS[[#This Row],[Data Pagamento]]),"")</f>
        <v/>
      </c>
      <c r="F1350" s="106" t="n"/>
    </row>
    <row r="1351">
      <c r="A1351" s="101">
        <f>YEAR(DIVIDENDOS[[#This Row],[Data Pagamento]])</f>
        <v/>
      </c>
      <c r="C1351" s="103">
        <f>IFERROR(IF(DIVIDENDOS[[#This Row],[Data Pagamento]]="","",EOMONTH(B1351,0)),"")</f>
        <v/>
      </c>
      <c r="D1351" s="104">
        <f>IFERROR(IF(DIVIDENDOS[[#This Row],[Data Pagamento]]="","",DIVIDENDOS[[#This Row],[Data Pagamento]]),"")</f>
        <v/>
      </c>
      <c r="F1351" s="106" t="n"/>
    </row>
    <row r="1352">
      <c r="A1352" s="101">
        <f>YEAR(DIVIDENDOS[[#This Row],[Data Pagamento]])</f>
        <v/>
      </c>
      <c r="C1352" s="103">
        <f>IFERROR(IF(DIVIDENDOS[[#This Row],[Data Pagamento]]="","",EOMONTH(B1352,0)),"")</f>
        <v/>
      </c>
      <c r="D1352" s="104">
        <f>IFERROR(IF(DIVIDENDOS[[#This Row],[Data Pagamento]]="","",DIVIDENDOS[[#This Row],[Data Pagamento]]),"")</f>
        <v/>
      </c>
      <c r="F1352" s="106" t="n"/>
    </row>
    <row r="1353">
      <c r="A1353" s="101">
        <f>YEAR(DIVIDENDOS[[#This Row],[Data Pagamento]])</f>
        <v/>
      </c>
      <c r="C1353" s="103">
        <f>IFERROR(IF(DIVIDENDOS[[#This Row],[Data Pagamento]]="","",EOMONTH(B1353,0)),"")</f>
        <v/>
      </c>
      <c r="D1353" s="104">
        <f>IFERROR(IF(DIVIDENDOS[[#This Row],[Data Pagamento]]="","",DIVIDENDOS[[#This Row],[Data Pagamento]]),"")</f>
        <v/>
      </c>
      <c r="F1353" s="106" t="n"/>
    </row>
    <row r="1354">
      <c r="A1354" s="101">
        <f>YEAR(DIVIDENDOS[[#This Row],[Data Pagamento]])</f>
        <v/>
      </c>
      <c r="C1354" s="103">
        <f>IFERROR(IF(DIVIDENDOS[[#This Row],[Data Pagamento]]="","",EOMONTH(B1354,0)),"")</f>
        <v/>
      </c>
      <c r="D1354" s="104">
        <f>IFERROR(IF(DIVIDENDOS[[#This Row],[Data Pagamento]]="","",DIVIDENDOS[[#This Row],[Data Pagamento]]),"")</f>
        <v/>
      </c>
      <c r="F1354" s="106" t="n"/>
    </row>
    <row r="1355">
      <c r="A1355" s="101">
        <f>YEAR(DIVIDENDOS[[#This Row],[Data Pagamento]])</f>
        <v/>
      </c>
      <c r="C1355" s="103">
        <f>IFERROR(IF(DIVIDENDOS[[#This Row],[Data Pagamento]]="","",EOMONTH(B1355,0)),"")</f>
        <v/>
      </c>
      <c r="D1355" s="104">
        <f>IFERROR(IF(DIVIDENDOS[[#This Row],[Data Pagamento]]="","",DIVIDENDOS[[#This Row],[Data Pagamento]]),"")</f>
        <v/>
      </c>
      <c r="F1355" s="106" t="n"/>
    </row>
    <row r="1356">
      <c r="A1356" s="101">
        <f>YEAR(DIVIDENDOS[[#This Row],[Data Pagamento]])</f>
        <v/>
      </c>
      <c r="C1356" s="103">
        <f>IFERROR(IF(DIVIDENDOS[[#This Row],[Data Pagamento]]="","",EOMONTH(B1356,0)),"")</f>
        <v/>
      </c>
      <c r="D1356" s="104">
        <f>IFERROR(IF(DIVIDENDOS[[#This Row],[Data Pagamento]]="","",DIVIDENDOS[[#This Row],[Data Pagamento]]),"")</f>
        <v/>
      </c>
      <c r="F1356" s="106" t="n"/>
    </row>
    <row r="1357">
      <c r="A1357" s="101">
        <f>YEAR(DIVIDENDOS[[#This Row],[Data Pagamento]])</f>
        <v/>
      </c>
      <c r="C1357" s="103">
        <f>IFERROR(IF(DIVIDENDOS[[#This Row],[Data Pagamento]]="","",EOMONTH(B1357,0)),"")</f>
        <v/>
      </c>
      <c r="D1357" s="104">
        <f>IFERROR(IF(DIVIDENDOS[[#This Row],[Data Pagamento]]="","",DIVIDENDOS[[#This Row],[Data Pagamento]]),"")</f>
        <v/>
      </c>
      <c r="F1357" s="106" t="n"/>
    </row>
    <row r="1358">
      <c r="A1358" s="101">
        <f>YEAR(DIVIDENDOS[[#This Row],[Data Pagamento]])</f>
        <v/>
      </c>
      <c r="C1358" s="103">
        <f>IFERROR(IF(DIVIDENDOS[[#This Row],[Data Pagamento]]="","",EOMONTH(B1358,0)),"")</f>
        <v/>
      </c>
      <c r="D1358" s="104">
        <f>IFERROR(IF(DIVIDENDOS[[#This Row],[Data Pagamento]]="","",DIVIDENDOS[[#This Row],[Data Pagamento]]),"")</f>
        <v/>
      </c>
      <c r="F1358" s="106" t="n"/>
    </row>
    <row r="1359">
      <c r="A1359" s="101">
        <f>YEAR(DIVIDENDOS[[#This Row],[Data Pagamento]])</f>
        <v/>
      </c>
      <c r="C1359" s="103">
        <f>IFERROR(IF(DIVIDENDOS[[#This Row],[Data Pagamento]]="","",EOMONTH(B1359,0)),"")</f>
        <v/>
      </c>
      <c r="D1359" s="104">
        <f>IFERROR(IF(DIVIDENDOS[[#This Row],[Data Pagamento]]="","",DIVIDENDOS[[#This Row],[Data Pagamento]]),"")</f>
        <v/>
      </c>
      <c r="F1359" s="106" t="n"/>
    </row>
    <row r="1360">
      <c r="A1360" s="101">
        <f>YEAR(DIVIDENDOS[[#This Row],[Data Pagamento]])</f>
        <v/>
      </c>
      <c r="C1360" s="103">
        <f>IFERROR(IF(DIVIDENDOS[[#This Row],[Data Pagamento]]="","",EOMONTH(B1360,0)),"")</f>
        <v/>
      </c>
      <c r="D1360" s="104">
        <f>IFERROR(IF(DIVIDENDOS[[#This Row],[Data Pagamento]]="","",DIVIDENDOS[[#This Row],[Data Pagamento]]),"")</f>
        <v/>
      </c>
      <c r="F1360" s="106" t="n"/>
    </row>
    <row r="1361">
      <c r="A1361" s="101">
        <f>YEAR(DIVIDENDOS[[#This Row],[Data Pagamento]])</f>
        <v/>
      </c>
      <c r="C1361" s="103">
        <f>IFERROR(IF(DIVIDENDOS[[#This Row],[Data Pagamento]]="","",EOMONTH(B1361,0)),"")</f>
        <v/>
      </c>
      <c r="D1361" s="104">
        <f>IFERROR(IF(DIVIDENDOS[[#This Row],[Data Pagamento]]="","",DIVIDENDOS[[#This Row],[Data Pagamento]]),"")</f>
        <v/>
      </c>
      <c r="F1361" s="106" t="n"/>
    </row>
    <row r="1362">
      <c r="A1362" s="101">
        <f>YEAR(DIVIDENDOS[[#This Row],[Data Pagamento]])</f>
        <v/>
      </c>
      <c r="C1362" s="103">
        <f>IFERROR(IF(DIVIDENDOS[[#This Row],[Data Pagamento]]="","",EOMONTH(B1362,0)),"")</f>
        <v/>
      </c>
      <c r="D1362" s="104">
        <f>IFERROR(IF(DIVIDENDOS[[#This Row],[Data Pagamento]]="","",DIVIDENDOS[[#This Row],[Data Pagamento]]),"")</f>
        <v/>
      </c>
      <c r="F1362" s="106" t="n"/>
    </row>
    <row r="1363">
      <c r="A1363" s="101">
        <f>YEAR(DIVIDENDOS[[#This Row],[Data Pagamento]])</f>
        <v/>
      </c>
      <c r="C1363" s="103">
        <f>IFERROR(IF(DIVIDENDOS[[#This Row],[Data Pagamento]]="","",EOMONTH(B1363,0)),"")</f>
        <v/>
      </c>
      <c r="D1363" s="104">
        <f>IFERROR(IF(DIVIDENDOS[[#This Row],[Data Pagamento]]="","",DIVIDENDOS[[#This Row],[Data Pagamento]]),"")</f>
        <v/>
      </c>
      <c r="F1363" s="106" t="n"/>
    </row>
    <row r="1364">
      <c r="A1364" s="101">
        <f>YEAR(DIVIDENDOS[[#This Row],[Data Pagamento]])</f>
        <v/>
      </c>
      <c r="C1364" s="103">
        <f>IFERROR(IF(DIVIDENDOS[[#This Row],[Data Pagamento]]="","",EOMONTH(B1364,0)),"")</f>
        <v/>
      </c>
      <c r="D1364" s="104">
        <f>IFERROR(IF(DIVIDENDOS[[#This Row],[Data Pagamento]]="","",DIVIDENDOS[[#This Row],[Data Pagamento]]),"")</f>
        <v/>
      </c>
      <c r="F1364" s="106" t="n"/>
    </row>
    <row r="1365">
      <c r="A1365" s="101">
        <f>YEAR(DIVIDENDOS[[#This Row],[Data Pagamento]])</f>
        <v/>
      </c>
      <c r="C1365" s="103">
        <f>IFERROR(IF(DIVIDENDOS[[#This Row],[Data Pagamento]]="","",EOMONTH(B1365,0)),"")</f>
        <v/>
      </c>
      <c r="D1365" s="104">
        <f>IFERROR(IF(DIVIDENDOS[[#This Row],[Data Pagamento]]="","",DIVIDENDOS[[#This Row],[Data Pagamento]]),"")</f>
        <v/>
      </c>
      <c r="F1365" s="106" t="n"/>
    </row>
    <row r="1366">
      <c r="A1366" s="101">
        <f>YEAR(DIVIDENDOS[[#This Row],[Data Pagamento]])</f>
        <v/>
      </c>
      <c r="C1366" s="103">
        <f>IFERROR(IF(DIVIDENDOS[[#This Row],[Data Pagamento]]="","",EOMONTH(B1366,0)),"")</f>
        <v/>
      </c>
      <c r="D1366" s="104">
        <f>IFERROR(IF(DIVIDENDOS[[#This Row],[Data Pagamento]]="","",DIVIDENDOS[[#This Row],[Data Pagamento]]),"")</f>
        <v/>
      </c>
      <c r="F1366" s="106" t="n"/>
    </row>
    <row r="1367">
      <c r="A1367" s="101">
        <f>YEAR(DIVIDENDOS[[#This Row],[Data Pagamento]])</f>
        <v/>
      </c>
      <c r="C1367" s="103">
        <f>IFERROR(IF(DIVIDENDOS[[#This Row],[Data Pagamento]]="","",EOMONTH(B1367,0)),"")</f>
        <v/>
      </c>
      <c r="D1367" s="104">
        <f>IFERROR(IF(DIVIDENDOS[[#This Row],[Data Pagamento]]="","",DIVIDENDOS[[#This Row],[Data Pagamento]]),"")</f>
        <v/>
      </c>
      <c r="F1367" s="106" t="n"/>
    </row>
    <row r="1368">
      <c r="A1368" s="101">
        <f>YEAR(DIVIDENDOS[[#This Row],[Data Pagamento]])</f>
        <v/>
      </c>
      <c r="C1368" s="103">
        <f>IFERROR(IF(DIVIDENDOS[[#This Row],[Data Pagamento]]="","",EOMONTH(B1368,0)),"")</f>
        <v/>
      </c>
      <c r="D1368" s="104">
        <f>IFERROR(IF(DIVIDENDOS[[#This Row],[Data Pagamento]]="","",DIVIDENDOS[[#This Row],[Data Pagamento]]),"")</f>
        <v/>
      </c>
      <c r="F1368" s="106" t="n"/>
    </row>
    <row r="1369">
      <c r="A1369" s="101">
        <f>YEAR(DIVIDENDOS[[#This Row],[Data Pagamento]])</f>
        <v/>
      </c>
      <c r="C1369" s="103">
        <f>IFERROR(IF(DIVIDENDOS[[#This Row],[Data Pagamento]]="","",EOMONTH(B1369,0)),"")</f>
        <v/>
      </c>
      <c r="D1369" s="104">
        <f>IFERROR(IF(DIVIDENDOS[[#This Row],[Data Pagamento]]="","",DIVIDENDOS[[#This Row],[Data Pagamento]]),"")</f>
        <v/>
      </c>
      <c r="F1369" s="106" t="n"/>
    </row>
    <row r="1370">
      <c r="A1370" s="101">
        <f>YEAR(DIVIDENDOS[[#This Row],[Data Pagamento]])</f>
        <v/>
      </c>
      <c r="C1370" s="103">
        <f>IFERROR(IF(DIVIDENDOS[[#This Row],[Data Pagamento]]="","",EOMONTH(B1370,0)),"")</f>
        <v/>
      </c>
      <c r="D1370" s="104">
        <f>IFERROR(IF(DIVIDENDOS[[#This Row],[Data Pagamento]]="","",DIVIDENDOS[[#This Row],[Data Pagamento]]),"")</f>
        <v/>
      </c>
      <c r="F1370" s="106" t="n"/>
    </row>
    <row r="1371">
      <c r="A1371" s="101">
        <f>YEAR(DIVIDENDOS[[#This Row],[Data Pagamento]])</f>
        <v/>
      </c>
      <c r="C1371" s="103">
        <f>IFERROR(IF(DIVIDENDOS[[#This Row],[Data Pagamento]]="","",EOMONTH(B1371,0)),"")</f>
        <v/>
      </c>
      <c r="D1371" s="104">
        <f>IFERROR(IF(DIVIDENDOS[[#This Row],[Data Pagamento]]="","",DIVIDENDOS[[#This Row],[Data Pagamento]]),"")</f>
        <v/>
      </c>
      <c r="F1371" s="106" t="n"/>
    </row>
    <row r="1372">
      <c r="A1372" s="101">
        <f>YEAR(DIVIDENDOS[[#This Row],[Data Pagamento]])</f>
        <v/>
      </c>
      <c r="C1372" s="103">
        <f>IFERROR(IF(DIVIDENDOS[[#This Row],[Data Pagamento]]="","",EOMONTH(B1372,0)),"")</f>
        <v/>
      </c>
      <c r="D1372" s="104">
        <f>IFERROR(IF(DIVIDENDOS[[#This Row],[Data Pagamento]]="","",DIVIDENDOS[[#This Row],[Data Pagamento]]),"")</f>
        <v/>
      </c>
      <c r="F1372" s="106" t="n"/>
    </row>
    <row r="1373">
      <c r="A1373" s="101">
        <f>YEAR(DIVIDENDOS[[#This Row],[Data Pagamento]])</f>
        <v/>
      </c>
      <c r="C1373" s="103">
        <f>IFERROR(IF(DIVIDENDOS[[#This Row],[Data Pagamento]]="","",EOMONTH(B1373,0)),"")</f>
        <v/>
      </c>
      <c r="D1373" s="104">
        <f>IFERROR(IF(DIVIDENDOS[[#This Row],[Data Pagamento]]="","",DIVIDENDOS[[#This Row],[Data Pagamento]]),"")</f>
        <v/>
      </c>
      <c r="F1373" s="106" t="n"/>
    </row>
    <row r="1374">
      <c r="A1374" s="101">
        <f>YEAR(DIVIDENDOS[[#This Row],[Data Pagamento]])</f>
        <v/>
      </c>
      <c r="C1374" s="103">
        <f>IFERROR(IF(DIVIDENDOS[[#This Row],[Data Pagamento]]="","",EOMONTH(B1374,0)),"")</f>
        <v/>
      </c>
      <c r="D1374" s="104">
        <f>IFERROR(IF(DIVIDENDOS[[#This Row],[Data Pagamento]]="","",DIVIDENDOS[[#This Row],[Data Pagamento]]),"")</f>
        <v/>
      </c>
      <c r="F1374" s="106" t="n"/>
    </row>
    <row r="1375">
      <c r="A1375" s="101">
        <f>YEAR(DIVIDENDOS[[#This Row],[Data Pagamento]])</f>
        <v/>
      </c>
      <c r="C1375" s="103">
        <f>IFERROR(IF(DIVIDENDOS[[#This Row],[Data Pagamento]]="","",EOMONTH(B1375,0)),"")</f>
        <v/>
      </c>
      <c r="D1375" s="104">
        <f>IFERROR(IF(DIVIDENDOS[[#This Row],[Data Pagamento]]="","",DIVIDENDOS[[#This Row],[Data Pagamento]]),"")</f>
        <v/>
      </c>
      <c r="F1375" s="106" t="n"/>
    </row>
    <row r="1376">
      <c r="A1376" s="101">
        <f>YEAR(DIVIDENDOS[[#This Row],[Data Pagamento]])</f>
        <v/>
      </c>
      <c r="C1376" s="103">
        <f>IFERROR(IF(DIVIDENDOS[[#This Row],[Data Pagamento]]="","",EOMONTH(B1376,0)),"")</f>
        <v/>
      </c>
      <c r="D1376" s="104">
        <f>IFERROR(IF(DIVIDENDOS[[#This Row],[Data Pagamento]]="","",DIVIDENDOS[[#This Row],[Data Pagamento]]),"")</f>
        <v/>
      </c>
      <c r="F1376" s="106" t="n"/>
    </row>
    <row r="1377">
      <c r="A1377" s="101">
        <f>YEAR(DIVIDENDOS[[#This Row],[Data Pagamento]])</f>
        <v/>
      </c>
      <c r="C1377" s="103">
        <f>IFERROR(IF(DIVIDENDOS[[#This Row],[Data Pagamento]]="","",EOMONTH(B1377,0)),"")</f>
        <v/>
      </c>
      <c r="D1377" s="104">
        <f>IFERROR(IF(DIVIDENDOS[[#This Row],[Data Pagamento]]="","",DIVIDENDOS[[#This Row],[Data Pagamento]]),"")</f>
        <v/>
      </c>
      <c r="F1377" s="106" t="n"/>
    </row>
    <row r="1378">
      <c r="A1378" s="101">
        <f>YEAR(DIVIDENDOS[[#This Row],[Data Pagamento]])</f>
        <v/>
      </c>
      <c r="C1378" s="103">
        <f>IFERROR(IF(DIVIDENDOS[[#This Row],[Data Pagamento]]="","",EOMONTH(B1378,0)),"")</f>
        <v/>
      </c>
      <c r="D1378" s="104">
        <f>IFERROR(IF(DIVIDENDOS[[#This Row],[Data Pagamento]]="","",DIVIDENDOS[[#This Row],[Data Pagamento]]),"")</f>
        <v/>
      </c>
      <c r="F1378" s="106" t="n"/>
    </row>
    <row r="1379">
      <c r="A1379" s="101">
        <f>YEAR(DIVIDENDOS[[#This Row],[Data Pagamento]])</f>
        <v/>
      </c>
      <c r="C1379" s="103">
        <f>IFERROR(IF(DIVIDENDOS[[#This Row],[Data Pagamento]]="","",EOMONTH(B1379,0)),"")</f>
        <v/>
      </c>
      <c r="D1379" s="104">
        <f>IFERROR(IF(DIVIDENDOS[[#This Row],[Data Pagamento]]="","",DIVIDENDOS[[#This Row],[Data Pagamento]]),"")</f>
        <v/>
      </c>
      <c r="F1379" s="106" t="n"/>
    </row>
    <row r="1380">
      <c r="A1380" s="101">
        <f>YEAR(DIVIDENDOS[[#This Row],[Data Pagamento]])</f>
        <v/>
      </c>
      <c r="C1380" s="103">
        <f>IFERROR(IF(DIVIDENDOS[[#This Row],[Data Pagamento]]="","",EOMONTH(B1380,0)),"")</f>
        <v/>
      </c>
      <c r="D1380" s="104">
        <f>IFERROR(IF(DIVIDENDOS[[#This Row],[Data Pagamento]]="","",DIVIDENDOS[[#This Row],[Data Pagamento]]),"")</f>
        <v/>
      </c>
      <c r="F1380" s="106" t="n"/>
    </row>
    <row r="1381">
      <c r="A1381" s="101">
        <f>YEAR(DIVIDENDOS[[#This Row],[Data Pagamento]])</f>
        <v/>
      </c>
      <c r="C1381" s="103">
        <f>IFERROR(IF(DIVIDENDOS[[#This Row],[Data Pagamento]]="","",EOMONTH(B1381,0)),"")</f>
        <v/>
      </c>
      <c r="D1381" s="104">
        <f>IFERROR(IF(DIVIDENDOS[[#This Row],[Data Pagamento]]="","",DIVIDENDOS[[#This Row],[Data Pagamento]]),"")</f>
        <v/>
      </c>
      <c r="F1381" s="106" t="n"/>
    </row>
    <row r="1382">
      <c r="A1382" s="101">
        <f>YEAR(DIVIDENDOS[[#This Row],[Data Pagamento]])</f>
        <v/>
      </c>
      <c r="C1382" s="103">
        <f>IFERROR(IF(DIVIDENDOS[[#This Row],[Data Pagamento]]="","",EOMONTH(B1382,0)),"")</f>
        <v/>
      </c>
      <c r="D1382" s="104">
        <f>IFERROR(IF(DIVIDENDOS[[#This Row],[Data Pagamento]]="","",DIVIDENDOS[[#This Row],[Data Pagamento]]),"")</f>
        <v/>
      </c>
      <c r="F1382" s="106" t="n"/>
    </row>
    <row r="1383">
      <c r="A1383" s="101">
        <f>YEAR(DIVIDENDOS[[#This Row],[Data Pagamento]])</f>
        <v/>
      </c>
      <c r="C1383" s="103">
        <f>IFERROR(IF(DIVIDENDOS[[#This Row],[Data Pagamento]]="","",EOMONTH(B1383,0)),"")</f>
        <v/>
      </c>
      <c r="D1383" s="104">
        <f>IFERROR(IF(DIVIDENDOS[[#This Row],[Data Pagamento]]="","",DIVIDENDOS[[#This Row],[Data Pagamento]]),"")</f>
        <v/>
      </c>
      <c r="F1383" s="106" t="n"/>
    </row>
    <row r="1384">
      <c r="A1384" s="101">
        <f>YEAR(DIVIDENDOS[[#This Row],[Data Pagamento]])</f>
        <v/>
      </c>
      <c r="C1384" s="103">
        <f>IFERROR(IF(DIVIDENDOS[[#This Row],[Data Pagamento]]="","",EOMONTH(B1384,0)),"")</f>
        <v/>
      </c>
      <c r="D1384" s="104">
        <f>IFERROR(IF(DIVIDENDOS[[#This Row],[Data Pagamento]]="","",DIVIDENDOS[[#This Row],[Data Pagamento]]),"")</f>
        <v/>
      </c>
      <c r="F1384" s="106" t="n"/>
    </row>
    <row r="1385">
      <c r="A1385" s="101">
        <f>YEAR(DIVIDENDOS[[#This Row],[Data Pagamento]])</f>
        <v/>
      </c>
      <c r="C1385" s="103">
        <f>IFERROR(IF(DIVIDENDOS[[#This Row],[Data Pagamento]]="","",EOMONTH(B1385,0)),"")</f>
        <v/>
      </c>
      <c r="D1385" s="104">
        <f>IFERROR(IF(DIVIDENDOS[[#This Row],[Data Pagamento]]="","",DIVIDENDOS[[#This Row],[Data Pagamento]]),"")</f>
        <v/>
      </c>
      <c r="F1385" s="106" t="n"/>
    </row>
    <row r="1386">
      <c r="A1386" s="101">
        <f>YEAR(DIVIDENDOS[[#This Row],[Data Pagamento]])</f>
        <v/>
      </c>
      <c r="C1386" s="103">
        <f>IFERROR(IF(DIVIDENDOS[[#This Row],[Data Pagamento]]="","",EOMONTH(B1386,0)),"")</f>
        <v/>
      </c>
      <c r="D1386" s="104">
        <f>IFERROR(IF(DIVIDENDOS[[#This Row],[Data Pagamento]]="","",DIVIDENDOS[[#This Row],[Data Pagamento]]),"")</f>
        <v/>
      </c>
      <c r="F1386" s="106" t="n"/>
    </row>
    <row r="1387">
      <c r="A1387" s="101">
        <f>YEAR(DIVIDENDOS[[#This Row],[Data Pagamento]])</f>
        <v/>
      </c>
      <c r="C1387" s="103">
        <f>IFERROR(IF(DIVIDENDOS[[#This Row],[Data Pagamento]]="","",EOMONTH(B1387,0)),"")</f>
        <v/>
      </c>
      <c r="D1387" s="104">
        <f>IFERROR(IF(DIVIDENDOS[[#This Row],[Data Pagamento]]="","",DIVIDENDOS[[#This Row],[Data Pagamento]]),"")</f>
        <v/>
      </c>
      <c r="F1387" s="106" t="n"/>
    </row>
    <row r="1388">
      <c r="A1388" s="101">
        <f>YEAR(DIVIDENDOS[[#This Row],[Data Pagamento]])</f>
        <v/>
      </c>
      <c r="C1388" s="103">
        <f>IFERROR(IF(DIVIDENDOS[[#This Row],[Data Pagamento]]="","",EOMONTH(B1388,0)),"")</f>
        <v/>
      </c>
      <c r="D1388" s="104">
        <f>IFERROR(IF(DIVIDENDOS[[#This Row],[Data Pagamento]]="","",DIVIDENDOS[[#This Row],[Data Pagamento]]),"")</f>
        <v/>
      </c>
      <c r="F1388" s="106" t="n"/>
    </row>
    <row r="1389">
      <c r="A1389" s="101">
        <f>YEAR(DIVIDENDOS[[#This Row],[Data Pagamento]])</f>
        <v/>
      </c>
      <c r="C1389" s="103">
        <f>IFERROR(IF(DIVIDENDOS[[#This Row],[Data Pagamento]]="","",EOMONTH(B1389,0)),"")</f>
        <v/>
      </c>
      <c r="D1389" s="104">
        <f>IFERROR(IF(DIVIDENDOS[[#This Row],[Data Pagamento]]="","",DIVIDENDOS[[#This Row],[Data Pagamento]]),"")</f>
        <v/>
      </c>
      <c r="F1389" s="106" t="n"/>
    </row>
    <row r="1390">
      <c r="A1390" s="101">
        <f>YEAR(DIVIDENDOS[[#This Row],[Data Pagamento]])</f>
        <v/>
      </c>
      <c r="C1390" s="103">
        <f>IFERROR(IF(DIVIDENDOS[[#This Row],[Data Pagamento]]="","",EOMONTH(B1390,0)),"")</f>
        <v/>
      </c>
      <c r="D1390" s="104">
        <f>IFERROR(IF(DIVIDENDOS[[#This Row],[Data Pagamento]]="","",DIVIDENDOS[[#This Row],[Data Pagamento]]),"")</f>
        <v/>
      </c>
      <c r="F1390" s="106" t="n"/>
    </row>
    <row r="1391">
      <c r="A1391" s="101">
        <f>YEAR(DIVIDENDOS[[#This Row],[Data Pagamento]])</f>
        <v/>
      </c>
      <c r="C1391" s="103">
        <f>IFERROR(IF(DIVIDENDOS[[#This Row],[Data Pagamento]]="","",EOMONTH(B1391,0)),"")</f>
        <v/>
      </c>
      <c r="D1391" s="104">
        <f>IFERROR(IF(DIVIDENDOS[[#This Row],[Data Pagamento]]="","",DIVIDENDOS[[#This Row],[Data Pagamento]]),"")</f>
        <v/>
      </c>
      <c r="F1391" s="106" t="n"/>
    </row>
    <row r="1392">
      <c r="A1392" s="101">
        <f>YEAR(DIVIDENDOS[[#This Row],[Data Pagamento]])</f>
        <v/>
      </c>
      <c r="C1392" s="103">
        <f>IFERROR(IF(DIVIDENDOS[[#This Row],[Data Pagamento]]="","",EOMONTH(B1392,0)),"")</f>
        <v/>
      </c>
      <c r="D1392" s="104">
        <f>IFERROR(IF(DIVIDENDOS[[#This Row],[Data Pagamento]]="","",DIVIDENDOS[[#This Row],[Data Pagamento]]),"")</f>
        <v/>
      </c>
      <c r="F1392" s="106" t="n"/>
    </row>
    <row r="1393">
      <c r="A1393" s="101">
        <f>YEAR(DIVIDENDOS[[#This Row],[Data Pagamento]])</f>
        <v/>
      </c>
      <c r="C1393" s="103">
        <f>IFERROR(IF(DIVIDENDOS[[#This Row],[Data Pagamento]]="","",EOMONTH(B1393,0)),"")</f>
        <v/>
      </c>
      <c r="D1393" s="104">
        <f>IFERROR(IF(DIVIDENDOS[[#This Row],[Data Pagamento]]="","",DIVIDENDOS[[#This Row],[Data Pagamento]]),"")</f>
        <v/>
      </c>
      <c r="F1393" s="106" t="n"/>
    </row>
    <row r="1394">
      <c r="A1394" s="101">
        <f>YEAR(DIVIDENDOS[[#This Row],[Data Pagamento]])</f>
        <v/>
      </c>
      <c r="C1394" s="103">
        <f>IFERROR(IF(DIVIDENDOS[[#This Row],[Data Pagamento]]="","",EOMONTH(B1394,0)),"")</f>
        <v/>
      </c>
      <c r="D1394" s="104">
        <f>IFERROR(IF(DIVIDENDOS[[#This Row],[Data Pagamento]]="","",DIVIDENDOS[[#This Row],[Data Pagamento]]),"")</f>
        <v/>
      </c>
      <c r="F1394" s="106" t="n"/>
    </row>
    <row r="1395">
      <c r="A1395" s="101">
        <f>YEAR(DIVIDENDOS[[#This Row],[Data Pagamento]])</f>
        <v/>
      </c>
      <c r="C1395" s="103">
        <f>IFERROR(IF(DIVIDENDOS[[#This Row],[Data Pagamento]]="","",EOMONTH(B1395,0)),"")</f>
        <v/>
      </c>
      <c r="D1395" s="104">
        <f>IFERROR(IF(DIVIDENDOS[[#This Row],[Data Pagamento]]="","",DIVIDENDOS[[#This Row],[Data Pagamento]]),"")</f>
        <v/>
      </c>
      <c r="F1395" s="106" t="n"/>
    </row>
    <row r="1396">
      <c r="A1396" s="101">
        <f>YEAR(DIVIDENDOS[[#This Row],[Data Pagamento]])</f>
        <v/>
      </c>
      <c r="C1396" s="103">
        <f>IFERROR(IF(DIVIDENDOS[[#This Row],[Data Pagamento]]="","",EOMONTH(B1396,0)),"")</f>
        <v/>
      </c>
      <c r="D1396" s="104">
        <f>IFERROR(IF(DIVIDENDOS[[#This Row],[Data Pagamento]]="","",DIVIDENDOS[[#This Row],[Data Pagamento]]),"")</f>
        <v/>
      </c>
      <c r="F1396" s="106" t="n"/>
    </row>
    <row r="1397">
      <c r="A1397" s="101">
        <f>YEAR(DIVIDENDOS[[#This Row],[Data Pagamento]])</f>
        <v/>
      </c>
      <c r="C1397" s="103">
        <f>IFERROR(IF(DIVIDENDOS[[#This Row],[Data Pagamento]]="","",EOMONTH(B1397,0)),"")</f>
        <v/>
      </c>
      <c r="D1397" s="104">
        <f>IFERROR(IF(DIVIDENDOS[[#This Row],[Data Pagamento]]="","",DIVIDENDOS[[#This Row],[Data Pagamento]]),"")</f>
        <v/>
      </c>
      <c r="F1397" s="106" t="n"/>
    </row>
    <row r="1398">
      <c r="A1398" s="101">
        <f>YEAR(DIVIDENDOS[[#This Row],[Data Pagamento]])</f>
        <v/>
      </c>
      <c r="C1398" s="103">
        <f>IFERROR(IF(DIVIDENDOS[[#This Row],[Data Pagamento]]="","",EOMONTH(B1398,0)),"")</f>
        <v/>
      </c>
      <c r="D1398" s="104">
        <f>IFERROR(IF(DIVIDENDOS[[#This Row],[Data Pagamento]]="","",DIVIDENDOS[[#This Row],[Data Pagamento]]),"")</f>
        <v/>
      </c>
      <c r="F1398" s="106" t="n"/>
    </row>
    <row r="1399">
      <c r="A1399" s="101">
        <f>YEAR(DIVIDENDOS[[#This Row],[Data Pagamento]])</f>
        <v/>
      </c>
      <c r="C1399" s="103">
        <f>IFERROR(IF(DIVIDENDOS[[#This Row],[Data Pagamento]]="","",EOMONTH(B1399,0)),"")</f>
        <v/>
      </c>
      <c r="D1399" s="104">
        <f>IFERROR(IF(DIVIDENDOS[[#This Row],[Data Pagamento]]="","",DIVIDENDOS[[#This Row],[Data Pagamento]]),"")</f>
        <v/>
      </c>
      <c r="F1399" s="106" t="n"/>
    </row>
    <row r="1400">
      <c r="A1400" s="101">
        <f>YEAR(DIVIDENDOS[[#This Row],[Data Pagamento]])</f>
        <v/>
      </c>
      <c r="C1400" s="103">
        <f>IFERROR(IF(DIVIDENDOS[[#This Row],[Data Pagamento]]="","",EOMONTH(B1400,0)),"")</f>
        <v/>
      </c>
      <c r="D1400" s="104">
        <f>IFERROR(IF(DIVIDENDOS[[#This Row],[Data Pagamento]]="","",DIVIDENDOS[[#This Row],[Data Pagamento]]),"")</f>
        <v/>
      </c>
      <c r="F1400" s="106" t="n"/>
    </row>
    <row r="1401">
      <c r="A1401" s="101">
        <f>YEAR(DIVIDENDOS[[#This Row],[Data Pagamento]])</f>
        <v/>
      </c>
      <c r="C1401" s="103">
        <f>IFERROR(IF(DIVIDENDOS[[#This Row],[Data Pagamento]]="","",EOMONTH(B1401,0)),"")</f>
        <v/>
      </c>
      <c r="D1401" s="104">
        <f>IFERROR(IF(DIVIDENDOS[[#This Row],[Data Pagamento]]="","",DIVIDENDOS[[#This Row],[Data Pagamento]]),"")</f>
        <v/>
      </c>
      <c r="F1401" s="106" t="n"/>
    </row>
    <row r="1402">
      <c r="A1402" s="101">
        <f>YEAR(DIVIDENDOS[[#This Row],[Data Pagamento]])</f>
        <v/>
      </c>
      <c r="C1402" s="103">
        <f>IFERROR(IF(DIVIDENDOS[[#This Row],[Data Pagamento]]="","",EOMONTH(B1402,0)),"")</f>
        <v/>
      </c>
      <c r="D1402" s="104">
        <f>IFERROR(IF(DIVIDENDOS[[#This Row],[Data Pagamento]]="","",DIVIDENDOS[[#This Row],[Data Pagamento]]),"")</f>
        <v/>
      </c>
      <c r="F1402" s="106" t="n"/>
    </row>
    <row r="1403">
      <c r="A1403" s="101">
        <f>YEAR(DIVIDENDOS[[#This Row],[Data Pagamento]])</f>
        <v/>
      </c>
      <c r="C1403" s="103">
        <f>IFERROR(IF(DIVIDENDOS[[#This Row],[Data Pagamento]]="","",EOMONTH(B1403,0)),"")</f>
        <v/>
      </c>
      <c r="D1403" s="104">
        <f>IFERROR(IF(DIVIDENDOS[[#This Row],[Data Pagamento]]="","",DIVIDENDOS[[#This Row],[Data Pagamento]]),"")</f>
        <v/>
      </c>
      <c r="F1403" s="106" t="n"/>
    </row>
    <row r="1404">
      <c r="A1404" s="101">
        <f>YEAR(DIVIDENDOS[[#This Row],[Data Pagamento]])</f>
        <v/>
      </c>
      <c r="C1404" s="103">
        <f>IFERROR(IF(DIVIDENDOS[[#This Row],[Data Pagamento]]="","",EOMONTH(B1404,0)),"")</f>
        <v/>
      </c>
      <c r="D1404" s="104">
        <f>IFERROR(IF(DIVIDENDOS[[#This Row],[Data Pagamento]]="","",DIVIDENDOS[[#This Row],[Data Pagamento]]),"")</f>
        <v/>
      </c>
      <c r="F1404" s="106" t="n"/>
    </row>
    <row r="1405">
      <c r="A1405" s="101">
        <f>YEAR(DIVIDENDOS[[#This Row],[Data Pagamento]])</f>
        <v/>
      </c>
      <c r="C1405" s="103">
        <f>IFERROR(IF(DIVIDENDOS[[#This Row],[Data Pagamento]]="","",EOMONTH(B1405,0)),"")</f>
        <v/>
      </c>
      <c r="D1405" s="104">
        <f>IFERROR(IF(DIVIDENDOS[[#This Row],[Data Pagamento]]="","",DIVIDENDOS[[#This Row],[Data Pagamento]]),"")</f>
        <v/>
      </c>
      <c r="F1405" s="106" t="n"/>
    </row>
    <row r="1406">
      <c r="A1406" s="101">
        <f>YEAR(DIVIDENDOS[[#This Row],[Data Pagamento]])</f>
        <v/>
      </c>
      <c r="C1406" s="103">
        <f>IFERROR(IF(DIVIDENDOS[[#This Row],[Data Pagamento]]="","",EOMONTH(B1406,0)),"")</f>
        <v/>
      </c>
      <c r="D1406" s="104">
        <f>IFERROR(IF(DIVIDENDOS[[#This Row],[Data Pagamento]]="","",DIVIDENDOS[[#This Row],[Data Pagamento]]),"")</f>
        <v/>
      </c>
      <c r="F1406" s="106" t="n"/>
    </row>
    <row r="1407">
      <c r="A1407" s="101">
        <f>YEAR(DIVIDENDOS[[#This Row],[Data Pagamento]])</f>
        <v/>
      </c>
      <c r="C1407" s="103">
        <f>IFERROR(IF(DIVIDENDOS[[#This Row],[Data Pagamento]]="","",EOMONTH(B1407,0)),"")</f>
        <v/>
      </c>
      <c r="D1407" s="104">
        <f>IFERROR(IF(DIVIDENDOS[[#This Row],[Data Pagamento]]="","",DIVIDENDOS[[#This Row],[Data Pagamento]]),"")</f>
        <v/>
      </c>
      <c r="F1407" s="106" t="n"/>
    </row>
    <row r="1408">
      <c r="A1408" s="101">
        <f>YEAR(DIVIDENDOS[[#This Row],[Data Pagamento]])</f>
        <v/>
      </c>
      <c r="C1408" s="103">
        <f>IFERROR(IF(DIVIDENDOS[[#This Row],[Data Pagamento]]="","",EOMONTH(B1408,0)),"")</f>
        <v/>
      </c>
      <c r="D1408" s="104">
        <f>IFERROR(IF(DIVIDENDOS[[#This Row],[Data Pagamento]]="","",DIVIDENDOS[[#This Row],[Data Pagamento]]),"")</f>
        <v/>
      </c>
      <c r="F1408" s="106" t="n"/>
    </row>
    <row r="1409">
      <c r="A1409" s="101">
        <f>YEAR(DIVIDENDOS[[#This Row],[Data Pagamento]])</f>
        <v/>
      </c>
      <c r="C1409" s="103">
        <f>IFERROR(IF(DIVIDENDOS[[#This Row],[Data Pagamento]]="","",EOMONTH(B1409,0)),"")</f>
        <v/>
      </c>
      <c r="D1409" s="104">
        <f>IFERROR(IF(DIVIDENDOS[[#This Row],[Data Pagamento]]="","",DIVIDENDOS[[#This Row],[Data Pagamento]]),"")</f>
        <v/>
      </c>
      <c r="F1409" s="106" t="n"/>
    </row>
    <row r="1410">
      <c r="A1410" s="101">
        <f>YEAR(DIVIDENDOS[[#This Row],[Data Pagamento]])</f>
        <v/>
      </c>
      <c r="C1410" s="103">
        <f>IFERROR(IF(DIVIDENDOS[[#This Row],[Data Pagamento]]="","",EOMONTH(B1410,0)),"")</f>
        <v/>
      </c>
      <c r="D1410" s="104">
        <f>IFERROR(IF(DIVIDENDOS[[#This Row],[Data Pagamento]]="","",DIVIDENDOS[[#This Row],[Data Pagamento]]),"")</f>
        <v/>
      </c>
      <c r="F1410" s="106" t="n"/>
    </row>
    <row r="1411">
      <c r="A1411" s="101">
        <f>YEAR(DIVIDENDOS[[#This Row],[Data Pagamento]])</f>
        <v/>
      </c>
      <c r="C1411" s="103">
        <f>IFERROR(IF(DIVIDENDOS[[#This Row],[Data Pagamento]]="","",EOMONTH(B1411,0)),"")</f>
        <v/>
      </c>
      <c r="D1411" s="104">
        <f>IFERROR(IF(DIVIDENDOS[[#This Row],[Data Pagamento]]="","",DIVIDENDOS[[#This Row],[Data Pagamento]]),"")</f>
        <v/>
      </c>
      <c r="F1411" s="106" t="n"/>
    </row>
    <row r="1412">
      <c r="A1412" s="101">
        <f>YEAR(DIVIDENDOS[[#This Row],[Data Pagamento]])</f>
        <v/>
      </c>
      <c r="C1412" s="103">
        <f>IFERROR(IF(DIVIDENDOS[[#This Row],[Data Pagamento]]="","",EOMONTH(B1412,0)),"")</f>
        <v/>
      </c>
      <c r="D1412" s="104">
        <f>IFERROR(IF(DIVIDENDOS[[#This Row],[Data Pagamento]]="","",DIVIDENDOS[[#This Row],[Data Pagamento]]),"")</f>
        <v/>
      </c>
      <c r="F1412" s="106" t="n"/>
    </row>
    <row r="1413">
      <c r="A1413" s="101">
        <f>YEAR(DIVIDENDOS[[#This Row],[Data Pagamento]])</f>
        <v/>
      </c>
      <c r="C1413" s="103">
        <f>IFERROR(IF(DIVIDENDOS[[#This Row],[Data Pagamento]]="","",EOMONTH(B1413,0)),"")</f>
        <v/>
      </c>
      <c r="D1413" s="104">
        <f>IFERROR(IF(DIVIDENDOS[[#This Row],[Data Pagamento]]="","",DIVIDENDOS[[#This Row],[Data Pagamento]]),"")</f>
        <v/>
      </c>
      <c r="F1413" s="106" t="n"/>
    </row>
    <row r="1414">
      <c r="A1414" s="101">
        <f>YEAR(DIVIDENDOS[[#This Row],[Data Pagamento]])</f>
        <v/>
      </c>
      <c r="C1414" s="103">
        <f>IFERROR(IF(DIVIDENDOS[[#This Row],[Data Pagamento]]="","",EOMONTH(B1414,0)),"")</f>
        <v/>
      </c>
      <c r="D1414" s="104">
        <f>IFERROR(IF(DIVIDENDOS[[#This Row],[Data Pagamento]]="","",DIVIDENDOS[[#This Row],[Data Pagamento]]),"")</f>
        <v/>
      </c>
      <c r="F1414" s="106" t="n"/>
    </row>
    <row r="1415">
      <c r="A1415" s="101">
        <f>YEAR(DIVIDENDOS[[#This Row],[Data Pagamento]])</f>
        <v/>
      </c>
      <c r="C1415" s="103">
        <f>IFERROR(IF(DIVIDENDOS[[#This Row],[Data Pagamento]]="","",EOMONTH(B1415,0)),"")</f>
        <v/>
      </c>
      <c r="D1415" s="104">
        <f>IFERROR(IF(DIVIDENDOS[[#This Row],[Data Pagamento]]="","",DIVIDENDOS[[#This Row],[Data Pagamento]]),"")</f>
        <v/>
      </c>
      <c r="F1415" s="106" t="n"/>
    </row>
    <row r="1416">
      <c r="A1416" s="101">
        <f>YEAR(DIVIDENDOS[[#This Row],[Data Pagamento]])</f>
        <v/>
      </c>
      <c r="C1416" s="103">
        <f>IFERROR(IF(DIVIDENDOS[[#This Row],[Data Pagamento]]="","",EOMONTH(B1416,0)),"")</f>
        <v/>
      </c>
      <c r="D1416" s="104">
        <f>IFERROR(IF(DIVIDENDOS[[#This Row],[Data Pagamento]]="","",DIVIDENDOS[[#This Row],[Data Pagamento]]),"")</f>
        <v/>
      </c>
      <c r="F1416" s="106" t="n"/>
    </row>
    <row r="1417">
      <c r="A1417" s="101">
        <f>YEAR(DIVIDENDOS[[#This Row],[Data Pagamento]])</f>
        <v/>
      </c>
      <c r="C1417" s="103">
        <f>IFERROR(IF(DIVIDENDOS[[#This Row],[Data Pagamento]]="","",EOMONTH(B1417,0)),"")</f>
        <v/>
      </c>
      <c r="D1417" s="104">
        <f>IFERROR(IF(DIVIDENDOS[[#This Row],[Data Pagamento]]="","",DIVIDENDOS[[#This Row],[Data Pagamento]]),"")</f>
        <v/>
      </c>
      <c r="F1417" s="106" t="n"/>
    </row>
    <row r="1418">
      <c r="A1418" s="101">
        <f>YEAR(DIVIDENDOS[[#This Row],[Data Pagamento]])</f>
        <v/>
      </c>
      <c r="C1418" s="103">
        <f>IFERROR(IF(DIVIDENDOS[[#This Row],[Data Pagamento]]="","",EOMONTH(B1418,0)),"")</f>
        <v/>
      </c>
      <c r="D1418" s="104">
        <f>IFERROR(IF(DIVIDENDOS[[#This Row],[Data Pagamento]]="","",DIVIDENDOS[[#This Row],[Data Pagamento]]),"")</f>
        <v/>
      </c>
      <c r="F1418" s="106" t="n"/>
    </row>
    <row r="1419">
      <c r="A1419" s="101">
        <f>YEAR(DIVIDENDOS[[#This Row],[Data Pagamento]])</f>
        <v/>
      </c>
      <c r="C1419" s="103">
        <f>IFERROR(IF(DIVIDENDOS[[#This Row],[Data Pagamento]]="","",EOMONTH(B1419,0)),"")</f>
        <v/>
      </c>
      <c r="D1419" s="104">
        <f>IFERROR(IF(DIVIDENDOS[[#This Row],[Data Pagamento]]="","",DIVIDENDOS[[#This Row],[Data Pagamento]]),"")</f>
        <v/>
      </c>
      <c r="F1419" s="106" t="n"/>
    </row>
    <row r="1420">
      <c r="A1420" s="101">
        <f>YEAR(DIVIDENDOS[[#This Row],[Data Pagamento]])</f>
        <v/>
      </c>
      <c r="C1420" s="103">
        <f>IFERROR(IF(DIVIDENDOS[[#This Row],[Data Pagamento]]="","",EOMONTH(B1420,0)),"")</f>
        <v/>
      </c>
      <c r="D1420" s="104">
        <f>IFERROR(IF(DIVIDENDOS[[#This Row],[Data Pagamento]]="","",DIVIDENDOS[[#This Row],[Data Pagamento]]),"")</f>
        <v/>
      </c>
      <c r="F1420" s="106" t="n"/>
    </row>
    <row r="1421">
      <c r="A1421" s="101">
        <f>YEAR(DIVIDENDOS[[#This Row],[Data Pagamento]])</f>
        <v/>
      </c>
      <c r="C1421" s="103">
        <f>IFERROR(IF(DIVIDENDOS[[#This Row],[Data Pagamento]]="","",EOMONTH(B1421,0)),"")</f>
        <v/>
      </c>
      <c r="D1421" s="104">
        <f>IFERROR(IF(DIVIDENDOS[[#This Row],[Data Pagamento]]="","",DIVIDENDOS[[#This Row],[Data Pagamento]]),"")</f>
        <v/>
      </c>
      <c r="F1421" s="106" t="n"/>
    </row>
    <row r="1422">
      <c r="A1422" s="101">
        <f>YEAR(DIVIDENDOS[[#This Row],[Data Pagamento]])</f>
        <v/>
      </c>
      <c r="C1422" s="103">
        <f>IFERROR(IF(DIVIDENDOS[[#This Row],[Data Pagamento]]="","",EOMONTH(B1422,0)),"")</f>
        <v/>
      </c>
      <c r="D1422" s="104">
        <f>IFERROR(IF(DIVIDENDOS[[#This Row],[Data Pagamento]]="","",DIVIDENDOS[[#This Row],[Data Pagamento]]),"")</f>
        <v/>
      </c>
      <c r="F1422" s="106" t="n"/>
    </row>
    <row r="1423">
      <c r="A1423" s="101">
        <f>YEAR(DIVIDENDOS[[#This Row],[Data Pagamento]])</f>
        <v/>
      </c>
      <c r="C1423" s="103">
        <f>IFERROR(IF(DIVIDENDOS[[#This Row],[Data Pagamento]]="","",EOMONTH(B1423,0)),"")</f>
        <v/>
      </c>
      <c r="D1423" s="104">
        <f>IFERROR(IF(DIVIDENDOS[[#This Row],[Data Pagamento]]="","",DIVIDENDOS[[#This Row],[Data Pagamento]]),"")</f>
        <v/>
      </c>
      <c r="F1423" s="106" t="n"/>
    </row>
    <row r="1424">
      <c r="A1424" s="101">
        <f>YEAR(DIVIDENDOS[[#This Row],[Data Pagamento]])</f>
        <v/>
      </c>
      <c r="C1424" s="103">
        <f>IFERROR(IF(DIVIDENDOS[[#This Row],[Data Pagamento]]="","",EOMONTH(B1424,0)),"")</f>
        <v/>
      </c>
      <c r="D1424" s="104">
        <f>IFERROR(IF(DIVIDENDOS[[#This Row],[Data Pagamento]]="","",DIVIDENDOS[[#This Row],[Data Pagamento]]),"")</f>
        <v/>
      </c>
      <c r="F1424" s="106" t="n"/>
    </row>
    <row r="1425">
      <c r="A1425" s="101">
        <f>YEAR(DIVIDENDOS[[#This Row],[Data Pagamento]])</f>
        <v/>
      </c>
      <c r="C1425" s="103">
        <f>IFERROR(IF(DIVIDENDOS[[#This Row],[Data Pagamento]]="","",EOMONTH(B1425,0)),"")</f>
        <v/>
      </c>
      <c r="D1425" s="104">
        <f>IFERROR(IF(DIVIDENDOS[[#This Row],[Data Pagamento]]="","",DIVIDENDOS[[#This Row],[Data Pagamento]]),"")</f>
        <v/>
      </c>
      <c r="F1425" s="106" t="n"/>
    </row>
    <row r="1426">
      <c r="A1426" s="101">
        <f>YEAR(DIVIDENDOS[[#This Row],[Data Pagamento]])</f>
        <v/>
      </c>
      <c r="C1426" s="103">
        <f>IFERROR(IF(DIVIDENDOS[[#This Row],[Data Pagamento]]="","",EOMONTH(B1426,0)),"")</f>
        <v/>
      </c>
      <c r="D1426" s="104">
        <f>IFERROR(IF(DIVIDENDOS[[#This Row],[Data Pagamento]]="","",DIVIDENDOS[[#This Row],[Data Pagamento]]),"")</f>
        <v/>
      </c>
      <c r="F1426" s="106" t="n"/>
    </row>
    <row r="1427">
      <c r="A1427" s="101">
        <f>YEAR(DIVIDENDOS[[#This Row],[Data Pagamento]])</f>
        <v/>
      </c>
      <c r="C1427" s="103">
        <f>IFERROR(IF(DIVIDENDOS[[#This Row],[Data Pagamento]]="","",EOMONTH(B1427,0)),"")</f>
        <v/>
      </c>
      <c r="D1427" s="104">
        <f>IFERROR(IF(DIVIDENDOS[[#This Row],[Data Pagamento]]="","",DIVIDENDOS[[#This Row],[Data Pagamento]]),"")</f>
        <v/>
      </c>
      <c r="F1427" s="106" t="n"/>
    </row>
    <row r="1428">
      <c r="A1428" s="101">
        <f>YEAR(DIVIDENDOS[[#This Row],[Data Pagamento]])</f>
        <v/>
      </c>
      <c r="C1428" s="103">
        <f>IFERROR(IF(DIVIDENDOS[[#This Row],[Data Pagamento]]="","",EOMONTH(B1428,0)),"")</f>
        <v/>
      </c>
      <c r="D1428" s="104">
        <f>IFERROR(IF(DIVIDENDOS[[#This Row],[Data Pagamento]]="","",DIVIDENDOS[[#This Row],[Data Pagamento]]),"")</f>
        <v/>
      </c>
      <c r="F1428" s="106" t="n"/>
    </row>
    <row r="1429">
      <c r="A1429" s="101">
        <f>YEAR(DIVIDENDOS[[#This Row],[Data Pagamento]])</f>
        <v/>
      </c>
      <c r="C1429" s="103">
        <f>IFERROR(IF(DIVIDENDOS[[#This Row],[Data Pagamento]]="","",EOMONTH(B1429,0)),"")</f>
        <v/>
      </c>
      <c r="D1429" s="104">
        <f>IFERROR(IF(DIVIDENDOS[[#This Row],[Data Pagamento]]="","",DIVIDENDOS[[#This Row],[Data Pagamento]]),"")</f>
        <v/>
      </c>
      <c r="F1429" s="106" t="n"/>
    </row>
    <row r="1430">
      <c r="A1430" s="101">
        <f>YEAR(DIVIDENDOS[[#This Row],[Data Pagamento]])</f>
        <v/>
      </c>
      <c r="C1430" s="103">
        <f>IFERROR(IF(DIVIDENDOS[[#This Row],[Data Pagamento]]="","",EOMONTH(B1430,0)),"")</f>
        <v/>
      </c>
      <c r="D1430" s="104">
        <f>IFERROR(IF(DIVIDENDOS[[#This Row],[Data Pagamento]]="","",DIVIDENDOS[[#This Row],[Data Pagamento]]),"")</f>
        <v/>
      </c>
      <c r="F1430" s="106" t="n"/>
    </row>
    <row r="1431">
      <c r="A1431" s="101">
        <f>YEAR(DIVIDENDOS[[#This Row],[Data Pagamento]])</f>
        <v/>
      </c>
      <c r="C1431" s="103">
        <f>IFERROR(IF(DIVIDENDOS[[#This Row],[Data Pagamento]]="","",EOMONTH(B1431,0)),"")</f>
        <v/>
      </c>
      <c r="D1431" s="104">
        <f>IFERROR(IF(DIVIDENDOS[[#This Row],[Data Pagamento]]="","",DIVIDENDOS[[#This Row],[Data Pagamento]]),"")</f>
        <v/>
      </c>
      <c r="F1431" s="106" t="n"/>
    </row>
    <row r="1432">
      <c r="A1432" s="101">
        <f>YEAR(DIVIDENDOS[[#This Row],[Data Pagamento]])</f>
        <v/>
      </c>
      <c r="C1432" s="103">
        <f>IFERROR(IF(DIVIDENDOS[[#This Row],[Data Pagamento]]="","",EOMONTH(B1432,0)),"")</f>
        <v/>
      </c>
      <c r="D1432" s="104">
        <f>IFERROR(IF(DIVIDENDOS[[#This Row],[Data Pagamento]]="","",DIVIDENDOS[[#This Row],[Data Pagamento]]),"")</f>
        <v/>
      </c>
      <c r="F1432" s="106" t="n"/>
    </row>
    <row r="1433">
      <c r="A1433" s="101">
        <f>YEAR(DIVIDENDOS[[#This Row],[Data Pagamento]])</f>
        <v/>
      </c>
      <c r="C1433" s="103">
        <f>IFERROR(IF(DIVIDENDOS[[#This Row],[Data Pagamento]]="","",EOMONTH(B1433,0)),"")</f>
        <v/>
      </c>
      <c r="D1433" s="104">
        <f>IFERROR(IF(DIVIDENDOS[[#This Row],[Data Pagamento]]="","",DIVIDENDOS[[#This Row],[Data Pagamento]]),"")</f>
        <v/>
      </c>
      <c r="F1433" s="106" t="n"/>
    </row>
    <row r="1434">
      <c r="A1434" s="101">
        <f>YEAR(DIVIDENDOS[[#This Row],[Data Pagamento]])</f>
        <v/>
      </c>
      <c r="C1434" s="103">
        <f>IFERROR(IF(DIVIDENDOS[[#This Row],[Data Pagamento]]="","",EOMONTH(B1434,0)),"")</f>
        <v/>
      </c>
      <c r="D1434" s="104">
        <f>IFERROR(IF(DIVIDENDOS[[#This Row],[Data Pagamento]]="","",DIVIDENDOS[[#This Row],[Data Pagamento]]),"")</f>
        <v/>
      </c>
      <c r="F1434" s="106" t="n"/>
    </row>
    <row r="1435">
      <c r="A1435" s="101">
        <f>YEAR(DIVIDENDOS[[#This Row],[Data Pagamento]])</f>
        <v/>
      </c>
      <c r="C1435" s="103">
        <f>IFERROR(IF(DIVIDENDOS[[#This Row],[Data Pagamento]]="","",EOMONTH(B1435,0)),"")</f>
        <v/>
      </c>
      <c r="D1435" s="104">
        <f>IFERROR(IF(DIVIDENDOS[[#This Row],[Data Pagamento]]="","",DIVIDENDOS[[#This Row],[Data Pagamento]]),"")</f>
        <v/>
      </c>
      <c r="F1435" s="106" t="n"/>
    </row>
    <row r="1436">
      <c r="A1436" s="101">
        <f>YEAR(DIVIDENDOS[[#This Row],[Data Pagamento]])</f>
        <v/>
      </c>
      <c r="C1436" s="103">
        <f>IFERROR(IF(DIVIDENDOS[[#This Row],[Data Pagamento]]="","",EOMONTH(B1436,0)),"")</f>
        <v/>
      </c>
      <c r="D1436" s="104">
        <f>IFERROR(IF(DIVIDENDOS[[#This Row],[Data Pagamento]]="","",DIVIDENDOS[[#This Row],[Data Pagamento]]),"")</f>
        <v/>
      </c>
      <c r="F1436" s="106" t="n"/>
    </row>
    <row r="1437">
      <c r="A1437" s="101">
        <f>YEAR(DIVIDENDOS[[#This Row],[Data Pagamento]])</f>
        <v/>
      </c>
      <c r="C1437" s="103">
        <f>IFERROR(IF(DIVIDENDOS[[#This Row],[Data Pagamento]]="","",EOMONTH(B1437,0)),"")</f>
        <v/>
      </c>
      <c r="D1437" s="104">
        <f>IFERROR(IF(DIVIDENDOS[[#This Row],[Data Pagamento]]="","",DIVIDENDOS[[#This Row],[Data Pagamento]]),"")</f>
        <v/>
      </c>
      <c r="F1437" s="106" t="n"/>
    </row>
    <row r="1438">
      <c r="A1438" s="101">
        <f>YEAR(DIVIDENDOS[[#This Row],[Data Pagamento]])</f>
        <v/>
      </c>
      <c r="C1438" s="103">
        <f>IFERROR(IF(DIVIDENDOS[[#This Row],[Data Pagamento]]="","",EOMONTH(B1438,0)),"")</f>
        <v/>
      </c>
      <c r="D1438" s="104">
        <f>IFERROR(IF(DIVIDENDOS[[#This Row],[Data Pagamento]]="","",DIVIDENDOS[[#This Row],[Data Pagamento]]),"")</f>
        <v/>
      </c>
      <c r="F1438" s="106" t="n"/>
    </row>
    <row r="1439">
      <c r="A1439" s="101">
        <f>YEAR(DIVIDENDOS[[#This Row],[Data Pagamento]])</f>
        <v/>
      </c>
      <c r="C1439" s="103">
        <f>IFERROR(IF(DIVIDENDOS[[#This Row],[Data Pagamento]]="","",EOMONTH(B1439,0)),"")</f>
        <v/>
      </c>
      <c r="D1439" s="104">
        <f>IFERROR(IF(DIVIDENDOS[[#This Row],[Data Pagamento]]="","",DIVIDENDOS[[#This Row],[Data Pagamento]]),"")</f>
        <v/>
      </c>
      <c r="F1439" s="106" t="n"/>
    </row>
    <row r="1440">
      <c r="A1440" s="101">
        <f>YEAR(DIVIDENDOS[[#This Row],[Data Pagamento]])</f>
        <v/>
      </c>
      <c r="C1440" s="103">
        <f>IFERROR(IF(DIVIDENDOS[[#This Row],[Data Pagamento]]="","",EOMONTH(B1440,0)),"")</f>
        <v/>
      </c>
      <c r="D1440" s="104">
        <f>IFERROR(IF(DIVIDENDOS[[#This Row],[Data Pagamento]]="","",DIVIDENDOS[[#This Row],[Data Pagamento]]),"")</f>
        <v/>
      </c>
      <c r="F1440" s="106" t="n"/>
    </row>
    <row r="1441">
      <c r="A1441" s="101">
        <f>YEAR(DIVIDENDOS[[#This Row],[Data Pagamento]])</f>
        <v/>
      </c>
      <c r="C1441" s="103">
        <f>IFERROR(IF(DIVIDENDOS[[#This Row],[Data Pagamento]]="","",EOMONTH(B1441,0)),"")</f>
        <v/>
      </c>
      <c r="D1441" s="104">
        <f>IFERROR(IF(DIVIDENDOS[[#This Row],[Data Pagamento]]="","",DIVIDENDOS[[#This Row],[Data Pagamento]]),"")</f>
        <v/>
      </c>
      <c r="F1441" s="106" t="n"/>
    </row>
    <row r="1442">
      <c r="A1442" s="101">
        <f>YEAR(DIVIDENDOS[[#This Row],[Data Pagamento]])</f>
        <v/>
      </c>
      <c r="C1442" s="103">
        <f>IFERROR(IF(DIVIDENDOS[[#This Row],[Data Pagamento]]="","",EOMONTH(B1442,0)),"")</f>
        <v/>
      </c>
      <c r="D1442" s="104">
        <f>IFERROR(IF(DIVIDENDOS[[#This Row],[Data Pagamento]]="","",DIVIDENDOS[[#This Row],[Data Pagamento]]),"")</f>
        <v/>
      </c>
      <c r="F1442" s="106" t="n"/>
    </row>
    <row r="1443">
      <c r="A1443" s="101">
        <f>YEAR(DIVIDENDOS[[#This Row],[Data Pagamento]])</f>
        <v/>
      </c>
      <c r="C1443" s="103">
        <f>IFERROR(IF(DIVIDENDOS[[#This Row],[Data Pagamento]]="","",EOMONTH(B1443,0)),"")</f>
        <v/>
      </c>
      <c r="D1443" s="104">
        <f>IFERROR(IF(DIVIDENDOS[[#This Row],[Data Pagamento]]="","",DIVIDENDOS[[#This Row],[Data Pagamento]]),"")</f>
        <v/>
      </c>
      <c r="F1443" s="106" t="n"/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P+39ORoaYy7vBirry1yyFw==" formatRows="1" sort="0" spinCount="100000" hashValue="TCCxuV4Iu08M1ErVfVTlZkmpvqEdnlAxuqmg3clRHFhl8ebl4vNaYjNIcMAL+IXu/NOCFAkGkIN4hQehV4TTDw=="/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0"/>
  <sheetViews>
    <sheetView showGridLines="0" zoomScaleNormal="100" workbookViewId="0">
      <pane ySplit="1" topLeftCell="A116" activePane="bottomLeft" state="frozen"/>
      <selection activeCell="C4" sqref="C4"/>
      <selection pane="bottomLeft" activeCell="C95" sqref="C95"/>
    </sheetView>
  </sheetViews>
  <sheetFormatPr baseColWidth="8" defaultColWidth="18.85546875" defaultRowHeight="12.75"/>
  <cols>
    <col width="10.5703125" bestFit="1" customWidth="1" style="53" min="1" max="1"/>
    <col width="8.85546875" bestFit="1" customWidth="1" style="54" min="2" max="2"/>
    <col width="14" bestFit="1" customWidth="1" style="55" min="3" max="3"/>
    <col width="16.140625" bestFit="1" customWidth="1" style="170" min="4" max="4"/>
    <col width="7.7109375" bestFit="1" customWidth="1" style="56" min="5" max="5"/>
    <col width="14.85546875" bestFit="1" customWidth="1" style="56" min="6" max="6"/>
    <col width="13.85546875" bestFit="1" customWidth="1" style="171" min="7" max="7"/>
    <col width="12.140625" bestFit="1" customWidth="1" style="55" min="8" max="8"/>
    <col width="21.140625" customWidth="1" style="55" min="9" max="9"/>
    <col width="18.5703125" bestFit="1" customWidth="1" style="56" min="10" max="10"/>
    <col width="13.28515625" bestFit="1" customWidth="1" style="56" min="11" max="11"/>
    <col width="4.5703125" customWidth="1" style="4" min="12" max="12"/>
    <col width="19.7109375" bestFit="1" customWidth="1" style="4" min="13" max="13"/>
    <col width="11.28515625" bestFit="1" customWidth="1" style="4" min="14" max="14"/>
    <col width="4" customWidth="1" style="4" min="15" max="15"/>
    <col width="10.7109375" customWidth="1" style="4" min="16" max="16"/>
    <col width="2.7109375" customWidth="1" style="4" min="17" max="17"/>
    <col width="12.5703125" bestFit="1" customWidth="1" style="4" min="18" max="18"/>
    <col width="11.28515625" bestFit="1" customWidth="1" style="4" min="19" max="19"/>
    <col width="3.140625" customWidth="1" style="4" min="20" max="20"/>
    <col width="19.7109375" bestFit="1" customWidth="1" style="4" min="21" max="21"/>
    <col width="11.28515625" bestFit="1" customWidth="1" style="4" min="22" max="22"/>
    <col width="18.85546875" customWidth="1" style="4" min="23" max="57"/>
    <col width="18.85546875" customWidth="1" style="4" min="58" max="16384"/>
  </cols>
  <sheetData>
    <row r="1" ht="33.75" customHeight="1" s="107" thickBot="1">
      <c r="A1" s="40" t="inlineStr">
        <is>
          <t>Data</t>
        </is>
      </c>
      <c r="B1" s="41" t="inlineStr">
        <is>
          <t>Ticker</t>
        </is>
      </c>
      <c r="C1" s="42" t="inlineStr">
        <is>
          <t>Quantidade</t>
        </is>
      </c>
      <c r="D1" s="172" t="inlineStr">
        <is>
          <t>Valor (Preço unitário)</t>
        </is>
      </c>
      <c r="E1" s="43" t="inlineStr">
        <is>
          <t>TIPO</t>
        </is>
      </c>
      <c r="F1" s="43" t="inlineStr">
        <is>
          <t>Qtde execut.</t>
        </is>
      </c>
      <c r="G1" s="173" t="inlineStr">
        <is>
          <t>Valor Total</t>
        </is>
      </c>
      <c r="H1" s="44" t="inlineStr">
        <is>
          <t>Operação</t>
        </is>
      </c>
      <c r="I1" s="45" t="inlineStr">
        <is>
          <t>Qdo vender, aqui VL. real</t>
        </is>
      </c>
      <c r="J1" s="46" t="inlineStr">
        <is>
          <t>VL. Total vendas</t>
        </is>
      </c>
      <c r="K1" s="46" t="inlineStr">
        <is>
          <t>Lucro/Prej.</t>
        </is>
      </c>
      <c r="L1" s="3" t="n"/>
      <c r="M1" s="57" t="inlineStr">
        <is>
          <t>Total Investido</t>
        </is>
      </c>
      <c r="N1" s="174">
        <f>SUBTOTAL(9,G:G)</f>
        <v/>
      </c>
      <c r="O1" s="58" t="n"/>
      <c r="P1" s="59" t="inlineStr">
        <is>
          <t>Operações</t>
        </is>
      </c>
      <c r="Q1" s="60" t="n"/>
      <c r="R1" s="57" t="inlineStr">
        <is>
          <t>Total vendas</t>
        </is>
      </c>
      <c r="S1" s="174">
        <f>SUBTOTAL(9,J:J)</f>
        <v/>
      </c>
      <c r="T1" s="56" t="n"/>
      <c r="U1" s="57" t="inlineStr">
        <is>
          <t>Total Lucro/Prejuízo</t>
        </is>
      </c>
      <c r="V1" s="174">
        <f>SUBTOTAL(9,K:K)</f>
        <v/>
      </c>
    </row>
    <row r="2" ht="13.5" customHeight="1" s="107" thickBot="1">
      <c r="A2" s="47" t="n">
        <v>45748</v>
      </c>
      <c r="B2" s="48" t="inlineStr">
        <is>
          <t>Tesouro</t>
        </is>
      </c>
      <c r="C2" s="49" t="n">
        <v>1</v>
      </c>
      <c r="D2" s="175" t="n">
        <v>163.07</v>
      </c>
      <c r="E2" s="50">
        <f>IFERROR(VLOOKUP(B2,'Dados B3'!A:G,2,FALSE),"-")</f>
        <v/>
      </c>
      <c r="F2" s="51">
        <f>IF(H2=P$4,(C2*(1)),IF(H2=P$3,(C2*(-1)),IF(H2=P$2,(C2*(1)))))</f>
        <v/>
      </c>
      <c r="G2" s="176">
        <f>F2*D2</f>
        <v/>
      </c>
      <c r="H2" s="52" t="inlineStr">
        <is>
          <t>VENDA</t>
        </is>
      </c>
      <c r="I2" s="177" t="n">
        <v>4.25</v>
      </c>
      <c r="J2" s="178">
        <f>IF(H2="VENDA",I2*F2*-1,0)</f>
        <v/>
      </c>
      <c r="K2" s="178">
        <f>IF(J2=0,0,J2+G2)</f>
        <v/>
      </c>
      <c r="L2" s="5" t="n"/>
      <c r="M2" s="5" t="n"/>
      <c r="N2" s="179" t="n"/>
      <c r="O2" s="3" t="n"/>
      <c r="P2" s="6" t="inlineStr">
        <is>
          <t>COMPRA</t>
        </is>
      </c>
    </row>
    <row r="3" ht="12.75" customHeight="1" s="107" thickBot="1">
      <c r="A3" s="47" t="n">
        <v>45748</v>
      </c>
      <c r="B3" s="48" t="inlineStr">
        <is>
          <t>Tesouro</t>
        </is>
      </c>
      <c r="C3" s="49" t="n">
        <v>1</v>
      </c>
      <c r="D3" s="175" t="n">
        <v>70.91</v>
      </c>
      <c r="E3" s="50">
        <f>IFERROR(VLOOKUP(B3,'Dados B3'!A:G,2,FALSE),"-")</f>
        <v/>
      </c>
      <c r="F3" s="51">
        <f>IF(H3=P$4,(C3*(1)),IF(H3=P$3,(C3*(-1)),IF(H3=P$2,(C3*(1)))))</f>
        <v/>
      </c>
      <c r="G3" s="176">
        <f>F3*D3</f>
        <v/>
      </c>
      <c r="H3" s="52" t="inlineStr">
        <is>
          <t>VENDA</t>
        </is>
      </c>
      <c r="I3" s="177" t="n"/>
      <c r="J3" s="178">
        <f>IF(H3="VENDA",I3*F3*-1,0)</f>
        <v/>
      </c>
      <c r="K3" s="178">
        <f>IF(J3=0,0,J3+G3)</f>
        <v/>
      </c>
      <c r="L3" s="5" t="n"/>
      <c r="M3" s="152" t="inlineStr">
        <is>
          <t>OBS.: TODA VEZ QUE REALIZAR UMA VENDA, DIGITAR O VALOR EXECUTADO DE VENDA COMO O PREÇO MÉDIO, DIGITAR A QTDE VENDIDA NORMALMENTE. ASSIM, A QTDE ATUAL E O PREÇO MÉDIO CONTINUARÁ COM OS VALORES CORRETOS</t>
        </is>
      </c>
      <c r="N3" s="153" t="n"/>
      <c r="O3" s="5" t="n"/>
      <c r="P3" s="7" t="inlineStr">
        <is>
          <t>VENDA</t>
        </is>
      </c>
    </row>
    <row r="4" ht="13.5" customHeight="1" s="107" thickBot="1">
      <c r="A4" s="47" t="n">
        <v>45748</v>
      </c>
      <c r="B4" s="48" t="inlineStr">
        <is>
          <t>Tesouro</t>
        </is>
      </c>
      <c r="C4" s="49" t="n">
        <v>1</v>
      </c>
      <c r="D4" s="175" t="n">
        <v>33.3</v>
      </c>
      <c r="E4" s="50">
        <f>IFERROR(VLOOKUP(B4,'Dados B3'!A:G,2,FALSE),"-")</f>
        <v/>
      </c>
      <c r="F4" s="51">
        <f>IF(H4=P$4,(C4*(1)),IF(H4=P$3,(C4*(-1)),IF(H4=P$2,(C4*(1)))))</f>
        <v/>
      </c>
      <c r="G4" s="176">
        <f>F4*D4</f>
        <v/>
      </c>
      <c r="H4" s="52" t="inlineStr">
        <is>
          <t>COMPRA</t>
        </is>
      </c>
      <c r="I4" s="177" t="n">
        <v>0</v>
      </c>
      <c r="J4" s="178">
        <f>IF(H4="VENDA",I4*F4*-1,0)</f>
        <v/>
      </c>
      <c r="K4" s="178">
        <f>IF(J4=0,0,J4+G4)</f>
        <v/>
      </c>
      <c r="L4" s="5" t="n"/>
      <c r="M4" s="154" t="n"/>
      <c r="N4" s="155" t="n"/>
      <c r="P4" s="8" t="inlineStr">
        <is>
          <t>AJUSTE</t>
        </is>
      </c>
    </row>
    <row r="5" ht="12.75" customHeight="1" s="107">
      <c r="A5" s="47" t="n">
        <v>45748</v>
      </c>
      <c r="B5" s="48" t="inlineStr">
        <is>
          <t>Tesouro</t>
        </is>
      </c>
      <c r="C5" s="49" t="n">
        <v>1</v>
      </c>
      <c r="D5" s="175" t="n">
        <v>41.39</v>
      </c>
      <c r="E5" s="50">
        <f>IFERROR(VLOOKUP(B5,'Dados B3'!A:G,2,FALSE),"-")</f>
        <v/>
      </c>
      <c r="F5" s="51">
        <f>IF(H5=P$4,(C5*(1)),IF(H5=P$3,(C5*(-1)),IF(H5=P$2,(C5*(1)))))</f>
        <v/>
      </c>
      <c r="G5" s="176">
        <f>F5*D5</f>
        <v/>
      </c>
      <c r="H5" s="52" t="inlineStr">
        <is>
          <t>COMPRA</t>
        </is>
      </c>
      <c r="I5" s="177" t="n"/>
      <c r="J5" s="178">
        <f>IF(H5="VENDA",I5*F5*-1,0)</f>
        <v/>
      </c>
      <c r="K5" s="178">
        <f>IF(J5=0,0,J5+G5)</f>
        <v/>
      </c>
      <c r="L5" s="5" t="n"/>
      <c r="M5" s="154" t="n"/>
      <c r="N5" s="155" t="n"/>
      <c r="P5" s="5" t="n"/>
    </row>
    <row r="6" ht="12.75" customHeight="1" s="107">
      <c r="A6" s="47" t="n">
        <v>45748</v>
      </c>
      <c r="B6" s="48" t="inlineStr">
        <is>
          <t>Tesouro</t>
        </is>
      </c>
      <c r="C6" s="49" t="n">
        <v>1</v>
      </c>
      <c r="D6" s="175" t="n">
        <v>16.08</v>
      </c>
      <c r="E6" s="50">
        <f>IFERROR(VLOOKUP(B6,'Dados B3'!A:G,2,FALSE),"-")</f>
        <v/>
      </c>
      <c r="F6" s="51">
        <f>IF(H6=P$4,(C6*(1)),IF(H6=P$3,(C6*(-1)),IF(H6=P$2,(C6*(1)))))</f>
        <v/>
      </c>
      <c r="G6" s="176">
        <f>F6*D6</f>
        <v/>
      </c>
      <c r="H6" s="52" t="inlineStr">
        <is>
          <t>COMPRA</t>
        </is>
      </c>
      <c r="I6" s="177" t="n"/>
      <c r="J6" s="178">
        <f>IF(H6="VENDA",I6*F6*-1,0)</f>
        <v/>
      </c>
      <c r="K6" s="178">
        <f>IF(J6=0,0,J6+G6)</f>
        <v/>
      </c>
      <c r="L6" s="5" t="n"/>
      <c r="M6" s="154" t="n"/>
      <c r="N6" s="155" t="n"/>
      <c r="P6" s="5" t="n"/>
    </row>
    <row r="7" ht="12.75" customHeight="1" s="107">
      <c r="A7" s="47" t="n">
        <v>45748</v>
      </c>
      <c r="B7" s="48" t="inlineStr">
        <is>
          <t>Tesouro</t>
        </is>
      </c>
      <c r="C7" s="49" t="n">
        <v>1</v>
      </c>
      <c r="D7" s="175" t="n">
        <v>7.02</v>
      </c>
      <c r="E7" s="50">
        <f>IFERROR(VLOOKUP(B7,'Dados B3'!A:G,2,FALSE),"-")</f>
        <v/>
      </c>
      <c r="F7" s="51">
        <f>IF(H7=P$4,(C7*(1)),IF(H7=P$3,(C7*(-1)),IF(H7=P$2,(C7*(1)))))</f>
        <v/>
      </c>
      <c r="G7" s="176">
        <f>F7*D7</f>
        <v/>
      </c>
      <c r="H7" s="52" t="inlineStr">
        <is>
          <t>COMPRA</t>
        </is>
      </c>
      <c r="I7" s="177" t="n"/>
      <c r="J7" s="178">
        <f>IF(H7="VENDA",I7*F7*-1,0)</f>
        <v/>
      </c>
      <c r="K7" s="178">
        <f>IF(J7=0,0,J7+G7)</f>
        <v/>
      </c>
      <c r="L7" s="5" t="n"/>
      <c r="M7" s="154" t="n"/>
      <c r="N7" s="155" t="n"/>
      <c r="P7" s="5" t="n"/>
    </row>
    <row r="8" ht="12.75" customHeight="1" s="107">
      <c r="A8" s="47" t="n">
        <v>45894</v>
      </c>
      <c r="B8" s="48" t="inlineStr">
        <is>
          <t>CPSH11</t>
        </is>
      </c>
      <c r="C8" s="49" t="n">
        <v>50</v>
      </c>
      <c r="D8" s="175" t="n">
        <v>9.470000000000001</v>
      </c>
      <c r="E8" s="50">
        <f>IFERROR(VLOOKUP(B8,'Dados B3'!A:G,2,FALSE),"-")</f>
        <v/>
      </c>
      <c r="F8" s="51">
        <f>IF(H8=P$4,(C8*(1)),IF(H8=P$3,(C8*(-1)),IF(H8=P$2,(C8*(1)))))</f>
        <v/>
      </c>
      <c r="G8" s="176">
        <f>F8*D8</f>
        <v/>
      </c>
      <c r="H8" s="52" t="inlineStr">
        <is>
          <t>COMPRA</t>
        </is>
      </c>
      <c r="I8" s="177" t="n"/>
      <c r="J8" s="178">
        <f>IF(H8="VENDA",I8*F8*-1,0)</f>
        <v/>
      </c>
      <c r="K8" s="178">
        <f>IF(J8=0,0,J8+G8)</f>
        <v/>
      </c>
      <c r="L8" s="5" t="n"/>
      <c r="M8" s="154" t="n"/>
      <c r="N8" s="155" t="n"/>
      <c r="P8" s="5" t="n"/>
    </row>
    <row r="9" ht="12.75" customHeight="1" s="107">
      <c r="A9" s="47" t="n">
        <v>45894</v>
      </c>
      <c r="B9" s="48" t="inlineStr">
        <is>
          <t>GARE11</t>
        </is>
      </c>
      <c r="C9" s="49" t="n">
        <v>51</v>
      </c>
      <c r="D9" s="175" t="n">
        <v>8.449999999999999</v>
      </c>
      <c r="E9" s="50">
        <f>IFERROR(VLOOKUP(B9,'Dados B3'!A:G,2,FALSE),"-")</f>
        <v/>
      </c>
      <c r="F9" s="51">
        <f>IF(H9=P$4,(C9*(1)),IF(H9=P$3,(C9*(-1)),IF(H9=P$2,(C9*(1)))))</f>
        <v/>
      </c>
      <c r="G9" s="176">
        <f>F9*D9</f>
        <v/>
      </c>
      <c r="H9" s="52" t="inlineStr">
        <is>
          <t>COMPRA</t>
        </is>
      </c>
      <c r="I9" s="177" t="n"/>
      <c r="J9" s="178">
        <f>IF(H9="VENDA",I9*F9*-1,0)</f>
        <v/>
      </c>
      <c r="K9" s="178">
        <f>IF(J9=0,0,J9+G9)</f>
        <v/>
      </c>
      <c r="L9" s="5" t="n"/>
      <c r="M9" s="154" t="n"/>
      <c r="N9" s="155" t="n"/>
      <c r="P9" s="5" t="n"/>
    </row>
    <row r="10" ht="12.75" customHeight="1" s="107">
      <c r="A10" s="47" t="n">
        <v>45894</v>
      </c>
      <c r="B10" s="48" t="inlineStr">
        <is>
          <t>BIME11</t>
        </is>
      </c>
      <c r="C10" s="49" t="n">
        <v>65</v>
      </c>
      <c r="D10" s="175" t="n">
        <v>6.82</v>
      </c>
      <c r="E10" s="50">
        <f>IFERROR(VLOOKUP(B10,'Dados B3'!A:G,2,FALSE),"-")</f>
        <v/>
      </c>
      <c r="F10" s="51">
        <f>IF(H10=P$4,(C10*(1)),IF(H10=P$3,(C10*(-1)),IF(H10=P$2,(C10*(1)))))</f>
        <v/>
      </c>
      <c r="G10" s="176">
        <f>F10*D10</f>
        <v/>
      </c>
      <c r="H10" s="52" t="inlineStr">
        <is>
          <t>COMPRA</t>
        </is>
      </c>
      <c r="I10" s="177" t="n"/>
      <c r="J10" s="178">
        <f>IF(H10="VENDA",I10*F10*-1,0)</f>
        <v/>
      </c>
      <c r="K10" s="178">
        <f>IF(J10=0,0,J10+G10)</f>
        <v/>
      </c>
      <c r="L10" s="5" t="n"/>
      <c r="M10" s="154" t="n"/>
      <c r="N10" s="155" t="n"/>
      <c r="P10" s="5" t="n"/>
    </row>
    <row r="11" ht="13.5" customHeight="1" s="107" thickBot="1">
      <c r="A11" s="47" t="n">
        <v>45894</v>
      </c>
      <c r="B11" s="48" t="inlineStr">
        <is>
          <t>FYTO11</t>
        </is>
      </c>
      <c r="C11" s="49" t="n">
        <v>50</v>
      </c>
      <c r="D11" s="175" t="n">
        <v>7.77</v>
      </c>
      <c r="E11" s="50">
        <f>IFERROR(VLOOKUP(B11,'Dados B3'!A:G,2,FALSE),"-")</f>
        <v/>
      </c>
      <c r="F11" s="51">
        <f>IF(H11=P$4,(C11*(1)),IF(H11=P$3,(C11*(-1)),IF(H11=P$2,(C11*(1)))))</f>
        <v/>
      </c>
      <c r="G11" s="176">
        <f>F11*D11</f>
        <v/>
      </c>
      <c r="H11" s="52" t="inlineStr">
        <is>
          <t>COMPRA</t>
        </is>
      </c>
      <c r="I11" s="177" t="n"/>
      <c r="J11" s="178">
        <f>IF(H11="VENDA",I11*F11*-1,0)</f>
        <v/>
      </c>
      <c r="K11" s="178">
        <f>IF(J11=0,0,J11+G11)</f>
        <v/>
      </c>
      <c r="L11" s="5" t="n"/>
      <c r="M11" s="156" t="n"/>
      <c r="N11" s="157" t="n"/>
      <c r="O11" s="5" t="n"/>
      <c r="P11" s="5" t="n"/>
    </row>
    <row r="12" ht="12.75" customHeight="1" s="107">
      <c r="A12" s="47" t="n">
        <v>45894</v>
      </c>
      <c r="B12" s="48" t="inlineStr">
        <is>
          <t>ARRI11</t>
        </is>
      </c>
      <c r="C12" s="49" t="n">
        <v>50</v>
      </c>
      <c r="D12" s="175" t="n">
        <v>7.45</v>
      </c>
      <c r="E12" s="50">
        <f>IFERROR(VLOOKUP(B12,'Dados B3'!A:G,2,FALSE),"-")</f>
        <v/>
      </c>
      <c r="F12" s="51">
        <f>IF(H12=P$4,(C12*(1)),IF(H12=P$3,(C12*(-1)),IF(H12=P$2,(C12*(1)))))</f>
        <v/>
      </c>
      <c r="G12" s="176">
        <f>F12*D12</f>
        <v/>
      </c>
      <c r="H12" s="52" t="inlineStr">
        <is>
          <t>COMPRA</t>
        </is>
      </c>
      <c r="I12" s="177" t="n"/>
      <c r="J12" s="178">
        <f>IF(H12="VENDA",I12*F12*-1,0)</f>
        <v/>
      </c>
      <c r="K12" s="178">
        <f>IF(J12=0,0,J12+G12)</f>
        <v/>
      </c>
      <c r="L12" s="5" t="n"/>
      <c r="O12" s="5" t="n"/>
      <c r="P12" s="5" t="n"/>
    </row>
    <row r="13" ht="12.75" customHeight="1" s="107">
      <c r="A13" s="47" t="n">
        <v>45894</v>
      </c>
      <c r="B13" s="48" t="inlineStr">
        <is>
          <t>TEPP11</t>
        </is>
      </c>
      <c r="C13" s="49" t="n">
        <v>4</v>
      </c>
      <c r="D13" s="175" t="n">
        <v>81.63</v>
      </c>
      <c r="E13" s="50">
        <f>IFERROR(VLOOKUP(B13,'Dados B3'!A:G,2,FALSE),"-")</f>
        <v/>
      </c>
      <c r="F13" s="51">
        <f>IF(H13=P$4,(C13*(1)),IF(H13=P$3,(C13*(-1)),IF(H13=P$2,(C13*(1)))))</f>
        <v/>
      </c>
      <c r="G13" s="176">
        <f>F13*D13</f>
        <v/>
      </c>
      <c r="H13" s="52" t="inlineStr">
        <is>
          <t>COMPRA</t>
        </is>
      </c>
      <c r="I13" s="177" t="n"/>
      <c r="J13" s="178">
        <f>IF(H13="VENDA",I13*F13*-1,0)</f>
        <v/>
      </c>
      <c r="K13" s="178">
        <f>IF(J13=0,0,J13+G13)</f>
        <v/>
      </c>
      <c r="L13" s="5" t="n"/>
      <c r="O13" s="5" t="n"/>
      <c r="P13" s="5" t="n"/>
    </row>
    <row r="14" ht="12.75" customHeight="1" s="107">
      <c r="A14" s="47" t="n">
        <v>45894</v>
      </c>
      <c r="B14" s="48" t="inlineStr">
        <is>
          <t>TRXF11</t>
        </is>
      </c>
      <c r="C14" s="49" t="n">
        <v>3</v>
      </c>
      <c r="D14" s="175" t="n">
        <v>99.63</v>
      </c>
      <c r="E14" s="50">
        <f>IFERROR(VLOOKUP(B14,'Dados B3'!A:G,2,FALSE),"-")</f>
        <v/>
      </c>
      <c r="F14" s="51">
        <f>IF(H14=P$4,(C14*(1)),IF(H14=P$3,(C14*(-1)),IF(H14=P$2,(C14*(1)))))</f>
        <v/>
      </c>
      <c r="G14" s="176">
        <f>F14*D14</f>
        <v/>
      </c>
      <c r="H14" s="52" t="inlineStr">
        <is>
          <t>COMPRA</t>
        </is>
      </c>
      <c r="I14" s="177" t="n"/>
      <c r="J14" s="178">
        <f>IF(H14="VENDA",I14*F14*-1,0)</f>
        <v/>
      </c>
      <c r="K14" s="178">
        <f>IF(J14=0,0,J14+G14)</f>
        <v/>
      </c>
      <c r="L14" s="5" t="n"/>
      <c r="O14" s="5" t="n"/>
      <c r="P14" s="5" t="n"/>
    </row>
    <row r="15" ht="12.75" customHeight="1" s="107">
      <c r="A15" s="47" t="n">
        <v>45894</v>
      </c>
      <c r="B15" s="48" t="inlineStr">
        <is>
          <t>DEVA11</t>
        </is>
      </c>
      <c r="C15" s="49" t="n">
        <v>10</v>
      </c>
      <c r="D15" s="175" t="n">
        <v>29.19</v>
      </c>
      <c r="E15" s="50">
        <f>IFERROR(VLOOKUP(B15,'Dados B3'!A:G,2,FALSE),"-")</f>
        <v/>
      </c>
      <c r="F15" s="51">
        <f>IF(H15=P$4,(C15*(1)),IF(H15=P$3,(C15*(-1)),IF(H15=P$2,(C15*(1)))))</f>
        <v/>
      </c>
      <c r="G15" s="176">
        <f>F15*D15</f>
        <v/>
      </c>
      <c r="H15" s="52" t="inlineStr">
        <is>
          <t>COMPRA</t>
        </is>
      </c>
      <c r="I15" s="177" t="n"/>
      <c r="J15" s="178">
        <f>IF(H15="VENDA",I15*F15*-1,0)</f>
        <v/>
      </c>
      <c r="K15" s="178">
        <f>IF(J15=0,0,J15+G15)</f>
        <v/>
      </c>
      <c r="O15" s="5" t="n"/>
    </row>
    <row r="16" ht="12.75" customHeight="1" s="107">
      <c r="A16" s="47" t="n">
        <v>45894</v>
      </c>
      <c r="B16" s="48" t="inlineStr">
        <is>
          <t>LIFE11</t>
        </is>
      </c>
      <c r="C16" s="49" t="n">
        <v>30</v>
      </c>
      <c r="D16" s="175" t="n">
        <v>8.81</v>
      </c>
      <c r="E16" s="50">
        <f>IFERROR(VLOOKUP(B16,'Dados B3'!A:G,2,FALSE),"-")</f>
        <v/>
      </c>
      <c r="F16" s="51">
        <f>IF(H16=P$4,(C16*(1)),IF(H16=P$3,(C16*(-1)),IF(H16=P$2,(C16*(1)))))</f>
        <v/>
      </c>
      <c r="G16" s="176">
        <f>F16*D16</f>
        <v/>
      </c>
      <c r="H16" s="52" t="inlineStr">
        <is>
          <t>COMPRA</t>
        </is>
      </c>
      <c r="I16" s="177" t="n"/>
      <c r="J16" s="178">
        <f>IF(H16="VENDA",I16*F16*-1,0)</f>
        <v/>
      </c>
      <c r="K16" s="178">
        <f>IF(J16=0,0,J16+G16)</f>
        <v/>
      </c>
    </row>
    <row r="17" ht="12.75" customHeight="1" s="107">
      <c r="A17" s="47" t="n">
        <v>45894</v>
      </c>
      <c r="B17" s="48" t="inlineStr">
        <is>
          <t>IRDM11</t>
        </is>
      </c>
      <c r="C17" s="49" t="n">
        <v>4</v>
      </c>
      <c r="D17" s="175" t="n">
        <v>65.66</v>
      </c>
      <c r="E17" s="50">
        <f>IFERROR(VLOOKUP(B17,'Dados B3'!A:G,2,FALSE),"-")</f>
        <v/>
      </c>
      <c r="F17" s="51">
        <f>IF(H17=P$4,(C17*(1)),IF(H17=P$3,(C17*(-1)),IF(H17=P$2,(C17*(1)))))</f>
        <v/>
      </c>
      <c r="G17" s="176">
        <f>F17*D17</f>
        <v/>
      </c>
      <c r="H17" s="52" t="inlineStr">
        <is>
          <t>COMPRA</t>
        </is>
      </c>
      <c r="I17" s="177" t="n"/>
      <c r="J17" s="178">
        <f>IF(H17="VENDA",I17*F17*-1,0)</f>
        <v/>
      </c>
      <c r="K17" s="178">
        <f>IF(J17=0,0,J17+G17)</f>
        <v/>
      </c>
    </row>
    <row r="18" ht="12.75" customHeight="1" s="107">
      <c r="A18" s="47" t="n">
        <v>45894</v>
      </c>
      <c r="B18" s="48" t="inlineStr">
        <is>
          <t>EQIR11</t>
        </is>
      </c>
      <c r="C18" s="49" t="n">
        <v>30</v>
      </c>
      <c r="D18" s="175" t="n">
        <v>7.67</v>
      </c>
      <c r="E18" s="50">
        <f>IFERROR(VLOOKUP(B18,'Dados B3'!A:G,2,FALSE),"-")</f>
        <v/>
      </c>
      <c r="F18" s="51">
        <f>IF(H18=P$4,(C18*(1)),IF(H18=P$3,(C18*(-1)),IF(H18=P$2,(C18*(1)))))</f>
        <v/>
      </c>
      <c r="G18" s="176">
        <f>F18*D18</f>
        <v/>
      </c>
      <c r="H18" s="52" t="inlineStr">
        <is>
          <t>COMPRA</t>
        </is>
      </c>
      <c r="I18" s="177" t="n"/>
      <c r="J18" s="178">
        <f>IF(H18="VENDA",I18*F18*-1,0)</f>
        <v/>
      </c>
      <c r="K18" s="178">
        <f>IF(J18=0,0,J18+G18)</f>
        <v/>
      </c>
    </row>
    <row r="19" ht="12.75" customHeight="1" s="107">
      <c r="A19" s="47" t="n">
        <v>45894</v>
      </c>
      <c r="B19" s="48" t="inlineStr">
        <is>
          <t>ALZR11</t>
        </is>
      </c>
      <c r="C19" s="49" t="n">
        <v>20</v>
      </c>
      <c r="D19" s="175" t="n">
        <v>9.800000000000001</v>
      </c>
      <c r="E19" s="50">
        <f>IFERROR(VLOOKUP(B19,'Dados B3'!A:G,2,FALSE),"-")</f>
        <v/>
      </c>
      <c r="F19" s="51">
        <f>IF(H19=P$4,(C19*(1)),IF(H19=P$3,(C19*(-1)),IF(H19=P$2,(C19*(1)))))</f>
        <v/>
      </c>
      <c r="G19" s="176">
        <f>F19*D19</f>
        <v/>
      </c>
      <c r="H19" s="52" t="inlineStr">
        <is>
          <t>COMPRA</t>
        </is>
      </c>
      <c r="I19" s="177" t="n"/>
      <c r="J19" s="178">
        <f>IF(H19="VENDA",I19*F19*-1,0)</f>
        <v/>
      </c>
      <c r="K19" s="178">
        <f>IF(J19=0,0,J19+G19)</f>
        <v/>
      </c>
    </row>
    <row r="20" ht="12.75" customHeight="1" s="107">
      <c r="A20" s="47" t="n">
        <v>45894</v>
      </c>
      <c r="B20" s="48" t="inlineStr">
        <is>
          <t>XPML11</t>
        </is>
      </c>
      <c r="C20" s="49" t="n">
        <v>2</v>
      </c>
      <c r="D20" s="175" t="n">
        <v>98.53</v>
      </c>
      <c r="E20" s="50">
        <f>IFERROR(VLOOKUP(B20,'Dados B3'!A:G,2,FALSE),"-")</f>
        <v/>
      </c>
      <c r="F20" s="51">
        <f>IF(H20=P$4,(C20*(1)),IF(H20=P$3,(C20*(-1)),IF(H20=P$2,(C20*(1)))))</f>
        <v/>
      </c>
      <c r="G20" s="176">
        <f>F20*D20</f>
        <v/>
      </c>
      <c r="H20" s="52" t="inlineStr">
        <is>
          <t>COMPRA</t>
        </is>
      </c>
      <c r="I20" s="177" t="n"/>
      <c r="J20" s="178">
        <f>IF(H20="VENDA",I20*F20*-1,0)</f>
        <v/>
      </c>
      <c r="K20" s="178">
        <f>IF(J20=0,0,J20+G20)</f>
        <v/>
      </c>
    </row>
    <row r="21">
      <c r="A21" s="47" t="n">
        <v>45894</v>
      </c>
      <c r="B21" s="48" t="inlineStr">
        <is>
          <t>VINO11</t>
        </is>
      </c>
      <c r="C21" s="49" t="n">
        <v>40</v>
      </c>
      <c r="D21" s="175" t="n">
        <v>5.07</v>
      </c>
      <c r="E21" s="50">
        <f>IFERROR(VLOOKUP(B21,'Dados B3'!A:G,2,FALSE),"-")</f>
        <v/>
      </c>
      <c r="F21" s="51">
        <f>IF(H21=P$4,(C21*(1)),IF(H21=P$3,(C21*(-1)),IF(H21=P$2,(C21*(1)))))</f>
        <v/>
      </c>
      <c r="G21" s="176">
        <f>F21*D21</f>
        <v/>
      </c>
      <c r="H21" s="52" t="inlineStr">
        <is>
          <t>COMPRA</t>
        </is>
      </c>
      <c r="I21" s="177" t="n"/>
      <c r="J21" s="178">
        <f>IF(H21="VENDA",I21*F21*-1,0)</f>
        <v/>
      </c>
      <c r="K21" s="178">
        <f>IF(J21=0,0,J21+G21)</f>
        <v/>
      </c>
    </row>
    <row r="22" ht="12.75" customHeight="1" s="107">
      <c r="A22" s="47" t="n">
        <v>45894</v>
      </c>
      <c r="B22" s="48" t="inlineStr">
        <is>
          <t>HGBL11</t>
        </is>
      </c>
      <c r="C22" s="49" t="n">
        <v>21</v>
      </c>
      <c r="D22" s="175" t="n">
        <v>8.470000000000001</v>
      </c>
      <c r="E22" s="50">
        <f>IFERROR(VLOOKUP(B22,'Dados B3'!A:G,2,FALSE),"-")</f>
        <v/>
      </c>
      <c r="F22" s="51">
        <f>IF(H22=P$4,(C22*(1)),IF(H22=P$3,(C22*(-1)),IF(H22=P$2,(C22*(1)))))</f>
        <v/>
      </c>
      <c r="G22" s="176">
        <f>F22*D22</f>
        <v/>
      </c>
      <c r="H22" s="52" t="inlineStr">
        <is>
          <t>COMPRA</t>
        </is>
      </c>
      <c r="I22" s="177" t="n"/>
      <c r="J22" s="178">
        <f>IF(H22="VENDA",I22*F22*-1,0)</f>
        <v/>
      </c>
      <c r="K22" s="178">
        <f>IF(J22=0,0,J22+G22)</f>
        <v/>
      </c>
    </row>
    <row r="23" ht="12.75" customHeight="1" s="107">
      <c r="A23" s="47" t="n">
        <v>45894</v>
      </c>
      <c r="B23" s="48" t="inlineStr">
        <is>
          <t>MCCI11</t>
        </is>
      </c>
      <c r="C23" s="49" t="n">
        <v>2</v>
      </c>
      <c r="D23" s="175" t="n">
        <v>85.25</v>
      </c>
      <c r="E23" s="50">
        <f>IFERROR(VLOOKUP(B23,'Dados B3'!A:G,2,FALSE),"-")</f>
        <v/>
      </c>
      <c r="F23" s="51">
        <f>IF(H23=P$4,(C23*(1)),IF(H23=P$3,(C23*(-1)),IF(H23=P$2,(C23*(1)))))</f>
        <v/>
      </c>
      <c r="G23" s="176">
        <f>F23*D23</f>
        <v/>
      </c>
      <c r="H23" s="52" t="inlineStr">
        <is>
          <t>COMPRA</t>
        </is>
      </c>
      <c r="I23" s="177" t="n"/>
      <c r="J23" s="178">
        <f>IF(H23="VENDA",I23*F23*-1,0)</f>
        <v/>
      </c>
      <c r="K23" s="178">
        <f>IF(J23=0,0,J23+G23)</f>
        <v/>
      </c>
    </row>
    <row r="24" ht="12.75" customHeight="1" s="107">
      <c r="A24" s="47" t="n">
        <v>45894</v>
      </c>
      <c r="B24" s="48" t="inlineStr">
        <is>
          <t>CPTS11</t>
        </is>
      </c>
      <c r="C24" s="49" t="n">
        <v>22</v>
      </c>
      <c r="D24" s="175" t="n">
        <v>6.78</v>
      </c>
      <c r="E24" s="50">
        <f>IFERROR(VLOOKUP(B24,'Dados B3'!A:G,2,FALSE),"-")</f>
        <v/>
      </c>
      <c r="F24" s="51">
        <f>IF(H24=P$4,(C24*(1)),IF(H24=P$3,(C24*(-1)),IF(H24=P$2,(C24*(1)))))</f>
        <v/>
      </c>
      <c r="G24" s="176">
        <f>F24*D24</f>
        <v/>
      </c>
      <c r="H24" s="52" t="inlineStr">
        <is>
          <t>COMPRA</t>
        </is>
      </c>
      <c r="I24" s="177" t="n"/>
      <c r="J24" s="178">
        <f>IF(H24="VENDA",I24*F24*-1,0)</f>
        <v/>
      </c>
      <c r="K24" s="178">
        <f>IF(J24=0,0,J24+G24)</f>
        <v/>
      </c>
    </row>
    <row r="25" ht="12.75" customHeight="1" s="107">
      <c r="A25" s="47" t="n">
        <v>45894</v>
      </c>
      <c r="B25" s="48" t="inlineStr">
        <is>
          <t>AAZQ11</t>
        </is>
      </c>
      <c r="C25" s="49" t="n">
        <v>20</v>
      </c>
      <c r="D25" s="175" t="n">
        <v>6.8</v>
      </c>
      <c r="E25" s="50">
        <f>IFERROR(VLOOKUP(B25,'Dados B3'!A:G,2,FALSE),"-")</f>
        <v/>
      </c>
      <c r="F25" s="51">
        <f>IF(H25=P$4,(C25*(1)),IF(H25=P$3,(C25*(-1)),IF(H25=P$2,(C25*(1)))))</f>
        <v/>
      </c>
      <c r="G25" s="176">
        <f>F25*D25</f>
        <v/>
      </c>
      <c r="H25" s="52" t="inlineStr">
        <is>
          <t>COMPRA</t>
        </is>
      </c>
      <c r="I25" s="177" t="n"/>
      <c r="J25" s="178">
        <f>IF(H25="VENDA",I25*F25*-1,0)</f>
        <v/>
      </c>
      <c r="K25" s="178">
        <f>IF(J25=0,0,J25+G25)</f>
        <v/>
      </c>
    </row>
    <row r="26" ht="12.75" customHeight="1" s="107">
      <c r="A26" s="47" t="n">
        <v>45894</v>
      </c>
      <c r="B26" s="48" t="inlineStr">
        <is>
          <t>KISU11</t>
        </is>
      </c>
      <c r="C26" s="49" t="n">
        <v>20</v>
      </c>
      <c r="D26" s="175" t="n">
        <v>6.83</v>
      </c>
      <c r="E26" s="50">
        <f>IFERROR(VLOOKUP(B26,'Dados B3'!A:G,2,FALSE),"-")</f>
        <v/>
      </c>
      <c r="F26" s="51">
        <f>IF(H26=P$4,(C26*(1)),IF(H26=P$3,(C26*(-1)),IF(H26=P$2,(C26*(1)))))</f>
        <v/>
      </c>
      <c r="G26" s="176">
        <f>F26*D26</f>
        <v/>
      </c>
      <c r="H26" s="52" t="inlineStr">
        <is>
          <t>COMPRA</t>
        </is>
      </c>
      <c r="I26" s="177" t="n"/>
      <c r="J26" s="178">
        <f>IF(H26="VENDA",I26*F26*-1,0)</f>
        <v/>
      </c>
      <c r="K26" s="178">
        <f>IF(J26=0,0,J26+G26)</f>
        <v/>
      </c>
    </row>
    <row r="27" ht="12.75" customHeight="1" s="107">
      <c r="A27" s="47" t="n">
        <v>45894</v>
      </c>
      <c r="B27" s="48" t="inlineStr">
        <is>
          <t>SNAG11</t>
        </is>
      </c>
      <c r="C27" s="49" t="n">
        <v>10</v>
      </c>
      <c r="D27" s="175" t="n">
        <v>9.539999999999999</v>
      </c>
      <c r="E27" s="50">
        <f>IFERROR(VLOOKUP(B27,'Dados B3'!A:G,2,FALSE),"-")</f>
        <v/>
      </c>
      <c r="F27" s="51">
        <f>IF(H27=P$4,(C27*(1)),IF(H27=P$3,(C27*(-1)),IF(H27=P$2,(C27*(1)))))</f>
        <v/>
      </c>
      <c r="G27" s="176">
        <f>F27*D27</f>
        <v/>
      </c>
      <c r="H27" s="52" t="inlineStr">
        <is>
          <t>COMPRA</t>
        </is>
      </c>
      <c r="I27" s="177" t="n"/>
      <c r="J27" s="178">
        <f>IF(H27="VENDA",I27*F27*-1,0)</f>
        <v/>
      </c>
      <c r="K27" s="178">
        <f>IF(J27=0,0,J27+G27)</f>
        <v/>
      </c>
    </row>
    <row r="28">
      <c r="A28" s="47" t="n">
        <v>45894</v>
      </c>
      <c r="B28" s="48" t="inlineStr">
        <is>
          <t>VGRI11</t>
        </is>
      </c>
      <c r="C28" s="49" t="n">
        <v>10</v>
      </c>
      <c r="D28" s="175" t="n">
        <v>7.6</v>
      </c>
      <c r="E28" s="50">
        <f>IFERROR(VLOOKUP(B28,'Dados B3'!A:G,2,FALSE),"-")</f>
        <v/>
      </c>
      <c r="F28" s="51">
        <f>IF(H28=P$4,(C28*(1)),IF(H28=P$3,(C28*(-1)),IF(H28=P$2,(C28*(1)))))</f>
        <v/>
      </c>
      <c r="G28" s="176">
        <f>F28*D28</f>
        <v/>
      </c>
      <c r="H28" s="52" t="inlineStr">
        <is>
          <t>COMPRA</t>
        </is>
      </c>
      <c r="I28" s="177" t="n"/>
      <c r="J28" s="178">
        <f>IF(H28="VENDA",I28*F28*-1,0)</f>
        <v/>
      </c>
      <c r="K28" s="178">
        <f>IF(J28=0,0,J28+G28)</f>
        <v/>
      </c>
    </row>
    <row r="29">
      <c r="A29" s="47" t="n">
        <v>45894</v>
      </c>
      <c r="B29" s="48" t="inlineStr">
        <is>
          <t>BTHF11</t>
        </is>
      </c>
      <c r="C29" s="49" t="n">
        <v>10</v>
      </c>
      <c r="D29" s="175" t="n">
        <v>7.58</v>
      </c>
      <c r="E29" s="50">
        <f>IFERROR(VLOOKUP(B29,'Dados B3'!A:G,2,FALSE),"-")</f>
        <v/>
      </c>
      <c r="F29" s="51">
        <f>IF(H29=P$4,(C29*(1)),IF(H29=P$3,(C29*(-1)),IF(H29=P$2,(C29*(1)))))</f>
        <v/>
      </c>
      <c r="G29" s="176">
        <f>F29*D29</f>
        <v/>
      </c>
      <c r="H29" s="52" t="inlineStr">
        <is>
          <t>COMPRA</t>
        </is>
      </c>
      <c r="I29" s="177" t="n"/>
      <c r="J29" s="178">
        <f>IF(H29="VENDA",I29*F29*-1,0)</f>
        <v/>
      </c>
      <c r="K29" s="178">
        <f>IF(J29=0,0,J29+G29)</f>
        <v/>
      </c>
    </row>
    <row r="30">
      <c r="A30" s="47" t="n">
        <v>45894</v>
      </c>
      <c r="B30" s="48" t="inlineStr">
        <is>
          <t>RURA11</t>
        </is>
      </c>
      <c r="C30" s="49" t="n">
        <v>10</v>
      </c>
      <c r="D30" s="175" t="n">
        <v>7.88</v>
      </c>
      <c r="E30" s="50">
        <f>IFERROR(VLOOKUP(B30,'Dados B3'!A:G,2,FALSE),"-")</f>
        <v/>
      </c>
      <c r="F30" s="51">
        <f>IF(H30=P$4,(C30*(1)),IF(H30=P$3,(C30*(-1)),IF(H30=P$2,(C30*(1)))))</f>
        <v/>
      </c>
      <c r="G30" s="176">
        <f>F30*D30</f>
        <v/>
      </c>
      <c r="H30" s="52" t="inlineStr">
        <is>
          <t>COMPRA</t>
        </is>
      </c>
      <c r="I30" s="177" t="n"/>
      <c r="J30" s="178">
        <f>IF(H30="VENDA",I30*F30*-1,0)</f>
        <v/>
      </c>
      <c r="K30" s="178">
        <f>IF(J30=0,0,J30+G30)</f>
        <v/>
      </c>
    </row>
    <row r="31">
      <c r="A31" s="47" t="n">
        <v>45894</v>
      </c>
      <c r="B31" s="48" t="inlineStr">
        <is>
          <t>BIDB11</t>
        </is>
      </c>
      <c r="C31" s="49" t="n">
        <v>1</v>
      </c>
      <c r="D31" s="175" t="n">
        <v>79.73</v>
      </c>
      <c r="E31" s="50">
        <f>IFERROR(VLOOKUP(B31,'Dados B3'!A:G,2,FALSE),"-")</f>
        <v/>
      </c>
      <c r="F31" s="51">
        <f>IF(H31=P$4,(C31*(1)),IF(H31=P$3,(C31*(-1)),IF(H31=P$2,(C31*(1)))))</f>
        <v/>
      </c>
      <c r="G31" s="176">
        <f>F31*D31</f>
        <v/>
      </c>
      <c r="H31" s="52" t="inlineStr">
        <is>
          <t>COMPRA</t>
        </is>
      </c>
      <c r="I31" s="177" t="n"/>
      <c r="J31" s="178">
        <f>IF(H31="VENDA",I31*F31*-1,0)</f>
        <v/>
      </c>
      <c r="K31" s="178">
        <f>IF(J31=0,0,J31+G31)</f>
        <v/>
      </c>
    </row>
    <row r="32">
      <c r="A32" s="47" t="n">
        <v>45894</v>
      </c>
      <c r="B32" s="48" t="inlineStr">
        <is>
          <t>INLG11</t>
        </is>
      </c>
      <c r="C32" s="49" t="n">
        <v>1</v>
      </c>
      <c r="D32" s="175" t="n">
        <v>74.95999999999999</v>
      </c>
      <c r="E32" s="50">
        <f>IFERROR(VLOOKUP(B32,'Dados B3'!A:G,2,FALSE),"-")</f>
        <v/>
      </c>
      <c r="F32" s="51">
        <f>IF(H32=P$4,(C32*(1)),IF(H32=P$3,(C32*(-1)),IF(H32=P$2,(C32*(1)))))</f>
        <v/>
      </c>
      <c r="G32" s="176">
        <f>F32*D32</f>
        <v/>
      </c>
      <c r="H32" s="52" t="inlineStr">
        <is>
          <t>COMPRA</t>
        </is>
      </c>
      <c r="I32" s="177" t="n"/>
      <c r="J32" s="178">
        <f>IF(H32="VENDA",I32*F32*-1,0)</f>
        <v/>
      </c>
      <c r="K32" s="178">
        <f>IF(J32=0,0,J32+G32)</f>
        <v/>
      </c>
    </row>
    <row r="33">
      <c r="A33" s="47" t="n">
        <v>45894</v>
      </c>
      <c r="B33" s="48" t="inlineStr">
        <is>
          <t>RAIZ4</t>
        </is>
      </c>
      <c r="C33" s="49" t="n">
        <v>1000</v>
      </c>
      <c r="D33" s="175" t="n">
        <v>1.7</v>
      </c>
      <c r="E33" s="50">
        <f>IFERROR(VLOOKUP(B33,'Dados B3'!A:G,2,FALSE),"-")</f>
        <v/>
      </c>
      <c r="F33" s="51">
        <f>IF(H33=P$4,(C33*(1)),IF(H33=P$3,(C33*(-1)),IF(H33=P$2,(C33*(1)))))</f>
        <v/>
      </c>
      <c r="G33" s="176">
        <f>F33*D33</f>
        <v/>
      </c>
      <c r="H33" s="52" t="inlineStr">
        <is>
          <t>COMPRA</t>
        </is>
      </c>
      <c r="I33" s="177" t="n"/>
      <c r="J33" s="178">
        <f>IF(H33="VENDA",I33*F33*-1,0)</f>
        <v/>
      </c>
      <c r="K33" s="178">
        <f>IF(J33=0,0,J33+G33)</f>
        <v/>
      </c>
    </row>
    <row r="34">
      <c r="A34" s="47" t="n">
        <v>45894</v>
      </c>
      <c r="B34" s="48" t="inlineStr">
        <is>
          <t>PETR4</t>
        </is>
      </c>
      <c r="C34" s="49" t="n">
        <v>26</v>
      </c>
      <c r="D34" s="175" t="n">
        <v>31.38</v>
      </c>
      <c r="E34" s="50">
        <f>IFERROR(VLOOKUP(B34,'Dados B3'!A:G,2,FALSE),"-")</f>
        <v/>
      </c>
      <c r="F34" s="51">
        <f>IF(H34=P$4,(C34*(1)),IF(H34=P$3,(C34*(-1)),IF(H34=P$2,(C34*(1)))))</f>
        <v/>
      </c>
      <c r="G34" s="176">
        <f>F34*D34</f>
        <v/>
      </c>
      <c r="H34" s="52" t="inlineStr">
        <is>
          <t>COMPRA</t>
        </is>
      </c>
      <c r="I34" s="177" t="n"/>
      <c r="J34" s="178">
        <f>IF(H34="VENDA",I34*F34*-1,0)</f>
        <v/>
      </c>
      <c r="K34" s="178">
        <f>IF(J34=0,0,J34+G34)</f>
        <v/>
      </c>
    </row>
    <row r="35">
      <c r="A35" s="47" t="n">
        <v>45894</v>
      </c>
      <c r="B35" s="48" t="inlineStr">
        <is>
          <t>VALE3</t>
        </is>
      </c>
      <c r="C35" s="49" t="n">
        <v>4</v>
      </c>
      <c r="D35" s="175" t="n">
        <v>53.27</v>
      </c>
      <c r="E35" s="50">
        <f>IFERROR(VLOOKUP(B35,'Dados B3'!A:G,2,FALSE),"-")</f>
        <v/>
      </c>
      <c r="F35" s="51">
        <f>IF(H35=P$4,(C35*(1)),IF(H35=P$3,(C35*(-1)),IF(H35=P$2,(C35*(1)))))</f>
        <v/>
      </c>
      <c r="G35" s="176">
        <f>F35*D35</f>
        <v/>
      </c>
      <c r="H35" s="52" t="inlineStr">
        <is>
          <t>COMPRA</t>
        </is>
      </c>
      <c r="I35" s="177" t="n"/>
      <c r="J35" s="178">
        <f>IF(H35="VENDA",I35*F35*-1,0)</f>
        <v/>
      </c>
      <c r="K35" s="178">
        <f>IF(J35=0,0,J35+G35)</f>
        <v/>
      </c>
    </row>
    <row r="36">
      <c r="A36" s="47" t="n">
        <v>45894</v>
      </c>
      <c r="B36" s="48" t="inlineStr">
        <is>
          <t>RECV3</t>
        </is>
      </c>
      <c r="C36" s="49" t="n">
        <v>10</v>
      </c>
      <c r="D36" s="175" t="n">
        <v>13.88</v>
      </c>
      <c r="E36" s="50">
        <f>IFERROR(VLOOKUP(B36,'Dados B3'!A:G,2,FALSE),"-")</f>
        <v/>
      </c>
      <c r="F36" s="51">
        <f>IF(H36=P$4,(C36*(1)),IF(H36=P$3,(C36*(-1)),IF(H36=P$2,(C36*(1)))))</f>
        <v/>
      </c>
      <c r="G36" s="176">
        <f>F36*D36</f>
        <v/>
      </c>
      <c r="H36" s="52" t="inlineStr">
        <is>
          <t>COMPRA</t>
        </is>
      </c>
      <c r="I36" s="177" t="n"/>
      <c r="J36" s="178">
        <f>IF(H36="VENDA",I36*F36*-1,0)</f>
        <v/>
      </c>
      <c r="K36" s="178">
        <f>IF(J36=0,0,J36+G36)</f>
        <v/>
      </c>
    </row>
    <row r="37">
      <c r="A37" s="47" t="n">
        <v>45894</v>
      </c>
      <c r="B37" s="48" t="inlineStr">
        <is>
          <t>USIM5</t>
        </is>
      </c>
      <c r="C37" s="49" t="n">
        <v>20</v>
      </c>
      <c r="D37" s="175" t="n">
        <v>4.6</v>
      </c>
      <c r="E37" s="50">
        <f>IFERROR(VLOOKUP(B37,'Dados B3'!A:G,2,FALSE),"-")</f>
        <v/>
      </c>
      <c r="F37" s="51">
        <f>IF(H37=P$4,(C37*(1)),IF(H37=P$3,(C37*(-1)),IF(H37=P$2,(C37*(1)))))</f>
        <v/>
      </c>
      <c r="G37" s="176">
        <f>F37*D37</f>
        <v/>
      </c>
      <c r="H37" s="52" t="inlineStr">
        <is>
          <t>COMPRA</t>
        </is>
      </c>
      <c r="I37" s="177" t="n"/>
      <c r="J37" s="178">
        <f>IF(H37="VENDA",I37*F37*-1,0)</f>
        <v/>
      </c>
      <c r="K37" s="178">
        <f>IF(J37=0,0,J37+G37)</f>
        <v/>
      </c>
    </row>
    <row r="38">
      <c r="A38" s="47" t="n">
        <v>45894</v>
      </c>
      <c r="B38" s="48" t="inlineStr">
        <is>
          <t>CSNA3</t>
        </is>
      </c>
      <c r="C38" s="49" t="n">
        <v>10</v>
      </c>
      <c r="D38" s="175" t="n">
        <v>8.300000000000001</v>
      </c>
      <c r="E38" s="50">
        <f>IFERROR(VLOOKUP(B38,'Dados B3'!A:G,2,FALSE),"-")</f>
        <v/>
      </c>
      <c r="F38" s="51">
        <f>IF(H38=P$4,(C38*(1)),IF(H38=P$3,(C38*(-1)),IF(H38=P$2,(C38*(1)))))</f>
        <v/>
      </c>
      <c r="G38" s="176">
        <f>F38*D38</f>
        <v/>
      </c>
      <c r="H38" s="52" t="inlineStr">
        <is>
          <t>COMPRA</t>
        </is>
      </c>
      <c r="I38" s="177" t="n"/>
      <c r="J38" s="178">
        <f>IF(H38="VENDA",I38*F38*-1,0)</f>
        <v/>
      </c>
      <c r="K38" s="178">
        <f>IF(J38=0,0,J38+G38)</f>
        <v/>
      </c>
    </row>
    <row r="39">
      <c r="A39" s="47" t="n">
        <v>45894</v>
      </c>
      <c r="B39" s="48" t="inlineStr">
        <is>
          <t>DIVD11</t>
        </is>
      </c>
      <c r="C39" s="49" t="n">
        <v>1</v>
      </c>
      <c r="D39" s="175" t="n">
        <v>51.04</v>
      </c>
      <c r="E39" s="50">
        <f>IFERROR(VLOOKUP(B39,'Dados B3'!A:G,2,FALSE),"-")</f>
        <v/>
      </c>
      <c r="F39" s="51">
        <f>IF(H39=P$4,(C39*(1)),IF(H39=P$3,(C39*(-1)),IF(H39=P$2,(C39*(1)))))</f>
        <v/>
      </c>
      <c r="G39" s="176">
        <f>F39*D39</f>
        <v/>
      </c>
      <c r="H39" s="52" t="inlineStr">
        <is>
          <t>VENDA</t>
        </is>
      </c>
      <c r="I39" s="177" t="n">
        <v>15.01</v>
      </c>
      <c r="J39" s="178">
        <f>IF(H39="VENDA",I39*F39*-1,0)</f>
        <v/>
      </c>
      <c r="K39" s="178">
        <f>IF(J39=0,0,J39+G39)</f>
        <v/>
      </c>
    </row>
    <row r="40">
      <c r="A40" s="47" t="n">
        <v>45894</v>
      </c>
      <c r="B40" s="48" t="inlineStr">
        <is>
          <t>BBDC4</t>
        </is>
      </c>
      <c r="C40" s="49" t="n">
        <v>2</v>
      </c>
      <c r="D40" s="175" t="n">
        <v>12.64</v>
      </c>
      <c r="E40" s="50">
        <f>IFERROR(VLOOKUP(B40,'Dados B3'!A:G,2,FALSE),"-")</f>
        <v/>
      </c>
      <c r="F40" s="51">
        <f>IF(H40=P$4,(C40*(1)),IF(H40=P$3,(C40*(-1)),IF(H40=P$2,(C40*(1)))))</f>
        <v/>
      </c>
      <c r="G40" s="176">
        <f>F40*D40</f>
        <v/>
      </c>
      <c r="H40" s="52" t="inlineStr">
        <is>
          <t>VENDA</t>
        </is>
      </c>
      <c r="I40" s="177" t="n">
        <v>23.33</v>
      </c>
      <c r="J40" s="178">
        <f>IF(H40="VENDA",I40*F40*-1,0)</f>
        <v/>
      </c>
      <c r="K40" s="178">
        <f>IF(J40=0,0,J40+G40)</f>
        <v/>
      </c>
    </row>
    <row r="41">
      <c r="A41" s="47" t="n">
        <v>45894</v>
      </c>
      <c r="B41" s="48" t="inlineStr">
        <is>
          <t>CMIG4</t>
        </is>
      </c>
      <c r="C41" s="49" t="n">
        <v>3</v>
      </c>
      <c r="D41" s="175" t="n">
        <v>10.54</v>
      </c>
      <c r="E41" s="50">
        <f>IFERROR(VLOOKUP(B41,'Dados B3'!A:G,2,FALSE),"-")</f>
        <v/>
      </c>
      <c r="F41" s="51">
        <f>IF(H41=P$4,(C41*(1)),IF(H41=P$3,(C41*(-1)),IF(H41=P$2,(C41*(1)))))</f>
        <v/>
      </c>
      <c r="G41" s="176">
        <f>F41*D41</f>
        <v/>
      </c>
      <c r="H41" s="52" t="inlineStr">
        <is>
          <t>COMPRA</t>
        </is>
      </c>
      <c r="I41" s="177" t="n"/>
      <c r="J41" s="178">
        <f>IF(H41="VENDA",I41*F41*-1,0)</f>
        <v/>
      </c>
      <c r="K41" s="178">
        <f>IF(J41=0,0,J41+G41)</f>
        <v/>
      </c>
    </row>
    <row r="42">
      <c r="A42" s="47" t="n">
        <v>45894</v>
      </c>
      <c r="B42" s="48" t="inlineStr">
        <is>
          <t>CXSE3</t>
        </is>
      </c>
      <c r="C42" s="49" t="n">
        <v>2</v>
      </c>
      <c r="D42" s="175" t="n">
        <v>15.85</v>
      </c>
      <c r="E42" s="50">
        <f>IFERROR(VLOOKUP(B42,'Dados B3'!A:G,2,FALSE),"-")</f>
        <v/>
      </c>
      <c r="F42" s="51">
        <f>IF(H42=P$4,(C42*(1)),IF(H42=P$3,(C42*(-1)),IF(H42=P$2,(C42*(1)))))</f>
        <v/>
      </c>
      <c r="G42" s="176">
        <f>F42*D42</f>
        <v/>
      </c>
      <c r="H42" s="52" t="inlineStr">
        <is>
          <t>COMPRA</t>
        </is>
      </c>
      <c r="I42" s="177" t="n"/>
      <c r="J42" s="178">
        <f>IF(H42="VENDA",I42*F42*-1,0)</f>
        <v/>
      </c>
      <c r="K42" s="178">
        <f>IF(J42=0,0,J42+G42)</f>
        <v/>
      </c>
    </row>
    <row r="43">
      <c r="A43" s="47" t="n">
        <v>45894</v>
      </c>
      <c r="B43" s="48" t="inlineStr">
        <is>
          <t>AMOB3</t>
        </is>
      </c>
      <c r="C43" s="49" t="n">
        <v>2</v>
      </c>
      <c r="D43" s="175" t="n">
        <v>14.72</v>
      </c>
      <c r="E43" s="50">
        <f>IFERROR(VLOOKUP(B43,'Dados B3'!A:G,2,FALSE),"-")</f>
        <v/>
      </c>
      <c r="F43" s="51">
        <f>IF(H43=P$4,(C43*(1)),IF(H43=P$3,(C43*(-1)),IF(H43=P$2,(C43*(1)))))</f>
        <v/>
      </c>
      <c r="G43" s="176">
        <f>F43*D43</f>
        <v/>
      </c>
      <c r="H43" s="52" t="inlineStr">
        <is>
          <t>COMPRA</t>
        </is>
      </c>
      <c r="I43" s="177" t="n"/>
      <c r="J43" s="178">
        <f>IF(H43="VENDA",I43*F43*-1,0)</f>
        <v/>
      </c>
      <c r="K43" s="178">
        <f>IF(J43=0,0,J43+G43)</f>
        <v/>
      </c>
    </row>
    <row r="44">
      <c r="A44" s="47" t="n">
        <v>45894</v>
      </c>
      <c r="B44" s="48" t="inlineStr">
        <is>
          <t>ISAE4</t>
        </is>
      </c>
      <c r="C44" s="49" t="n">
        <v>1</v>
      </c>
      <c r="D44" s="175" t="n">
        <v>23.27</v>
      </c>
      <c r="E44" s="50">
        <f>IFERROR(VLOOKUP(B44,'Dados B3'!A:G,2,FALSE),"-")</f>
        <v/>
      </c>
      <c r="F44" s="51">
        <f>IF(H44=P$4,(C44*(1)),IF(H44=P$3,(C44*(-1)),IF(H44=P$2,(C44*(1)))))</f>
        <v/>
      </c>
      <c r="G44" s="176">
        <f>F44*D44</f>
        <v/>
      </c>
      <c r="H44" s="52" t="inlineStr">
        <is>
          <t>COMPRA</t>
        </is>
      </c>
      <c r="I44" s="177" t="n"/>
      <c r="J44" s="178">
        <f>IF(H44="VENDA",I44*F44*-1,0)</f>
        <v/>
      </c>
      <c r="K44" s="178">
        <f>IF(J44=0,0,J44+G44)</f>
        <v/>
      </c>
    </row>
    <row r="45">
      <c r="A45" s="47" t="n">
        <v>45916</v>
      </c>
      <c r="B45" s="48" t="inlineStr">
        <is>
          <t>BBDC4</t>
        </is>
      </c>
      <c r="C45" s="49" t="n">
        <v>2</v>
      </c>
      <c r="D45" s="175" t="n">
        <v>12.64</v>
      </c>
      <c r="E45" s="50">
        <f>IFERROR(VLOOKUP(B45,'Dados B3'!A:G,2,FALSE),"-")</f>
        <v/>
      </c>
      <c r="F45" s="51">
        <f>IF(H45=P$4,(C45*(1)),IF(H45=P$3,(C45*(-1)),IF(H45=P$2,(C45*(1)))))</f>
        <v/>
      </c>
      <c r="G45" s="176">
        <f>F45*D45</f>
        <v/>
      </c>
      <c r="H45" s="52" t="inlineStr">
        <is>
          <t>COMPRA</t>
        </is>
      </c>
      <c r="I45" s="177" t="n"/>
      <c r="J45" s="178">
        <f>IF(H45="VENDA",I45*F45*-1,0)</f>
        <v/>
      </c>
      <c r="K45" s="178">
        <f>IF(J45=0,0,J45+G45)</f>
        <v/>
      </c>
    </row>
    <row r="46">
      <c r="A46" s="47" t="n">
        <v>45916</v>
      </c>
      <c r="B46" s="48" t="inlineStr">
        <is>
          <t>ISAE4</t>
        </is>
      </c>
      <c r="C46" s="49" t="n">
        <v>1</v>
      </c>
      <c r="D46" s="175" t="n">
        <v>23.27</v>
      </c>
      <c r="E46" s="50">
        <f>IFERROR(VLOOKUP(B46,'Dados B3'!A:G,2,FALSE),"-")</f>
        <v/>
      </c>
      <c r="F46" s="51">
        <f>IF(H46=P$4,(C46*(1)),IF(H46=P$3,(C46*(-1)),IF(H46=P$2,(C46*(1)))))</f>
        <v/>
      </c>
      <c r="G46" s="176">
        <f>F46*D46</f>
        <v/>
      </c>
      <c r="H46" s="52" t="inlineStr">
        <is>
          <t>COMPRA</t>
        </is>
      </c>
      <c r="I46" s="177" t="n"/>
      <c r="J46" s="178">
        <f>IF(H46="VENDA",I46*F46*-1,0)</f>
        <v/>
      </c>
      <c r="K46" s="178">
        <f>IF(J46=0,0,J46+G46)</f>
        <v/>
      </c>
    </row>
    <row r="47">
      <c r="A47" s="47" t="n">
        <v>45916</v>
      </c>
      <c r="B47" s="48" t="inlineStr">
        <is>
          <t>BDVD39</t>
        </is>
      </c>
      <c r="C47" s="49" t="n">
        <v>1</v>
      </c>
      <c r="D47" s="175" t="n">
        <v>47.16</v>
      </c>
      <c r="E47" s="50">
        <f>IFERROR(VLOOKUP(B47,'Dados B3'!A:G,2,FALSE),"-")</f>
        <v/>
      </c>
      <c r="F47" s="51">
        <f>IF(H47=P$4,(C47*(1)),IF(H47=P$3,(C47*(-1)),IF(H47=P$2,(C47*(1)))))</f>
        <v/>
      </c>
      <c r="G47" s="176">
        <f>F47*D47</f>
        <v/>
      </c>
      <c r="H47" s="52" t="inlineStr">
        <is>
          <t>VENDA</t>
        </is>
      </c>
      <c r="I47" s="177" t="n">
        <v>7.59</v>
      </c>
      <c r="J47" s="178">
        <f>IF(H47="VENDA",I47*F47*-1,0)</f>
        <v/>
      </c>
      <c r="K47" s="178">
        <f>IF(J47=0,0,J47+G47)</f>
        <v/>
      </c>
    </row>
    <row r="48">
      <c r="A48" s="47" t="n">
        <v>45919</v>
      </c>
      <c r="B48" s="48" t="inlineStr">
        <is>
          <t>INLG11</t>
        </is>
      </c>
      <c r="C48" s="49" t="n">
        <v>1</v>
      </c>
      <c r="D48" s="175" t="n">
        <v>74.95999999999999</v>
      </c>
      <c r="E48" s="50">
        <f>IFERROR(VLOOKUP(B48,'Dados B3'!A:G,2,FALSE),"-")</f>
        <v/>
      </c>
      <c r="F48" s="51">
        <f>IF(H48=P$4,(C48*(1)),IF(H48=P$3,(C48*(-1)),IF(H48=P$2,(C48*(1)))))</f>
        <v/>
      </c>
      <c r="G48" s="176">
        <f>F48*D48</f>
        <v/>
      </c>
      <c r="H48" s="52" t="inlineStr">
        <is>
          <t>COMPRA</t>
        </is>
      </c>
      <c r="I48" s="177" t="n"/>
      <c r="J48" s="178">
        <f>IF(H48="VENDA",I48*F48*-1,0)</f>
        <v/>
      </c>
      <c r="K48" s="178">
        <f>IF(J48=0,0,J48+G48)</f>
        <v/>
      </c>
    </row>
    <row r="49">
      <c r="A49" s="47" t="n">
        <v>45923</v>
      </c>
      <c r="B49" s="48" t="inlineStr">
        <is>
          <t>VGRI11</t>
        </is>
      </c>
      <c r="C49" s="49" t="n">
        <v>10</v>
      </c>
      <c r="D49" s="175" t="n">
        <v>8.640000000000001</v>
      </c>
      <c r="E49" s="50">
        <f>IFERROR(VLOOKUP(B49,'Dados B3'!A:G,2,FALSE),"-")</f>
        <v/>
      </c>
      <c r="F49" s="51">
        <f>IF(H49=P$4,(C49*(1)),IF(H49=P$3,(C49*(-1)),IF(H49=P$2,(C49*(1)))))</f>
        <v/>
      </c>
      <c r="G49" s="176">
        <f>F49*D49</f>
        <v/>
      </c>
      <c r="H49" s="52" t="inlineStr">
        <is>
          <t>COMPRA</t>
        </is>
      </c>
      <c r="I49" s="177" t="n"/>
      <c r="J49" s="178">
        <f>IF(H49="VENDA",I49*F49*-1,0)</f>
        <v/>
      </c>
      <c r="K49" s="178">
        <f>IF(J49=0,0,J49+G49)</f>
        <v/>
      </c>
    </row>
    <row r="50">
      <c r="A50" s="47" t="n">
        <v>45924</v>
      </c>
      <c r="B50" s="48" t="inlineStr">
        <is>
          <t>AREA11</t>
        </is>
      </c>
      <c r="C50" s="49" t="n">
        <v>1</v>
      </c>
      <c r="D50" s="175" t="n">
        <v>100.69</v>
      </c>
      <c r="E50" s="50">
        <f>IFERROR(VLOOKUP(B50,'Dados B3'!A:G,2,FALSE),"-")</f>
        <v/>
      </c>
      <c r="F50" s="51">
        <f>IF(H50=P$4,(C50*(1)),IF(H50=P$3,(C50*(-1)),IF(H50=P$2,(C50*(1)))))</f>
        <v/>
      </c>
      <c r="G50" s="176">
        <f>F50*D50</f>
        <v/>
      </c>
      <c r="H50" s="52" t="inlineStr">
        <is>
          <t>VENDA</t>
        </is>
      </c>
      <c r="I50" s="177" t="n">
        <v>3.48</v>
      </c>
      <c r="J50" s="178">
        <f>IF(H50="VENDA",I50*F50*-1,0)</f>
        <v/>
      </c>
      <c r="K50" s="178">
        <f>IF(J50=0,0,J50+G50)</f>
        <v/>
      </c>
    </row>
    <row r="51">
      <c r="A51" s="47" t="n">
        <v>45936</v>
      </c>
      <c r="B51" s="48" t="inlineStr">
        <is>
          <t>PETR4</t>
        </is>
      </c>
      <c r="C51" s="49" t="n">
        <v>4</v>
      </c>
      <c r="D51" s="175" t="n">
        <v>31.06</v>
      </c>
      <c r="E51" s="50">
        <f>IFERROR(VLOOKUP(B51,'Dados B3'!A:G,2,FALSE),"-")</f>
        <v/>
      </c>
      <c r="F51" s="51">
        <f>IF(H51=P$4,(C51*(1)),IF(H51=P$3,(C51*(-1)),IF(H51=P$2,(C51*(1)))))</f>
        <v/>
      </c>
      <c r="G51" s="176">
        <f>F51*D51</f>
        <v/>
      </c>
      <c r="H51" s="52" t="inlineStr">
        <is>
          <t>COMPRA</t>
        </is>
      </c>
      <c r="I51" s="177" t="n"/>
      <c r="J51" s="178">
        <f>IF(H51="VENDA",I51*F51*-1,0)</f>
        <v/>
      </c>
      <c r="K51" s="178">
        <f>IF(J51=0,0,J51+G51)</f>
        <v/>
      </c>
    </row>
    <row r="52">
      <c r="A52" s="47" t="n">
        <v>45957</v>
      </c>
      <c r="B52" s="48" t="inlineStr">
        <is>
          <t>USIM5</t>
        </is>
      </c>
      <c r="C52" s="49" t="n">
        <v>20</v>
      </c>
      <c r="D52" s="175" t="n">
        <v>4.6</v>
      </c>
      <c r="E52" s="50">
        <f>IFERROR(VLOOKUP(B52,'Dados B3'!A:G,2,FALSE),"-")</f>
        <v/>
      </c>
      <c r="F52" s="51">
        <f>IF(H52=P$4,(C52*(1)),IF(H52=P$3,(C52*(-1)),IF(H52=P$2,(C52*(1)))))</f>
        <v/>
      </c>
      <c r="G52" s="176">
        <f>F52*D52</f>
        <v/>
      </c>
      <c r="H52" s="52" t="inlineStr">
        <is>
          <t>COMPRA</t>
        </is>
      </c>
      <c r="I52" s="177" t="n"/>
      <c r="J52" s="178">
        <f>IF(H52="VENDA",I52*F52*-1,0)</f>
        <v/>
      </c>
      <c r="K52" s="178">
        <f>IF(J52=0,0,J52+G52)</f>
        <v/>
      </c>
    </row>
    <row r="53">
      <c r="A53" s="47" t="n">
        <v>45957</v>
      </c>
      <c r="B53" s="48" t="inlineStr">
        <is>
          <t>BIDB11</t>
        </is>
      </c>
      <c r="C53" s="49" t="n">
        <v>1</v>
      </c>
      <c r="D53" s="175" t="n">
        <v>77.59999999999999</v>
      </c>
      <c r="E53" s="50">
        <f>IFERROR(VLOOKUP(B53,'Dados B3'!A:G,2,FALSE),"-")</f>
        <v/>
      </c>
      <c r="F53" s="51">
        <f>IF(H53=P$4,(C53*(1)),IF(H53=P$3,(C53*(-1)),IF(H53=P$2,(C53*(1)))))</f>
        <v/>
      </c>
      <c r="G53" s="176">
        <f>F53*D53</f>
        <v/>
      </c>
      <c r="H53" s="52" t="inlineStr">
        <is>
          <t>VENDA</t>
        </is>
      </c>
      <c r="I53" s="177" t="n">
        <v>4.67</v>
      </c>
      <c r="J53" s="178">
        <f>IF(H53="VENDA",I53*F53*-1,0)</f>
        <v/>
      </c>
      <c r="K53" s="178">
        <f>IF(J53=0,0,J53+G53)</f>
        <v/>
      </c>
    </row>
    <row r="54">
      <c r="A54" s="47" t="n">
        <v>45958</v>
      </c>
      <c r="B54" s="48" t="inlineStr">
        <is>
          <t>VINO11</t>
        </is>
      </c>
      <c r="C54" s="49" t="n">
        <v>1</v>
      </c>
      <c r="D54" s="175" t="n">
        <v>4.96</v>
      </c>
      <c r="E54" s="50">
        <f>IFERROR(VLOOKUP(B54,'Dados B3'!A:G,2,FALSE),"-")</f>
        <v/>
      </c>
      <c r="F54" s="51">
        <f>IF(H54=P$4,(C54*(1)),IF(H54=P$3,(C54*(-1)),IF(H54=P$2,(C54*(1)))))</f>
        <v/>
      </c>
      <c r="G54" s="176">
        <f>F54*D54</f>
        <v/>
      </c>
      <c r="H54" s="52" t="inlineStr">
        <is>
          <t>COMPRA</t>
        </is>
      </c>
      <c r="I54" s="177" t="n"/>
      <c r="J54" s="178">
        <f>IF(H54="VENDA",I54*F54*-1,0)</f>
        <v/>
      </c>
      <c r="K54" s="178">
        <f>IF(J54=0,0,J54+G54)</f>
        <v/>
      </c>
    </row>
    <row r="55">
      <c r="A55" s="47" t="n">
        <v>45959</v>
      </c>
      <c r="B55" s="48" t="inlineStr">
        <is>
          <t>ARRI11</t>
        </is>
      </c>
      <c r="C55" s="49" t="n">
        <v>10</v>
      </c>
      <c r="D55" s="175" t="n">
        <v>6.56</v>
      </c>
      <c r="E55" s="50">
        <f>IFERROR(VLOOKUP(B55,'Dados B3'!A:G,2,FALSE),"-")</f>
        <v/>
      </c>
      <c r="F55" s="51">
        <f>IF(H55=P$4,(C55*(1)),IF(H55=P$3,(C55*(-1)),IF(H55=P$2,(C55*(1)))))</f>
        <v/>
      </c>
      <c r="G55" s="176">
        <f>F55*D55</f>
        <v/>
      </c>
      <c r="H55" s="52" t="inlineStr">
        <is>
          <t>VENDA</t>
        </is>
      </c>
      <c r="I55" s="177" t="n">
        <v>33.66</v>
      </c>
      <c r="J55" s="178">
        <f>IF(H55="VENDA",I55*F55*-1,0)</f>
        <v/>
      </c>
      <c r="K55" s="178">
        <f>IF(J55=0,0,J55+G55)</f>
        <v/>
      </c>
    </row>
    <row r="56">
      <c r="A56" s="47" t="n">
        <v>45959</v>
      </c>
      <c r="B56" s="48" t="inlineStr">
        <is>
          <t>RECV3</t>
        </is>
      </c>
      <c r="C56" s="49" t="n">
        <v>10</v>
      </c>
      <c r="D56" s="175" t="n">
        <v>12.59</v>
      </c>
      <c r="E56" s="50">
        <f>IFERROR(VLOOKUP(B56,'Dados B3'!A:G,2,FALSE),"-")</f>
        <v/>
      </c>
      <c r="F56" s="51">
        <f>IF(H56=P$4,(C56*(1)),IF(H56=P$3,(C56*(-1)),IF(H56=P$2,(C56*(1)))))</f>
        <v/>
      </c>
      <c r="G56" s="176">
        <f>F56*D56</f>
        <v/>
      </c>
      <c r="H56" s="52" t="inlineStr">
        <is>
          <t>VENDA</t>
        </is>
      </c>
      <c r="I56" s="177" t="n">
        <v>9.94</v>
      </c>
      <c r="J56" s="178">
        <f>IF(H56="VENDA",I56*F56*-1,0)</f>
        <v/>
      </c>
      <c r="K56" s="178">
        <f>IF(J56=0,0,J56+G56)</f>
        <v/>
      </c>
    </row>
    <row r="57">
      <c r="A57" s="47" t="n">
        <v>45971</v>
      </c>
      <c r="B57" s="48" t="inlineStr">
        <is>
          <t>A1VB34</t>
        </is>
      </c>
      <c r="C57" s="49" t="n">
        <v>1</v>
      </c>
      <c r="D57" s="175" t="n">
        <v>234.86</v>
      </c>
      <c r="E57" s="50">
        <f>IFERROR(VLOOKUP(B57,'Dados B3'!A:G,2,FALSE),"-")</f>
        <v/>
      </c>
      <c r="F57" s="51">
        <f>IF(H57=P$4,(C57*(1)),IF(H57=P$3,(C57*(-1)),IF(H57=P$2,(C57*(1)))))</f>
        <v/>
      </c>
      <c r="G57" s="176">
        <f>F57*D57</f>
        <v/>
      </c>
      <c r="H57" s="52" t="inlineStr">
        <is>
          <t>COMPRA</t>
        </is>
      </c>
      <c r="I57" s="177" t="n"/>
      <c r="J57" s="178">
        <f>IF(H57="VENDA",I57*F57*-1,0)</f>
        <v/>
      </c>
      <c r="K57" s="178">
        <f>IF(J57=0,0,J57+G57)</f>
        <v/>
      </c>
    </row>
    <row r="58">
      <c r="A58" s="47" t="n">
        <v>45973</v>
      </c>
      <c r="B58" s="48" t="inlineStr">
        <is>
          <t>DIVD11</t>
        </is>
      </c>
      <c r="C58" s="49" t="n">
        <v>1</v>
      </c>
      <c r="D58" s="175" t="n">
        <v>51.04</v>
      </c>
      <c r="E58" s="50">
        <f>IFERROR(VLOOKUP(B58,'Dados B3'!A:G,2,FALSE),"-")</f>
        <v/>
      </c>
      <c r="F58" s="51">
        <f>IF(H58=P$4,(C58*(1)),IF(H58=P$3,(C58*(-1)),IF(H58=P$2,(C58*(1)))))</f>
        <v/>
      </c>
      <c r="G58" s="176">
        <f>F58*D58</f>
        <v/>
      </c>
      <c r="H58" s="52" t="inlineStr">
        <is>
          <t>COMPRA</t>
        </is>
      </c>
      <c r="I58" s="177" t="n"/>
      <c r="J58" s="178">
        <f>IF(H58="VENDA",I58*F58*-1,0)</f>
        <v/>
      </c>
      <c r="K58" s="178">
        <f>IF(J58=0,0,J58+G58)</f>
        <v/>
      </c>
    </row>
    <row r="59">
      <c r="A59" s="47" t="n">
        <v>45973</v>
      </c>
      <c r="B59" s="48" t="inlineStr">
        <is>
          <t>BIDB11</t>
        </is>
      </c>
      <c r="C59" s="49" t="n">
        <v>2</v>
      </c>
      <c r="D59" s="175" t="n">
        <v>78.67</v>
      </c>
      <c r="E59" s="50">
        <f>IFERROR(VLOOKUP(B59,'Dados B3'!A:G,2,FALSE),"-")</f>
        <v/>
      </c>
      <c r="F59" s="51">
        <f>IF(H59=P$4,(C59*(1)),IF(H59=P$3,(C59*(-1)),IF(H59=P$2,(C59*(1)))))</f>
        <v/>
      </c>
      <c r="G59" s="176">
        <f>F59*D59</f>
        <v/>
      </c>
      <c r="H59" s="52" t="inlineStr">
        <is>
          <t>COMPRA</t>
        </is>
      </c>
      <c r="I59" s="177" t="n"/>
      <c r="J59" s="178">
        <f>IF(H59="VENDA",I59*F59*-1,0)</f>
        <v/>
      </c>
      <c r="K59" s="178">
        <f>IF(J59=0,0,J59+G59)</f>
        <v/>
      </c>
    </row>
    <row r="60">
      <c r="A60" s="47" t="n">
        <v>45973</v>
      </c>
      <c r="B60" s="48" t="inlineStr">
        <is>
          <t>AREA11</t>
        </is>
      </c>
      <c r="C60" s="49" t="n">
        <v>1</v>
      </c>
      <c r="D60" s="175" t="n">
        <v>100.69</v>
      </c>
      <c r="E60" s="50">
        <f>IFERROR(VLOOKUP(B60,'Dados B3'!A:G,2,FALSE),"-")</f>
        <v/>
      </c>
      <c r="F60" s="51">
        <f>IF(H60=P$4,(C60*(1)),IF(H60=P$3,(C60*(-1)),IF(H60=P$2,(C60*(1)))))</f>
        <v/>
      </c>
      <c r="G60" s="176">
        <f>F60*D60</f>
        <v/>
      </c>
      <c r="H60" s="52" t="inlineStr">
        <is>
          <t>COMPRA</t>
        </is>
      </c>
      <c r="I60" s="177" t="n"/>
      <c r="J60" s="178">
        <f>IF(H60="VENDA",I60*F60*-1,0)</f>
        <v/>
      </c>
      <c r="K60" s="178">
        <f>IF(J60=0,0,J60+G60)</f>
        <v/>
      </c>
    </row>
    <row r="61">
      <c r="A61" s="47" t="n">
        <v>45978</v>
      </c>
      <c r="B61" s="48" t="inlineStr">
        <is>
          <t>LIFE11</t>
        </is>
      </c>
      <c r="C61" s="49" t="n">
        <v>10</v>
      </c>
      <c r="D61" s="175" t="n">
        <v>8.15</v>
      </c>
      <c r="E61" s="50">
        <f>IFERROR(VLOOKUP(B61,'Dados B3'!A:G,2,FALSE),"-")</f>
        <v/>
      </c>
      <c r="F61" s="51">
        <f>IF(H61=P$4,(C61*(1)),IF(H61=P$3,(C61*(-1)),IF(H61=P$2,(C61*(1)))))</f>
        <v/>
      </c>
      <c r="G61" s="176">
        <f>F61*D61</f>
        <v/>
      </c>
      <c r="H61" s="52" t="inlineStr">
        <is>
          <t>COMPRA</t>
        </is>
      </c>
      <c r="I61" s="177" t="n"/>
      <c r="J61" s="178">
        <f>IF(H61="VENDA",I61*F61*-1,0)</f>
        <v/>
      </c>
      <c r="K61" s="178">
        <f>IF(J61=0,0,J61+G61)</f>
        <v/>
      </c>
    </row>
    <row r="62">
      <c r="A62" s="47" t="n">
        <v>45993</v>
      </c>
      <c r="B62" s="48" t="inlineStr">
        <is>
          <t>CPTS11</t>
        </is>
      </c>
      <c r="C62" s="49" t="n">
        <v>8</v>
      </c>
      <c r="D62" s="175" t="n">
        <v>7.49</v>
      </c>
      <c r="E62" s="50">
        <f>IFERROR(VLOOKUP(B62,'Dados B3'!A:G,2,FALSE),"-")</f>
        <v/>
      </c>
      <c r="F62" s="51">
        <f>IF(H62=P$4,(C62*(1)),IF(H62=P$3,(C62*(-1)),IF(H62=P$2,(C62*(1)))))</f>
        <v/>
      </c>
      <c r="G62" s="176">
        <f>F62*D62</f>
        <v/>
      </c>
      <c r="H62" s="52" t="inlineStr">
        <is>
          <t>COMPRA</t>
        </is>
      </c>
      <c r="I62" s="177" t="n"/>
      <c r="J62" s="178">
        <f>IF(H62="VENDA",I62*F62*-1,0)</f>
        <v/>
      </c>
      <c r="K62" s="178">
        <f>IF(J62=0,0,J62+G62)</f>
        <v/>
      </c>
    </row>
    <row r="63">
      <c r="A63" s="47" t="n">
        <v>45998</v>
      </c>
      <c r="B63" s="48" t="inlineStr">
        <is>
          <t>TEPP11</t>
        </is>
      </c>
      <c r="C63" s="49" t="n">
        <v>36</v>
      </c>
      <c r="D63" s="175" t="n"/>
      <c r="E63" s="50">
        <f>IFERROR(VLOOKUP(B63,'Dados B3'!A:G,2,FALSE),"-")</f>
        <v/>
      </c>
      <c r="F63" s="51">
        <f>IF(H63=P$4,(C63*(1)),IF(H63=P$3,(C63*(-1)),IF(H63=P$2,(C63*(1)))))</f>
        <v/>
      </c>
      <c r="G63" s="176">
        <f>F63*D63</f>
        <v/>
      </c>
      <c r="H63" s="52" t="inlineStr">
        <is>
          <t>COMPRA</t>
        </is>
      </c>
      <c r="I63" s="177" t="n"/>
      <c r="J63" s="178">
        <f>IF(H63="VENDA",I63*F63*-1,0)</f>
        <v/>
      </c>
      <c r="K63" s="178">
        <f>IF(J63=0,0,J63+G63)</f>
        <v/>
      </c>
    </row>
    <row r="64">
      <c r="A64" s="47" t="n">
        <v>45999</v>
      </c>
      <c r="B64" s="48" t="inlineStr">
        <is>
          <t>Tesouro</t>
        </is>
      </c>
      <c r="C64" s="49" t="n">
        <v>1</v>
      </c>
      <c r="D64" s="175" t="n">
        <v>163.07</v>
      </c>
      <c r="E64" s="50">
        <f>IFERROR(VLOOKUP(B64,'Dados B3'!A:G,2,FALSE),"-")</f>
        <v/>
      </c>
      <c r="F64" s="51">
        <f>IF(H64=P$4,(C64*(1)),IF(H64=P$3,(C64*(-1)),IF(H64=P$2,(C64*(1)))))</f>
        <v/>
      </c>
      <c r="G64" s="176">
        <f>F64*D64</f>
        <v/>
      </c>
      <c r="H64" s="52" t="inlineStr">
        <is>
          <t>COMPRA</t>
        </is>
      </c>
      <c r="I64" s="177" t="n"/>
      <c r="J64" s="178">
        <f>IF(H64="VENDA",I64*F64*-1,0)</f>
        <v/>
      </c>
      <c r="K64" s="178">
        <f>IF(J64=0,0,J64+G64)</f>
        <v/>
      </c>
    </row>
    <row r="65">
      <c r="A65" s="47" t="n">
        <v>45999</v>
      </c>
      <c r="B65" s="48" t="inlineStr">
        <is>
          <t>Tesouro</t>
        </is>
      </c>
      <c r="C65" s="49" t="n">
        <v>1</v>
      </c>
      <c r="D65" s="175" t="n">
        <v>70.91</v>
      </c>
      <c r="E65" s="50">
        <f>IFERROR(VLOOKUP(B65,'Dados B3'!A:G,2,FALSE),"-")</f>
        <v/>
      </c>
      <c r="F65" s="51">
        <f>IF(H65=P$4,(C65*(1)),IF(H65=P$3,(C65*(-1)),IF(H65=P$2,(C65*(1)))))</f>
        <v/>
      </c>
      <c r="G65" s="176">
        <f>F65*D65</f>
        <v/>
      </c>
      <c r="H65" s="52" t="inlineStr">
        <is>
          <t>COMPRA</t>
        </is>
      </c>
      <c r="I65" s="177" t="n"/>
      <c r="J65" s="178">
        <f>IF(H65="VENDA",I65*F65*-1,0)</f>
        <v/>
      </c>
      <c r="K65" s="178">
        <f>IF(J65=0,0,J65+G65)</f>
        <v/>
      </c>
    </row>
    <row r="66">
      <c r="A66" s="47" t="n">
        <v>45999</v>
      </c>
      <c r="B66" s="48" t="inlineStr">
        <is>
          <t>Tesouro</t>
        </is>
      </c>
      <c r="C66" s="49" t="n">
        <v>1</v>
      </c>
      <c r="D66" s="175" t="n">
        <v>33.3</v>
      </c>
      <c r="E66" s="50">
        <f>IFERROR(VLOOKUP(B66,'Dados B3'!A:G,2,FALSE),"-")</f>
        <v/>
      </c>
      <c r="F66" s="51">
        <f>IF(H66=P$4,(C66*(1)),IF(H66=P$3,(C66*(-1)),IF(H66=P$2,(C66*(1)))))</f>
        <v/>
      </c>
      <c r="G66" s="176">
        <f>F66*D66</f>
        <v/>
      </c>
      <c r="H66" s="52" t="inlineStr">
        <is>
          <t>COMPRA</t>
        </is>
      </c>
      <c r="I66" s="177" t="n"/>
      <c r="J66" s="178">
        <f>IF(H66="VENDA",I66*F66*-1,0)</f>
        <v/>
      </c>
      <c r="K66" s="178">
        <f>IF(J66=0,0,J66+G66)</f>
        <v/>
      </c>
    </row>
    <row r="67">
      <c r="A67" s="47" t="n">
        <v>45999</v>
      </c>
      <c r="B67" s="48" t="inlineStr">
        <is>
          <t>Tesouro</t>
        </is>
      </c>
      <c r="C67" s="49" t="n">
        <v>1</v>
      </c>
      <c r="D67" s="175" t="n">
        <v>41.39</v>
      </c>
      <c r="E67" s="50">
        <f>IFERROR(VLOOKUP(B67,'Dados B3'!A:G,2,FALSE),"-")</f>
        <v/>
      </c>
      <c r="F67" s="51">
        <f>IF(H67=P$4,(C67*(1)),IF(H67=P$3,(C67*(-1)),IF(H67=P$2,(C67*(1)))))</f>
        <v/>
      </c>
      <c r="G67" s="176">
        <f>F67*D67</f>
        <v/>
      </c>
      <c r="H67" s="52" t="inlineStr">
        <is>
          <t>COMPRA</t>
        </is>
      </c>
      <c r="I67" s="177" t="n"/>
      <c r="J67" s="178">
        <f>IF(H67="VENDA",I67*F67*-1,0)</f>
        <v/>
      </c>
      <c r="K67" s="178">
        <f>IF(J67=0,0,J67+G67)</f>
        <v/>
      </c>
    </row>
    <row r="68">
      <c r="A68" s="47" t="n">
        <v>45999</v>
      </c>
      <c r="B68" s="48" t="inlineStr">
        <is>
          <t>Tesouro</t>
        </is>
      </c>
      <c r="C68" s="49" t="n">
        <v>1</v>
      </c>
      <c r="D68" s="175" t="n">
        <v>16.08</v>
      </c>
      <c r="E68" s="50">
        <f>IFERROR(VLOOKUP(B68,'Dados B3'!A:G,2,FALSE),"-")</f>
        <v/>
      </c>
      <c r="F68" s="51">
        <f>IF(H68=P$4,(C68*(1)),IF(H68=P$3,(C68*(-1)),IF(H68=P$2,(C68*(1)))))</f>
        <v/>
      </c>
      <c r="G68" s="176">
        <f>F68*D68</f>
        <v/>
      </c>
      <c r="H68" s="52" t="inlineStr">
        <is>
          <t>COMPRA</t>
        </is>
      </c>
      <c r="I68" s="177" t="n"/>
      <c r="J68" s="178">
        <f>IF(H68="VENDA",I68*F68*-1,0)</f>
        <v/>
      </c>
      <c r="K68" s="178">
        <f>IF(J68=0,0,J68+G68)</f>
        <v/>
      </c>
    </row>
    <row r="69">
      <c r="A69" s="47" t="n">
        <v>45999</v>
      </c>
      <c r="B69" s="48" t="inlineStr">
        <is>
          <t>Tesouro</t>
        </is>
      </c>
      <c r="C69" s="49" t="n">
        <v>1</v>
      </c>
      <c r="D69" s="175" t="n">
        <v>7.02</v>
      </c>
      <c r="E69" s="50">
        <f>IFERROR(VLOOKUP(B69,'Dados B3'!A:G,2,FALSE),"-")</f>
        <v/>
      </c>
      <c r="F69" s="51">
        <f>IF(H69=P$4,(C69*(1)),IF(H69=P$3,(C69*(-1)),IF(H69=P$2,(C69*(1)))))</f>
        <v/>
      </c>
      <c r="G69" s="176">
        <f>F69*D69</f>
        <v/>
      </c>
      <c r="H69" s="52" t="inlineStr">
        <is>
          <t>COMPRA</t>
        </is>
      </c>
      <c r="I69" s="177" t="n"/>
      <c r="J69" s="178">
        <f>IF(H69="VENDA",I69*F69*-1,0)</f>
        <v/>
      </c>
      <c r="K69" s="178">
        <f>IF(J69=0,0,J69+G69)</f>
        <v/>
      </c>
    </row>
    <row r="70">
      <c r="A70" s="47" t="n">
        <v>45999</v>
      </c>
      <c r="B70" s="48" t="inlineStr">
        <is>
          <t>LIFE11</t>
        </is>
      </c>
      <c r="C70" s="49" t="n">
        <v>10</v>
      </c>
      <c r="D70" s="175" t="n">
        <v>7.92</v>
      </c>
      <c r="E70" s="50">
        <f>IFERROR(VLOOKUP(B70,'Dados B3'!A:G,2,FALSE),"-")</f>
        <v/>
      </c>
      <c r="F70" s="51">
        <f>IF(H70=P$4,(C70*(1)),IF(H70=P$3,(C70*(-1)),IF(H70=P$2,(C70*(1)))))</f>
        <v/>
      </c>
      <c r="G70" s="176">
        <f>F70*D70</f>
        <v/>
      </c>
      <c r="H70" s="52" t="inlineStr">
        <is>
          <t>COMPRA</t>
        </is>
      </c>
      <c r="I70" s="177" t="n"/>
      <c r="J70" s="178">
        <f>IF(H70="VENDA",I70*F70*-1,0)</f>
        <v/>
      </c>
      <c r="K70" s="178">
        <f>IF(J70=0,0,J70+G70)</f>
        <v/>
      </c>
    </row>
    <row r="71">
      <c r="A71" s="47" t="n">
        <v>45999</v>
      </c>
      <c r="B71" s="48" t="inlineStr">
        <is>
          <t>BDVD39</t>
        </is>
      </c>
      <c r="C71" s="49" t="n">
        <v>1</v>
      </c>
      <c r="D71" s="175" t="n">
        <v>47.16</v>
      </c>
      <c r="E71" s="50">
        <f>IFERROR(VLOOKUP(B71,'Dados B3'!A:G,2,FALSE),"-")</f>
        <v/>
      </c>
      <c r="F71" s="51">
        <f>IF(H71=P$4,(C71*(1)),IF(H71=P$3,(C71*(-1)),IF(H71=P$2,(C71*(1)))))</f>
        <v/>
      </c>
      <c r="G71" s="176">
        <f>F71*D71</f>
        <v/>
      </c>
      <c r="H71" s="52" t="inlineStr">
        <is>
          <t>COMPRA</t>
        </is>
      </c>
      <c r="I71" s="177" t="n"/>
      <c r="J71" s="178">
        <f>IF(H71="VENDA",I71*F71*-1,0)</f>
        <v/>
      </c>
      <c r="K71" s="178">
        <f>IF(J71=0,0,J71+G71)</f>
        <v/>
      </c>
    </row>
    <row r="72">
      <c r="A72" s="47" t="n">
        <v>46000</v>
      </c>
      <c r="B72" s="48" t="inlineStr">
        <is>
          <t>BBAS3</t>
        </is>
      </c>
      <c r="C72" s="49" t="n">
        <v>3</v>
      </c>
      <c r="D72" s="175" t="n">
        <v>21.55</v>
      </c>
      <c r="E72" s="50">
        <f>IFERROR(VLOOKUP(B72,'Dados B3'!A:G,2,FALSE),"-")</f>
        <v/>
      </c>
      <c r="F72" s="51">
        <f>IF(H72=P$4,(C72*(1)),IF(H72=P$3,(C72*(-1)),IF(H72=P$2,(C72*(1)))))</f>
        <v/>
      </c>
      <c r="G72" s="176">
        <f>F72*D72</f>
        <v/>
      </c>
      <c r="H72" s="52" t="inlineStr">
        <is>
          <t>COMPRA</t>
        </is>
      </c>
      <c r="I72" s="177" t="n"/>
      <c r="J72" s="178">
        <f>IF(H72="VENDA",I72*F72*-1,0)</f>
        <v/>
      </c>
      <c r="K72" s="178">
        <f>IF(J72=0,0,J72+G72)</f>
        <v/>
      </c>
    </row>
    <row r="73">
      <c r="A73" s="47" t="n">
        <v>46006</v>
      </c>
      <c r="B73" s="48" t="inlineStr">
        <is>
          <t>DEVA11</t>
        </is>
      </c>
      <c r="C73" s="49" t="n">
        <v>3</v>
      </c>
      <c r="D73" s="175" t="n">
        <v>24.99</v>
      </c>
      <c r="E73" s="50">
        <f>IFERROR(VLOOKUP(B73,'Dados B3'!A:G,2,FALSE),"-")</f>
        <v/>
      </c>
      <c r="F73" s="51">
        <f>IF(H73=P$4,(C73*(1)),IF(H73=P$3,(C73*(-1)),IF(H73=P$2,(C73*(1)))))</f>
        <v/>
      </c>
      <c r="G73" s="176">
        <f>F73*D73</f>
        <v/>
      </c>
      <c r="H73" s="52" t="inlineStr">
        <is>
          <t>COMPRA</t>
        </is>
      </c>
      <c r="I73" s="177" t="n"/>
      <c r="J73" s="178">
        <f>IF(H73="VENDA",I73*F73*-1,0)</f>
        <v/>
      </c>
      <c r="K73" s="178">
        <f>IF(J73=0,0,J73+G73)</f>
        <v/>
      </c>
    </row>
    <row r="74">
      <c r="A74" s="47" t="n">
        <v>46006</v>
      </c>
      <c r="B74" s="48" t="inlineStr">
        <is>
          <t>CSNA3</t>
        </is>
      </c>
      <c r="C74" s="49" t="n">
        <v>10</v>
      </c>
      <c r="D74" s="175" t="n">
        <v>8.300000000000001</v>
      </c>
      <c r="E74" s="50">
        <f>IFERROR(VLOOKUP(B74,'Dados B3'!A:G,2,FALSE),"-")</f>
        <v/>
      </c>
      <c r="F74" s="51">
        <f>IF(H74=P$4,(C74*(1)),IF(H74=P$3,(C74*(-1)),IF(H74=P$2,(C74*(1)))))</f>
        <v/>
      </c>
      <c r="G74" s="176">
        <f>F74*D74</f>
        <v/>
      </c>
      <c r="H74" s="52" t="inlineStr">
        <is>
          <t>COMPRA</t>
        </is>
      </c>
      <c r="I74" s="177" t="n"/>
      <c r="J74" s="178">
        <f>IF(H74="VENDA",I74*F74*-1,0)</f>
        <v/>
      </c>
      <c r="K74" s="178">
        <f>IF(J74=0,0,J74+G74)</f>
        <v/>
      </c>
    </row>
    <row r="75">
      <c r="A75" s="47" t="n">
        <v>46007</v>
      </c>
      <c r="B75" s="48" t="inlineStr">
        <is>
          <t>VGRI11</t>
        </is>
      </c>
      <c r="C75" s="49" t="n">
        <v>2</v>
      </c>
      <c r="D75" s="175" t="n">
        <v>7.93</v>
      </c>
      <c r="E75" s="50">
        <f>IFERROR(VLOOKUP(B75,'Dados B3'!A:G,2,FALSE),"-")</f>
        <v/>
      </c>
      <c r="F75" s="51">
        <f>IF(H75=P$4,(C75*(1)),IF(H75=P$3,(C75*(-1)),IF(H75=P$2,(C75*(1)))))</f>
        <v/>
      </c>
      <c r="G75" s="176">
        <f>F75*D75</f>
        <v/>
      </c>
      <c r="H75" s="52" t="inlineStr">
        <is>
          <t>COMPRA</t>
        </is>
      </c>
      <c r="I75" s="177" t="n"/>
      <c r="J75" s="178">
        <f>IF(H75="VENDA",I75*F75*-1,0)</f>
        <v/>
      </c>
      <c r="K75" s="178">
        <f>IF(J75=0,0,J75+G75)</f>
        <v/>
      </c>
    </row>
    <row r="76">
      <c r="A76" s="47" t="n">
        <v>46022</v>
      </c>
      <c r="B76" s="48" t="inlineStr">
        <is>
          <t>IRDM11</t>
        </is>
      </c>
      <c r="C76" s="49" t="n">
        <v>4</v>
      </c>
      <c r="D76" s="175" t="n">
        <v>65.66</v>
      </c>
      <c r="E76" s="50">
        <f>IFERROR(VLOOKUP(B76,'Dados B3'!A:G,2,FALSE),"-")</f>
        <v/>
      </c>
      <c r="F76" s="51">
        <f>IF(H76=P$4,(C76*(1)),IF(H76=P$3,(C76*(-1)),IF(H76=P$2,(C76*(1)))))</f>
        <v/>
      </c>
      <c r="G76" s="176">
        <f>F76*D76</f>
        <v/>
      </c>
      <c r="H76" s="52" t="inlineStr">
        <is>
          <t>COMPRA</t>
        </is>
      </c>
      <c r="I76" s="177" t="n"/>
      <c r="J76" s="178">
        <f>IF(H76="VENDA",I76*F76*-1,0)</f>
        <v/>
      </c>
      <c r="K76" s="178">
        <f>IF(J76=0,0,J76+G76)</f>
        <v/>
      </c>
    </row>
    <row r="77">
      <c r="A77" s="47" t="n">
        <v>46022</v>
      </c>
      <c r="B77" s="48" t="inlineStr">
        <is>
          <t>IRIM11</t>
        </is>
      </c>
      <c r="C77" s="49" t="n">
        <v>3</v>
      </c>
      <c r="D77" s="175" t="n">
        <v>74.20999999999999</v>
      </c>
      <c r="E77" s="50">
        <f>IFERROR(VLOOKUP(B77,'Dados B3'!A:G,2,FALSE),"-")</f>
        <v/>
      </c>
      <c r="F77" s="51">
        <f>IF(H77=P$4,(C77*(1)),IF(H77=P$3,(C77*(-1)),IF(H77=P$2,(C77*(1)))))</f>
        <v/>
      </c>
      <c r="G77" s="176">
        <f>F77*D77</f>
        <v/>
      </c>
      <c r="H77" s="52" t="inlineStr">
        <is>
          <t>COMPRA</t>
        </is>
      </c>
      <c r="I77" s="177" t="n"/>
      <c r="J77" s="178">
        <f>IF(H77="VENDA",I77*F77*-1,0)</f>
        <v/>
      </c>
      <c r="K77" s="178">
        <f>IF(J77=0,0,J77+G77)</f>
        <v/>
      </c>
    </row>
    <row r="78">
      <c r="A78" s="47" t="n">
        <v>46024</v>
      </c>
      <c r="B78" s="48" t="inlineStr">
        <is>
          <t>TRXF11</t>
        </is>
      </c>
      <c r="C78" s="49" t="n">
        <v>1</v>
      </c>
      <c r="D78" s="175" t="n">
        <v>97.40000000000001</v>
      </c>
      <c r="E78" s="50">
        <f>IFERROR(VLOOKUP(B78,'Dados B3'!A:G,2,FALSE),"-")</f>
        <v/>
      </c>
      <c r="F78" s="51">
        <f>IF(H78=P$4,(C78*(1)),IF(H78=P$3,(C78*(-1)),IF(H78=P$2,(C78*(1)))))</f>
        <v/>
      </c>
      <c r="G78" s="176">
        <f>F78*D78</f>
        <v/>
      </c>
      <c r="H78" s="52" t="inlineStr">
        <is>
          <t>COMPRA</t>
        </is>
      </c>
      <c r="I78" s="177" t="n"/>
      <c r="J78" s="178">
        <f>IF(H78="VENDA",I78*F78*-1,0)</f>
        <v/>
      </c>
      <c r="K78" s="178">
        <f>IF(J78=0,0,J78+G78)</f>
        <v/>
      </c>
    </row>
    <row r="79">
      <c r="A79" s="47" t="n">
        <v>46027</v>
      </c>
      <c r="B79" s="48" t="inlineStr">
        <is>
          <t>A1VB34</t>
        </is>
      </c>
      <c r="C79" s="49" t="n">
        <v>1</v>
      </c>
      <c r="D79" s="175" t="n">
        <v>234.86</v>
      </c>
      <c r="E79" s="50">
        <f>IFERROR(VLOOKUP(B79,'Dados B3'!A:G,2,FALSE),"-")</f>
        <v/>
      </c>
      <c r="F79" s="51">
        <f>IF(H79=P$4,(C79*(1)),IF(H79=P$3,(C79*(-1)),IF(H79=P$2,(C79*(1)))))</f>
        <v/>
      </c>
      <c r="G79" s="176">
        <f>F79*D79</f>
        <v/>
      </c>
      <c r="H79" s="52" t="inlineStr">
        <is>
          <t>COMPRA</t>
        </is>
      </c>
      <c r="I79" s="177" t="n"/>
      <c r="J79" s="178">
        <f>IF(H79="VENDA",I79*F79*-1,0)</f>
        <v/>
      </c>
      <c r="K79" s="178">
        <f>IF(J79=0,0,J79+G79)</f>
        <v/>
      </c>
    </row>
    <row r="80">
      <c r="A80" s="47" t="n">
        <v>46027</v>
      </c>
      <c r="B80" s="48" t="inlineStr">
        <is>
          <t>CXSE3</t>
        </is>
      </c>
      <c r="C80" s="49" t="n">
        <v>6</v>
      </c>
      <c r="D80" s="175" t="n">
        <v>16.25</v>
      </c>
      <c r="E80" s="50">
        <f>IFERROR(VLOOKUP(B80,'Dados B3'!A:G,2,FALSE),"-")</f>
        <v/>
      </c>
      <c r="F80" s="51">
        <f>IF(H80=P$4,(C80*(1)),IF(H80=P$3,(C80*(-1)),IF(H80=P$2,(C80*(1)))))</f>
        <v/>
      </c>
      <c r="G80" s="176">
        <f>F80*D80</f>
        <v/>
      </c>
      <c r="H80" s="52" t="inlineStr">
        <is>
          <t>COMPRA</t>
        </is>
      </c>
      <c r="I80" s="177" t="n"/>
      <c r="J80" s="178">
        <f>IF(H80="VENDA",I80*F80*-1,0)</f>
        <v/>
      </c>
      <c r="K80" s="178">
        <f>IF(J80=0,0,J80+G80)</f>
        <v/>
      </c>
    </row>
    <row r="81">
      <c r="A81" s="47" t="n">
        <v>46027</v>
      </c>
      <c r="B81" s="48" t="inlineStr">
        <is>
          <t>CURY3</t>
        </is>
      </c>
      <c r="C81" s="49" t="n">
        <v>3</v>
      </c>
      <c r="D81" s="175" t="n">
        <v>32.38</v>
      </c>
      <c r="E81" s="50">
        <f>IFERROR(VLOOKUP(B81,'Dados B3'!A:G,2,FALSE),"-")</f>
        <v/>
      </c>
      <c r="F81" s="51">
        <f>IF(H81=P$4,(C81*(1)),IF(H81=P$3,(C81*(-1)),IF(H81=P$2,(C81*(1)))))</f>
        <v/>
      </c>
      <c r="G81" s="176">
        <f>F81*D81</f>
        <v/>
      </c>
      <c r="H81" s="52" t="inlineStr">
        <is>
          <t>COMPRA</t>
        </is>
      </c>
      <c r="I81" s="177" t="n"/>
      <c r="J81" s="178">
        <f>IF(H81="VENDA",I81*F81*-1,0)</f>
        <v/>
      </c>
      <c r="K81" s="178">
        <f>IF(J81=0,0,J81+G81)</f>
        <v/>
      </c>
    </row>
    <row r="82">
      <c r="A82" s="47" t="n">
        <v>46027</v>
      </c>
      <c r="B82" s="48" t="inlineStr">
        <is>
          <t>CYRE3</t>
        </is>
      </c>
      <c r="C82" s="49" t="n">
        <v>5</v>
      </c>
      <c r="D82" s="175" t="n">
        <v>24.92</v>
      </c>
      <c r="E82" s="50">
        <f>IFERROR(VLOOKUP(B82,'Dados B3'!A:G,2,FALSE),"-")</f>
        <v/>
      </c>
      <c r="F82" s="51">
        <f>IF(H82=P$4,(C82*(1)),IF(H82=P$3,(C82*(-1)),IF(H82=P$2,(C82*(1)))))</f>
        <v/>
      </c>
      <c r="G82" s="176">
        <f>F82*D82</f>
        <v/>
      </c>
      <c r="H82" s="52" t="inlineStr">
        <is>
          <t>COMPRA</t>
        </is>
      </c>
      <c r="I82" s="177" t="n"/>
      <c r="J82" s="178">
        <f>IF(H82="VENDA",I82*F82*-1,0)</f>
        <v/>
      </c>
      <c r="K82" s="178">
        <f>IF(J82=0,0,J82+G82)</f>
        <v/>
      </c>
    </row>
    <row r="83">
      <c r="A83" s="47" t="n">
        <v>46027</v>
      </c>
      <c r="B83" s="48" t="inlineStr">
        <is>
          <t>DIRR3</t>
        </is>
      </c>
      <c r="C83" s="49" t="n">
        <v>7</v>
      </c>
      <c r="D83" s="175" t="n">
        <v>14.13</v>
      </c>
      <c r="E83" s="50">
        <f>IFERROR(VLOOKUP(B83,'Dados B3'!A:G,2,FALSE),"-")</f>
        <v/>
      </c>
      <c r="F83" s="51">
        <f>IF(H83=P$4,(C83*(1)),IF(H83=P$3,(C83*(-1)),IF(H83=P$2,(C83*(1)))))</f>
        <v/>
      </c>
      <c r="G83" s="176">
        <f>F83*D83</f>
        <v/>
      </c>
      <c r="H83" s="52" t="inlineStr">
        <is>
          <t>COMPRA</t>
        </is>
      </c>
      <c r="I83" s="177" t="n"/>
      <c r="J83" s="178">
        <f>IF(H83="VENDA",I83*F83*-1,0)</f>
        <v/>
      </c>
      <c r="K83" s="178">
        <f>IF(J83=0,0,J83+G83)</f>
        <v/>
      </c>
    </row>
    <row r="84">
      <c r="A84" s="47" t="n">
        <v>46027</v>
      </c>
      <c r="B84" s="48" t="inlineStr">
        <is>
          <t>ITSA4</t>
        </is>
      </c>
      <c r="C84" s="49" t="n">
        <v>9</v>
      </c>
      <c r="D84" s="175" t="n">
        <v>11.86</v>
      </c>
      <c r="E84" s="50">
        <f>IFERROR(VLOOKUP(B84,'Dados B3'!A:G,2,FALSE),"-")</f>
        <v/>
      </c>
      <c r="F84" s="51">
        <f>IF(H84=P$4,(C84*(1)),IF(H84=P$3,(C84*(-1)),IF(H84=P$2,(C84*(1)))))</f>
        <v/>
      </c>
      <c r="G84" s="176">
        <f>F84*D84</f>
        <v/>
      </c>
      <c r="H84" s="52" t="inlineStr">
        <is>
          <t>COMPRA</t>
        </is>
      </c>
      <c r="I84" s="177" t="n"/>
      <c r="J84" s="178">
        <f>IF(H84="VENDA",I84*F84*-1,0)</f>
        <v/>
      </c>
      <c r="K84" s="178">
        <f>IF(J84=0,0,J84+G84)</f>
        <v/>
      </c>
    </row>
    <row r="85">
      <c r="A85" s="47" t="n">
        <v>46027</v>
      </c>
      <c r="B85" s="48" t="inlineStr">
        <is>
          <t>ITUB4</t>
        </is>
      </c>
      <c r="C85" s="49" t="n">
        <v>2</v>
      </c>
      <c r="D85" s="175" t="n">
        <v>39.71</v>
      </c>
      <c r="E85" s="50">
        <f>IFERROR(VLOOKUP(B85,'Dados B3'!A:G,2,FALSE),"-")</f>
        <v/>
      </c>
      <c r="F85" s="51">
        <f>IF(H85=P$4,(C85*(1)),IF(H85=P$3,(C85*(-1)),IF(H85=P$2,(C85*(1)))))</f>
        <v/>
      </c>
      <c r="G85" s="176">
        <f>F85*D85</f>
        <v/>
      </c>
      <c r="H85" s="52" t="inlineStr">
        <is>
          <t>COMPRA</t>
        </is>
      </c>
      <c r="I85" s="177" t="n"/>
      <c r="J85" s="178">
        <f>IF(H85="VENDA",I85*F85*-1,0)</f>
        <v/>
      </c>
      <c r="K85" s="178">
        <f>IF(J85=0,0,J85+G85)</f>
        <v/>
      </c>
    </row>
    <row r="86">
      <c r="A86" s="47" t="n">
        <v>46027</v>
      </c>
      <c r="B86" s="48" t="inlineStr">
        <is>
          <t>POMO4</t>
        </is>
      </c>
      <c r="C86" s="49" t="n">
        <v>17</v>
      </c>
      <c r="D86" s="175" t="n">
        <v>6.01</v>
      </c>
      <c r="E86" s="50">
        <f>IFERROR(VLOOKUP(B86,'Dados B3'!A:G,2,FALSE),"-")</f>
        <v/>
      </c>
      <c r="F86" s="51">
        <f>IF(H86=P$4,(C86*(1)),IF(H86=P$3,(C86*(-1)),IF(H86=P$2,(C86*(1)))))</f>
        <v/>
      </c>
      <c r="G86" s="176">
        <f>F86*D86</f>
        <v/>
      </c>
      <c r="H86" s="52" t="inlineStr">
        <is>
          <t>COMPRA</t>
        </is>
      </c>
      <c r="I86" s="177" t="n"/>
      <c r="J86" s="178">
        <f>IF(H86="VENDA",I86*F86*-1,0)</f>
        <v/>
      </c>
      <c r="K86" s="178">
        <f>IF(J86=0,0,J86+G86)</f>
        <v/>
      </c>
    </row>
    <row r="87">
      <c r="A87" s="47" t="n">
        <v>46027</v>
      </c>
      <c r="B87" s="48" t="inlineStr">
        <is>
          <t>PETR4</t>
        </is>
      </c>
      <c r="C87" s="49" t="n">
        <v>3</v>
      </c>
      <c r="D87" s="175" t="n">
        <v>30.07</v>
      </c>
      <c r="E87" s="50">
        <f>IFERROR(VLOOKUP(B87,'Dados B3'!A:G,2,FALSE),"-")</f>
        <v/>
      </c>
      <c r="F87" s="51">
        <f>IF(H87=P$4,(C87*(1)),IF(H87=P$3,(C87*(-1)),IF(H87=P$2,(C87*(1)))))</f>
        <v/>
      </c>
      <c r="G87" s="176">
        <f>F87*D87</f>
        <v/>
      </c>
      <c r="H87" s="52" t="inlineStr">
        <is>
          <t>COMPRA</t>
        </is>
      </c>
      <c r="I87" s="177" t="n"/>
      <c r="J87" s="178">
        <f>IF(H87="VENDA",I87*F87*-1,0)</f>
        <v/>
      </c>
      <c r="K87" s="178">
        <f>IF(J87=0,0,J87+G87)</f>
        <v/>
      </c>
    </row>
    <row r="88">
      <c r="A88" s="47" t="n">
        <v>46027</v>
      </c>
      <c r="B88" s="48" t="inlineStr">
        <is>
          <t>PETR4</t>
        </is>
      </c>
      <c r="C88" s="49" t="n">
        <v>50</v>
      </c>
      <c r="D88" s="175" t="n">
        <v>30.71</v>
      </c>
      <c r="E88" s="50">
        <f>IFERROR(VLOOKUP(B88,'Dados B3'!A:G,2,FALSE),"-")</f>
        <v/>
      </c>
      <c r="F88" s="51">
        <f>IF(H88=P$4,(C88*(1)),IF(H88=P$3,(C88*(-1)),IF(H88=P$2,(C88*(1)))))</f>
        <v/>
      </c>
      <c r="G88" s="176">
        <f>F88*D88</f>
        <v/>
      </c>
      <c r="H88" s="52" t="inlineStr">
        <is>
          <t>COMPRA</t>
        </is>
      </c>
      <c r="I88" s="177" t="n"/>
      <c r="J88" s="178">
        <f>IF(H88="VENDA",I88*F88*-1,0)</f>
        <v/>
      </c>
      <c r="K88" s="178">
        <f>IF(J88=0,0,J88+G88)</f>
        <v/>
      </c>
    </row>
    <row r="89">
      <c r="A89" s="47" t="n">
        <v>46027</v>
      </c>
      <c r="B89" s="48" t="inlineStr">
        <is>
          <t>RECV3</t>
        </is>
      </c>
      <c r="C89" s="49" t="n">
        <v>9</v>
      </c>
      <c r="D89" s="175" t="n">
        <v>10.95</v>
      </c>
      <c r="E89" s="50">
        <f>IFERROR(VLOOKUP(B89,'Dados B3'!A:G,2,FALSE),"-")</f>
        <v/>
      </c>
      <c r="F89" s="51">
        <f>IF(H89=P$4,(C89*(1)),IF(H89=P$3,(C89*(-1)),IF(H89=P$2,(C89*(1)))))</f>
        <v/>
      </c>
      <c r="G89" s="176">
        <f>F89*D89</f>
        <v/>
      </c>
      <c r="H89" s="52" t="inlineStr">
        <is>
          <t>COMPRA</t>
        </is>
      </c>
      <c r="I89" s="177" t="n"/>
      <c r="J89" s="178">
        <f>IF(H89="VENDA",I89*F89*-1,0)</f>
        <v/>
      </c>
      <c r="K89" s="178">
        <f>IF(J89=0,0,J89+G89)</f>
        <v/>
      </c>
    </row>
    <row r="90">
      <c r="A90" s="47" t="n">
        <v>46027</v>
      </c>
      <c r="B90" s="48" t="inlineStr">
        <is>
          <t>VALE3</t>
        </is>
      </c>
      <c r="C90" s="49" t="n">
        <v>1</v>
      </c>
      <c r="D90" s="175" t="n">
        <v>73.11</v>
      </c>
      <c r="E90" s="50">
        <f>IFERROR(VLOOKUP(B90,'Dados B3'!A:G,2,FALSE),"-")</f>
        <v/>
      </c>
      <c r="F90" s="51">
        <f>IF(H90=P$4,(C90*(1)),IF(H90=P$3,(C90*(-1)),IF(H90=P$2,(C90*(1)))))</f>
        <v/>
      </c>
      <c r="G90" s="176">
        <f>F90*D90</f>
        <v/>
      </c>
      <c r="H90" s="52" t="inlineStr">
        <is>
          <t>COMPRA</t>
        </is>
      </c>
      <c r="I90" s="177" t="n"/>
      <c r="J90" s="178">
        <f>IF(H90="VENDA",I90*F90*-1,0)</f>
        <v/>
      </c>
      <c r="K90" s="178">
        <f>IF(J90=0,0,J90+G90)</f>
        <v/>
      </c>
    </row>
    <row r="91">
      <c r="A91" s="47" t="n">
        <v>46030</v>
      </c>
      <c r="B91" s="48" t="inlineStr">
        <is>
          <t>RURA11</t>
        </is>
      </c>
      <c r="C91" s="49" t="n">
        <v>10</v>
      </c>
      <c r="D91" s="175" t="n">
        <v>7.88</v>
      </c>
      <c r="E91" s="50">
        <f>IFERROR(VLOOKUP(B91,'Dados B3'!A:G,2,FALSE),"-")</f>
        <v/>
      </c>
      <c r="F91" s="51">
        <f>IF(H91=P$4,(C91*(1)),IF(H91=P$3,(C91*(-1)),IF(H91=P$2,(C91*(1)))))</f>
        <v/>
      </c>
      <c r="G91" s="176">
        <f>F91*D91</f>
        <v/>
      </c>
      <c r="H91" s="52" t="inlineStr">
        <is>
          <t>COMPRA</t>
        </is>
      </c>
      <c r="I91" s="177" t="n"/>
      <c r="J91" s="178">
        <f>IF(H91="VENDA",I91*F91*-1,0)</f>
        <v/>
      </c>
      <c r="K91" s="178">
        <f>IF(J91=0,0,J91+G91)</f>
        <v/>
      </c>
    </row>
    <row r="92">
      <c r="A92" s="47" t="n">
        <v>46030</v>
      </c>
      <c r="B92" s="48" t="inlineStr">
        <is>
          <t>ALZR11</t>
        </is>
      </c>
      <c r="C92" s="49" t="n">
        <v>20</v>
      </c>
      <c r="D92" s="175" t="n">
        <v>9.800000000000001</v>
      </c>
      <c r="E92" s="50">
        <f>IFERROR(VLOOKUP(B92,'Dados B3'!A:G,2,FALSE),"-")</f>
        <v/>
      </c>
      <c r="F92" s="51">
        <f>IF(H92=P$4,(C92*(1)),IF(H92=P$3,(C92*(-1)),IF(H92=P$2,(C92*(1)))))</f>
        <v/>
      </c>
      <c r="G92" s="176">
        <f>F92*D92</f>
        <v/>
      </c>
      <c r="H92" s="52" t="inlineStr">
        <is>
          <t>COMPRA</t>
        </is>
      </c>
      <c r="I92" s="177" t="n"/>
      <c r="J92" s="178">
        <f>IF(H92="VENDA",I92*F92*-1,0)</f>
        <v/>
      </c>
      <c r="K92" s="178">
        <f>IF(J92=0,0,J92+G92)</f>
        <v/>
      </c>
    </row>
    <row r="93">
      <c r="A93" s="47" t="n">
        <v>46041</v>
      </c>
      <c r="B93" s="48" t="inlineStr">
        <is>
          <t>TRXF11</t>
        </is>
      </c>
      <c r="C93" s="49" t="n">
        <v>4</v>
      </c>
      <c r="D93" s="175" t="n">
        <v>96.44</v>
      </c>
      <c r="E93" s="50">
        <f>IFERROR(VLOOKUP(B93,'Dados B3'!A:G,2,FALSE),"-")</f>
        <v/>
      </c>
      <c r="F93" s="51">
        <f>IF(H93=P$4,(C93*(1)),IF(H93=P$3,(C93*(-1)),IF(H93=P$2,(C93*(1)))))</f>
        <v/>
      </c>
      <c r="G93" s="176">
        <f>F93*D93</f>
        <v/>
      </c>
      <c r="H93" s="52" t="inlineStr">
        <is>
          <t>COMPRA</t>
        </is>
      </c>
      <c r="I93" s="177" t="n"/>
      <c r="J93" s="178">
        <f>IF(H93="VENDA",I93*F93*-1,0)</f>
        <v/>
      </c>
      <c r="K93" s="178">
        <f>IF(J93=0,0,J93+G93)</f>
        <v/>
      </c>
    </row>
    <row r="94">
      <c r="A94" s="47" t="inlineStr">
        <is>
          <t>10/02/2026</t>
        </is>
      </c>
      <c r="B94" s="48" t="inlineStr">
        <is>
          <t>IRIM11</t>
        </is>
      </c>
      <c r="C94" s="49" t="n">
        <v>3</v>
      </c>
      <c r="D94" s="175" t="n">
        <v>68.20999999999999</v>
      </c>
      <c r="E94" s="50">
        <f>IFERROR(VLOOKUP(B94,'Dados B3'!A:G,2,FALSE),"-")</f>
        <v/>
      </c>
      <c r="F94" s="51" t="n">
        <v>3</v>
      </c>
      <c r="G94" s="176">
        <f>F94*D94</f>
        <v/>
      </c>
      <c r="H94" s="52" t="inlineStr">
        <is>
          <t>COMPRA</t>
        </is>
      </c>
      <c r="I94" s="177" t="n"/>
      <c r="J94" s="178">
        <f>IF(H94="VENDA",I94*F94*-1,0)</f>
        <v/>
      </c>
      <c r="K94" s="178">
        <f>IF(J94=0,0,J94+G94)</f>
        <v/>
      </c>
    </row>
    <row r="95">
      <c r="A95" s="47" t="inlineStr">
        <is>
          <t>10/02/2026</t>
        </is>
      </c>
      <c r="B95" s="48" t="inlineStr">
        <is>
          <t>TRXF11</t>
        </is>
      </c>
      <c r="C95" s="49" t="n">
        <v>2</v>
      </c>
      <c r="D95" s="175" t="n">
        <v>93.04000000000001</v>
      </c>
      <c r="E95" s="50">
        <f>IFERROR(VLOOKUP(B95,'Dados B3'!A:G,2,FALSE),"-")</f>
        <v/>
      </c>
      <c r="F95" s="51" t="n">
        <v>2</v>
      </c>
      <c r="G95" s="176">
        <f>F95*D95</f>
        <v/>
      </c>
      <c r="H95" s="52" t="inlineStr">
        <is>
          <t>COMPRA</t>
        </is>
      </c>
      <c r="I95" s="177" t="n"/>
      <c r="J95" s="178">
        <f>IF(H95="VENDA",I95*F95*-1,0)</f>
        <v/>
      </c>
      <c r="K95" s="178">
        <f>IF(J95=0,0,J95+G95)</f>
        <v/>
      </c>
    </row>
    <row r="96">
      <c r="A96" s="47" t="inlineStr">
        <is>
          <t>22/01/2026</t>
        </is>
      </c>
      <c r="B96" s="48" t="inlineStr">
        <is>
          <t>VGRI11</t>
        </is>
      </c>
      <c r="C96" s="49" t="n">
        <v>2</v>
      </c>
      <c r="D96" s="175" t="n">
        <v>8.630000000000001</v>
      </c>
      <c r="E96" s="50">
        <f>IFERROR(VLOOKUP(B96,'Dados B3'!A:G,2,FALSE),"-")</f>
        <v/>
      </c>
      <c r="F96" s="51" t="n">
        <v>2</v>
      </c>
      <c r="G96" s="176">
        <f>F96*D96</f>
        <v/>
      </c>
      <c r="H96" s="52" t="inlineStr">
        <is>
          <t>COMPRA</t>
        </is>
      </c>
      <c r="I96" s="177" t="n"/>
      <c r="J96" s="178">
        <f>IF(H96="VENDA",I96*F96*-1,0)</f>
        <v/>
      </c>
      <c r="K96" s="178">
        <f>IF(J96=0,0,J96+G96)</f>
        <v/>
      </c>
    </row>
    <row r="97">
      <c r="A97" s="47" t="inlineStr">
        <is>
          <t>02/02/2026</t>
        </is>
      </c>
      <c r="B97" s="48" t="inlineStr">
        <is>
          <t>BBDC4</t>
        </is>
      </c>
      <c r="C97" s="49" t="n">
        <v>4</v>
      </c>
      <c r="D97" s="175" t="n">
        <v>21.47</v>
      </c>
      <c r="E97" s="50">
        <f>IFERROR(VLOOKUP(B97,'Dados B3'!A:G,2,FALSE),"-")</f>
        <v/>
      </c>
      <c r="F97" s="51" t="n">
        <v>4</v>
      </c>
      <c r="G97" s="176">
        <f>F97*D97</f>
        <v/>
      </c>
      <c r="H97" s="52" t="inlineStr">
        <is>
          <t>COMPRA</t>
        </is>
      </c>
      <c r="I97" s="177" t="n"/>
      <c r="J97" s="178">
        <f>IF(H97="VENDA",I97*F97*-1,0)</f>
        <v/>
      </c>
      <c r="K97" s="178">
        <f>IF(J97=0,0,J97+G97)</f>
        <v/>
      </c>
    </row>
    <row r="98">
      <c r="A98" s="47" t="inlineStr">
        <is>
          <t>02/02/2026</t>
        </is>
      </c>
      <c r="B98" s="48" t="inlineStr">
        <is>
          <t>CXSE3</t>
        </is>
      </c>
      <c r="C98" s="49" t="n">
        <v>1</v>
      </c>
      <c r="D98" s="175" t="n">
        <v>17.6</v>
      </c>
      <c r="E98" s="50">
        <f>IFERROR(VLOOKUP(B98,'Dados B3'!A:G,2,FALSE),"-")</f>
        <v/>
      </c>
      <c r="F98" s="51" t="n">
        <v>1</v>
      </c>
      <c r="G98" s="176">
        <f>F98*D98</f>
        <v/>
      </c>
      <c r="H98" s="52" t="inlineStr">
        <is>
          <t>COMPRA</t>
        </is>
      </c>
      <c r="I98" s="177" t="n"/>
      <c r="J98" s="178">
        <f>IF(H98="VENDA",I98*F98*-1,0)</f>
        <v/>
      </c>
      <c r="K98" s="178">
        <f>IF(J98=0,0,J98+G98)</f>
        <v/>
      </c>
    </row>
    <row r="99">
      <c r="A99" s="47" t="inlineStr">
        <is>
          <t>02/02/2026</t>
        </is>
      </c>
      <c r="B99" s="48" t="inlineStr">
        <is>
          <t>CURY3</t>
        </is>
      </c>
      <c r="C99" s="49" t="n">
        <v>1</v>
      </c>
      <c r="D99" s="175" t="n">
        <v>36.25</v>
      </c>
      <c r="E99" s="50">
        <f>IFERROR(VLOOKUP(B99,'Dados B3'!A:G,2,FALSE),"-")</f>
        <v/>
      </c>
      <c r="F99" s="51" t="n">
        <v>1</v>
      </c>
      <c r="G99" s="176">
        <f>F99*D99</f>
        <v/>
      </c>
      <c r="H99" s="52" t="inlineStr">
        <is>
          <t>COMPRA</t>
        </is>
      </c>
      <c r="I99" s="177" t="n"/>
      <c r="J99" s="178">
        <f>IF(H99="VENDA",I99*F99*-1,0)</f>
        <v/>
      </c>
      <c r="K99" s="178">
        <f>IF(J99=0,0,J99+G99)</f>
        <v/>
      </c>
    </row>
    <row r="100">
      <c r="A100" s="47" t="inlineStr">
        <is>
          <t>02/02/2026</t>
        </is>
      </c>
      <c r="B100" s="48" t="inlineStr">
        <is>
          <t>DIRR3</t>
        </is>
      </c>
      <c r="C100" s="49" t="n">
        <v>1</v>
      </c>
      <c r="D100" s="175" t="n">
        <v>14.6</v>
      </c>
      <c r="E100" s="50">
        <f>IFERROR(VLOOKUP(B100,'Dados B3'!A:G,2,FALSE),"-")</f>
        <v/>
      </c>
      <c r="F100" s="51" t="n">
        <v>1</v>
      </c>
      <c r="G100" s="176">
        <f>F100*D100</f>
        <v/>
      </c>
      <c r="H100" s="52" t="inlineStr">
        <is>
          <t>COMPRA</t>
        </is>
      </c>
      <c r="I100" s="177" t="n"/>
      <c r="J100" s="178">
        <f>IF(H100="VENDA",I100*F100*-1,0)</f>
        <v/>
      </c>
      <c r="K100" s="178">
        <f>IF(J100=0,0,J100+G100)</f>
        <v/>
      </c>
    </row>
    <row r="101">
      <c r="A101" s="47" t="inlineStr">
        <is>
          <t>02/02/2026</t>
        </is>
      </c>
      <c r="B101" s="48" t="inlineStr">
        <is>
          <t>ITSA4</t>
        </is>
      </c>
      <c r="C101" s="49" t="n">
        <v>1</v>
      </c>
      <c r="D101" s="175" t="n">
        <v>11.86</v>
      </c>
      <c r="E101" s="50">
        <f>IFERROR(VLOOKUP(B101,'Dados B3'!A:G,2,FALSE),"-")</f>
        <v/>
      </c>
      <c r="F101" s="51" t="n">
        <v>-1</v>
      </c>
      <c r="G101" s="176">
        <f>F101*D101</f>
        <v/>
      </c>
      <c r="H101" s="52" t="inlineStr">
        <is>
          <t>VENDA</t>
        </is>
      </c>
      <c r="I101" s="177" t="n">
        <v>13.84</v>
      </c>
      <c r="J101" s="178">
        <f>IF(H101="VENDA",I101*F101*-1,0)</f>
        <v/>
      </c>
      <c r="K101" s="178">
        <f>IF(J101=0,0,J101+G101)</f>
        <v/>
      </c>
    </row>
    <row r="102">
      <c r="A102" s="47" t="inlineStr">
        <is>
          <t>02/02/2026</t>
        </is>
      </c>
      <c r="B102" s="48" t="inlineStr">
        <is>
          <t>POMO4</t>
        </is>
      </c>
      <c r="C102" s="49" t="n">
        <v>2</v>
      </c>
      <c r="D102" s="175" t="n">
        <v>6.53</v>
      </c>
      <c r="E102" s="50">
        <f>IFERROR(VLOOKUP(B102,'Dados B3'!A:G,2,FALSE),"-")</f>
        <v/>
      </c>
      <c r="F102" s="51" t="n">
        <v>2</v>
      </c>
      <c r="G102" s="176">
        <f>F102*D102</f>
        <v/>
      </c>
      <c r="H102" s="52" t="inlineStr">
        <is>
          <t>COMPRA</t>
        </is>
      </c>
      <c r="I102" s="177" t="n"/>
      <c r="J102" s="178">
        <f>IF(H102="VENDA",I102*F102*-1,0)</f>
        <v/>
      </c>
      <c r="K102" s="178">
        <f>IF(J102=0,0,J102+G102)</f>
        <v/>
      </c>
    </row>
    <row r="103">
      <c r="A103" s="47" t="inlineStr">
        <is>
          <t>02/02/2026</t>
        </is>
      </c>
      <c r="B103" s="48" t="inlineStr">
        <is>
          <t>PETR4</t>
        </is>
      </c>
      <c r="C103" s="49" t="n">
        <v>1</v>
      </c>
      <c r="D103" s="175" t="n">
        <v>30.9136</v>
      </c>
      <c r="E103" s="50">
        <f>IFERROR(VLOOKUP(B103,'Dados B3'!A:G,2,FALSE),"-")</f>
        <v/>
      </c>
      <c r="F103" s="51" t="n">
        <v>-1</v>
      </c>
      <c r="G103" s="176">
        <f>F103*D103</f>
        <v/>
      </c>
      <c r="H103" s="52" t="inlineStr">
        <is>
          <t>VENDA</t>
        </is>
      </c>
      <c r="I103" s="177" t="n">
        <v>36.93</v>
      </c>
      <c r="J103" s="178">
        <f>IF(H103="VENDA",I103*F103*-1,0)</f>
        <v/>
      </c>
      <c r="K103" s="178">
        <f>IF(J103=0,0,J103+G103)</f>
        <v/>
      </c>
    </row>
    <row r="104">
      <c r="A104" s="47" t="inlineStr">
        <is>
          <t>02/02/2026</t>
        </is>
      </c>
      <c r="B104" s="48" t="inlineStr">
        <is>
          <t>RECV3</t>
        </is>
      </c>
      <c r="C104" s="49" t="n">
        <v>9</v>
      </c>
      <c r="D104" s="175" t="n">
        <v>10.95</v>
      </c>
      <c r="E104" s="50">
        <f>IFERROR(VLOOKUP(B104,'Dados B3'!A:G,2,FALSE),"-")</f>
        <v/>
      </c>
      <c r="F104" s="51" t="n">
        <v>-9</v>
      </c>
      <c r="G104" s="176">
        <f>F104*D104</f>
        <v/>
      </c>
      <c r="H104" s="52" t="inlineStr">
        <is>
          <t>VENDA</t>
        </is>
      </c>
      <c r="I104" s="177" t="n">
        <v>10.82</v>
      </c>
      <c r="J104" s="178">
        <f>IF(H104="VENDA",I104*F104*-1,0)</f>
        <v/>
      </c>
      <c r="K104" s="178">
        <f>IF(J104=0,0,J104+G104)</f>
        <v/>
      </c>
    </row>
    <row r="105">
      <c r="A105" s="47" t="inlineStr">
        <is>
          <t>02/02/2026</t>
        </is>
      </c>
      <c r="B105" s="48" t="inlineStr">
        <is>
          <t>VALE3</t>
        </is>
      </c>
      <c r="C105" s="49" t="n">
        <v>5</v>
      </c>
      <c r="D105" s="175" t="n">
        <v>57.238</v>
      </c>
      <c r="E105" s="50">
        <f>IFERROR(VLOOKUP(B105,'Dados B3'!A:G,2,FALSE),"-")</f>
        <v/>
      </c>
      <c r="F105" s="51" t="n">
        <v>-5</v>
      </c>
      <c r="G105" s="176">
        <f>F105*D105</f>
        <v/>
      </c>
      <c r="H105" s="52" t="inlineStr">
        <is>
          <t>VENDA</t>
        </is>
      </c>
      <c r="I105" s="177" t="n">
        <v>84.3</v>
      </c>
      <c r="J105" s="178">
        <f>IF(H105="VENDA",I105*F105*-1,0)</f>
        <v/>
      </c>
      <c r="K105" s="178">
        <f>IF(J105=0,0,J105+G105)</f>
        <v/>
      </c>
    </row>
    <row r="106">
      <c r="A106" s="47" t="inlineStr">
        <is>
          <t>13/02/2026</t>
        </is>
      </c>
      <c r="B106" s="48" t="inlineStr">
        <is>
          <t>BBAS3</t>
        </is>
      </c>
      <c r="C106" s="49" t="n">
        <v>3</v>
      </c>
      <c r="D106" s="175" t="n">
        <v>21.55</v>
      </c>
      <c r="E106" s="50">
        <f>IFERROR(VLOOKUP(B106,'Dados B3'!A:G,2,FALSE),"-")</f>
        <v/>
      </c>
      <c r="F106" s="51" t="n">
        <v>-3</v>
      </c>
      <c r="G106" s="176">
        <f>F106*D106</f>
        <v/>
      </c>
      <c r="H106" s="52" t="inlineStr">
        <is>
          <t>VENDA</t>
        </is>
      </c>
      <c r="I106" s="177" t="n">
        <v>25.33</v>
      </c>
      <c r="J106" s="178">
        <f>IF(H106="VENDA",I106*F106*-1,0)</f>
        <v/>
      </c>
      <c r="K106" s="178">
        <f>IF(J106=0,0,J106+G106)</f>
        <v/>
      </c>
    </row>
    <row r="107">
      <c r="A107" s="47" t="inlineStr">
        <is>
          <t>13/02/2026</t>
        </is>
      </c>
      <c r="B107" s="48" t="inlineStr">
        <is>
          <t>CXSE3</t>
        </is>
      </c>
      <c r="C107" s="49" t="n">
        <v>2</v>
      </c>
      <c r="D107" s="175" t="n">
        <v>16.3111</v>
      </c>
      <c r="E107" s="50">
        <f>IFERROR(VLOOKUP(B107,'Dados B3'!A:G,2,FALSE),"-")</f>
        <v/>
      </c>
      <c r="F107" s="51" t="n">
        <v>-2</v>
      </c>
      <c r="G107" s="176">
        <f>F107*D107</f>
        <v/>
      </c>
      <c r="H107" s="52" t="inlineStr">
        <is>
          <t>VENDA</t>
        </is>
      </c>
      <c r="I107" s="177" t="n">
        <v>18.07</v>
      </c>
      <c r="J107" s="178">
        <f>IF(H107="VENDA",I107*F107*-1,0)</f>
        <v/>
      </c>
      <c r="K107" s="178">
        <f>IF(J107=0,0,J107+G107)</f>
        <v/>
      </c>
    </row>
    <row r="108">
      <c r="A108" s="47" t="inlineStr">
        <is>
          <t>13/02/2026</t>
        </is>
      </c>
      <c r="B108" s="48" t="inlineStr">
        <is>
          <t>CURY3</t>
        </is>
      </c>
      <c r="C108" s="49" t="n">
        <v>4</v>
      </c>
      <c r="D108" s="175" t="n">
        <v>33.3475</v>
      </c>
      <c r="E108" s="50">
        <f>IFERROR(VLOOKUP(B108,'Dados B3'!A:G,2,FALSE),"-")</f>
        <v/>
      </c>
      <c r="F108" s="51" t="n">
        <v>-4</v>
      </c>
      <c r="G108" s="176">
        <f>F108*D108</f>
        <v/>
      </c>
      <c r="H108" s="52" t="inlineStr">
        <is>
          <t>VENDA</t>
        </is>
      </c>
      <c r="I108" s="177" t="n">
        <v>40.53</v>
      </c>
      <c r="J108" s="178">
        <f>IF(H108="VENDA",I108*F108*-1,0)</f>
        <v/>
      </c>
      <c r="K108" s="178">
        <f>IF(J108=0,0,J108+G108)</f>
        <v/>
      </c>
    </row>
    <row r="109">
      <c r="A109" s="47" t="inlineStr">
        <is>
          <t>27/01/2026</t>
        </is>
      </c>
      <c r="B109" s="48" t="inlineStr">
        <is>
          <t>CMIG4</t>
        </is>
      </c>
      <c r="C109" s="49" t="n">
        <v>3</v>
      </c>
      <c r="D109" s="175" t="n">
        <v>10.54</v>
      </c>
      <c r="E109" s="50">
        <f>IFERROR(VLOOKUP(B109,'Dados B3'!A:G,2,FALSE),"-")</f>
        <v/>
      </c>
      <c r="F109" s="51" t="n">
        <v>-3</v>
      </c>
      <c r="G109" s="176">
        <f>F109*D109</f>
        <v/>
      </c>
      <c r="H109" s="52" t="inlineStr">
        <is>
          <t>VENDA</t>
        </is>
      </c>
      <c r="I109" s="177" t="n">
        <v>11.62</v>
      </c>
      <c r="J109" s="178">
        <f>IF(H109="VENDA",I109*F109*-1,0)</f>
        <v/>
      </c>
      <c r="K109" s="178">
        <f>IF(J109=0,0,J109+G109)</f>
        <v/>
      </c>
    </row>
    <row r="110">
      <c r="A110" s="47" t="inlineStr">
        <is>
          <t>27/01/2026</t>
        </is>
      </c>
      <c r="B110" s="48" t="inlineStr">
        <is>
          <t>RECV3</t>
        </is>
      </c>
      <c r="C110" s="49" t="n">
        <v>1</v>
      </c>
      <c r="D110" s="175" t="n">
        <v>11.09</v>
      </c>
      <c r="E110" s="50">
        <f>IFERROR(VLOOKUP(B110,'Dados B3'!A:G,2,FALSE),"-")</f>
        <v/>
      </c>
      <c r="F110" s="51" t="n">
        <v>1</v>
      </c>
      <c r="G110" s="176">
        <f>F110*D110</f>
        <v/>
      </c>
      <c r="H110" s="52" t="inlineStr">
        <is>
          <t>COMPRA</t>
        </is>
      </c>
      <c r="I110" s="177" t="n"/>
      <c r="J110" s="178">
        <f>IF(H110="VENDA",I110*F110*-1,0)</f>
        <v/>
      </c>
      <c r="K110" s="178">
        <f>IF(J110=0,0,J110+G110)</f>
        <v/>
      </c>
    </row>
    <row r="111">
      <c r="A111" s="47" t="inlineStr">
        <is>
          <t>29/01/2026</t>
        </is>
      </c>
      <c r="B111" s="48" t="inlineStr">
        <is>
          <t>RAIZ4</t>
        </is>
      </c>
      <c r="C111" s="49" t="n">
        <v>30</v>
      </c>
      <c r="D111" s="175" t="n">
        <v>1.1</v>
      </c>
      <c r="E111" s="50">
        <f>IFERROR(VLOOKUP(B111,'Dados B3'!A:G,2,FALSE),"-")</f>
        <v/>
      </c>
      <c r="F111" s="51" t="n">
        <v>30</v>
      </c>
      <c r="G111" s="176">
        <f>F111*D111</f>
        <v/>
      </c>
      <c r="H111" s="52" t="inlineStr">
        <is>
          <t>COMPRA</t>
        </is>
      </c>
      <c r="I111" s="177" t="n"/>
      <c r="J111" s="178">
        <f>IF(H111="VENDA",I111*F111*-1,0)</f>
        <v/>
      </c>
      <c r="K111" s="178">
        <f>IF(J111=0,0,J111+G111)</f>
        <v/>
      </c>
    </row>
    <row r="112">
      <c r="A112" s="47" t="inlineStr">
        <is>
          <t>02/02/2026</t>
        </is>
      </c>
      <c r="B112" s="48" t="inlineStr">
        <is>
          <t>CYRE3</t>
        </is>
      </c>
      <c r="C112" s="49" t="n">
        <v>2</v>
      </c>
      <c r="D112" s="175" t="n">
        <v>24.92</v>
      </c>
      <c r="E112" s="50">
        <f>IFERROR(VLOOKUP(B112,'Dados B3'!A:G,2,FALSE),"-")</f>
        <v/>
      </c>
      <c r="F112" s="51" t="n">
        <v>-2</v>
      </c>
      <c r="G112" s="176">
        <f>F112*D112</f>
        <v/>
      </c>
      <c r="H112" s="52" t="inlineStr">
        <is>
          <t>VENDA</t>
        </is>
      </c>
      <c r="I112" s="177" t="n">
        <v>30.21</v>
      </c>
      <c r="J112" s="178">
        <f>IF(H112="VENDA",I112*F112*-1,0)</f>
        <v/>
      </c>
      <c r="K112" s="178">
        <f>IF(J112=0,0,J112+G112)</f>
        <v/>
      </c>
    </row>
    <row r="113">
      <c r="A113" s="47" t="inlineStr">
        <is>
          <t>02/03/2026</t>
        </is>
      </c>
      <c r="B113" s="48" t="inlineStr">
        <is>
          <t>BBDC4</t>
        </is>
      </c>
      <c r="C113" s="49" t="n">
        <v>1</v>
      </c>
      <c r="D113" s="175" t="n">
        <v>21.12</v>
      </c>
      <c r="E113" s="50">
        <f>IFERROR(VLOOKUP(B113,'Dados B3'!A:G,2,FALSE),"-")</f>
        <v/>
      </c>
      <c r="F113" s="51" t="n">
        <v>1</v>
      </c>
      <c r="G113" s="176">
        <f>F113*D113</f>
        <v/>
      </c>
      <c r="H113" s="52" t="inlineStr">
        <is>
          <t>COMPRA</t>
        </is>
      </c>
      <c r="I113" s="177" t="n"/>
      <c r="J113" s="178">
        <f>IF(H113="VENDA",I113*F113*-1,0)</f>
        <v/>
      </c>
      <c r="K113" s="178">
        <f>IF(J113=0,0,J113+G113)</f>
        <v/>
      </c>
    </row>
    <row r="114">
      <c r="A114" s="47" t="inlineStr">
        <is>
          <t>02/03/2026</t>
        </is>
      </c>
      <c r="B114" s="48" t="inlineStr">
        <is>
          <t>CXSE3</t>
        </is>
      </c>
      <c r="C114" s="49" t="n">
        <v>2</v>
      </c>
      <c r="D114" s="175" t="n">
        <v>16.3111</v>
      </c>
      <c r="E114" s="50">
        <f>IFERROR(VLOOKUP(B114,'Dados B3'!A:G,2,FALSE),"-")</f>
        <v/>
      </c>
      <c r="F114" s="51" t="n">
        <v>-2</v>
      </c>
      <c r="G114" s="176">
        <f>F114*D114</f>
        <v/>
      </c>
      <c r="H114" s="52" t="inlineStr">
        <is>
          <t>VENDA</t>
        </is>
      </c>
      <c r="I114" s="177" t="n">
        <v>17.86</v>
      </c>
      <c r="J114" s="178">
        <f>IF(H114="VENDA",I114*F114*-1,0)</f>
        <v/>
      </c>
      <c r="K114" s="178">
        <f>IF(J114=0,0,J114+G114)</f>
        <v/>
      </c>
    </row>
    <row r="115">
      <c r="A115" s="47" t="inlineStr">
        <is>
          <t>02/03/2026</t>
        </is>
      </c>
      <c r="B115" s="48" t="inlineStr">
        <is>
          <t>CURY3</t>
        </is>
      </c>
      <c r="C115" s="49" t="n">
        <v>2</v>
      </c>
      <c r="D115" s="175" t="n">
        <v>38.45</v>
      </c>
      <c r="E115" s="50">
        <f>IFERROR(VLOOKUP(B115,'Dados B3'!A:G,2,FALSE),"-")</f>
        <v/>
      </c>
      <c r="F115" s="51" t="n">
        <v>2</v>
      </c>
      <c r="G115" s="176">
        <f>F115*D115</f>
        <v/>
      </c>
      <c r="H115" s="52" t="inlineStr">
        <is>
          <t>COMPRA</t>
        </is>
      </c>
      <c r="I115" s="177" t="n"/>
      <c r="J115" s="178">
        <f>IF(H115="VENDA",I115*F115*-1,0)</f>
        <v/>
      </c>
      <c r="K115" s="178">
        <f>IF(J115=0,0,J115+G115)</f>
        <v/>
      </c>
    </row>
    <row r="116">
      <c r="A116" s="47" t="inlineStr">
        <is>
          <t>02/03/2026</t>
        </is>
      </c>
      <c r="B116" s="48" t="inlineStr">
        <is>
          <t>DIRR3</t>
        </is>
      </c>
      <c r="C116" s="49" t="n">
        <v>2</v>
      </c>
      <c r="D116" s="175" t="n">
        <v>14.1888</v>
      </c>
      <c r="E116" s="50">
        <f>IFERROR(VLOOKUP(B116,'Dados B3'!A:G,2,FALSE),"-")</f>
        <v/>
      </c>
      <c r="F116" s="51" t="n">
        <v>-2</v>
      </c>
      <c r="G116" s="176">
        <f>F116*D116</f>
        <v/>
      </c>
      <c r="H116" s="52" t="inlineStr">
        <is>
          <t>VENDA</t>
        </is>
      </c>
      <c r="I116" s="177" t="n">
        <v>15.98</v>
      </c>
      <c r="J116" s="178">
        <f>IF(H116="VENDA",I116*F116*-1,0)</f>
        <v/>
      </c>
      <c r="K116" s="178">
        <f>IF(J116=0,0,J116+G116)</f>
        <v/>
      </c>
    </row>
    <row r="117">
      <c r="A117" s="47" t="inlineStr">
        <is>
          <t>02/03/2026</t>
        </is>
      </c>
      <c r="B117" s="48" t="inlineStr">
        <is>
          <t>ITSA4</t>
        </is>
      </c>
      <c r="C117" s="49" t="n">
        <v>2</v>
      </c>
      <c r="D117" s="175" t="n">
        <v>11.86</v>
      </c>
      <c r="E117" s="50">
        <f>IFERROR(VLOOKUP(B117,'Dados B3'!A:G,2,FALSE),"-")</f>
        <v/>
      </c>
      <c r="F117" s="51" t="n">
        <v>-2</v>
      </c>
      <c r="G117" s="176">
        <f>F117*D117</f>
        <v/>
      </c>
      <c r="H117" s="52" t="inlineStr">
        <is>
          <t>VENDA</t>
        </is>
      </c>
      <c r="I117" s="177" t="n">
        <v>14.09</v>
      </c>
      <c r="J117" s="178">
        <f>IF(H117="VENDA",I117*F117*-1,0)</f>
        <v/>
      </c>
      <c r="K117" s="178">
        <f>IF(J117=0,0,J117+G117)</f>
        <v/>
      </c>
    </row>
    <row r="118">
      <c r="A118" s="47" t="inlineStr">
        <is>
          <t>02/03/2026</t>
        </is>
      </c>
      <c r="B118" s="48" t="inlineStr">
        <is>
          <t>ITUB4</t>
        </is>
      </c>
      <c r="C118" s="49" t="n">
        <v>1</v>
      </c>
      <c r="D118" s="175" t="n">
        <v>39.71</v>
      </c>
      <c r="E118" s="50">
        <f>IFERROR(VLOOKUP(B118,'Dados B3'!A:G,2,FALSE),"-")</f>
        <v/>
      </c>
      <c r="F118" s="51" t="n">
        <v>-1</v>
      </c>
      <c r="G118" s="176">
        <f>F118*D118</f>
        <v/>
      </c>
      <c r="H118" s="52" t="inlineStr">
        <is>
          <t>VENDA</t>
        </is>
      </c>
      <c r="I118" s="177" t="n">
        <v>46.06</v>
      </c>
      <c r="J118" s="178">
        <f>IF(H118="VENDA",I118*F118*-1,0)</f>
        <v/>
      </c>
      <c r="K118" s="178">
        <f>IF(J118=0,0,J118+G118)</f>
        <v/>
      </c>
    </row>
    <row r="119">
      <c r="A119" s="47" t="inlineStr">
        <is>
          <t>02/03/2026</t>
        </is>
      </c>
      <c r="B119" s="48" t="inlineStr">
        <is>
          <t>POMO4</t>
        </is>
      </c>
      <c r="C119" s="49" t="n">
        <v>5</v>
      </c>
      <c r="D119" s="169" t="n">
        <v>6.0647</v>
      </c>
      <c r="E119" s="50">
        <f>IFERROR(VLOOKUP(B119,'Dados B3'!A:G,2,FALSE),"-")</f>
        <v/>
      </c>
      <c r="F119" s="51" t="n">
        <v>-5</v>
      </c>
      <c r="G119" s="176">
        <f>F119*D119</f>
        <v/>
      </c>
      <c r="H119" s="52" t="inlineStr">
        <is>
          <t>VENDA</t>
        </is>
      </c>
      <c r="I119" s="177" t="n">
        <v>6.7</v>
      </c>
      <c r="J119" s="178">
        <f>IF(H119="VENDA",I119*F119*-1,0)</f>
        <v/>
      </c>
      <c r="K119" s="178">
        <f>IF(J119=0,0,J119+G119)</f>
        <v/>
      </c>
    </row>
    <row r="120">
      <c r="A120" s="47" t="inlineStr">
        <is>
          <t>02/03/2026</t>
        </is>
      </c>
      <c r="B120" s="48" t="inlineStr">
        <is>
          <t>PETR4</t>
        </is>
      </c>
      <c r="C120" s="49" t="n">
        <v>1</v>
      </c>
      <c r="D120" s="169" t="n">
        <v>40.92</v>
      </c>
      <c r="E120" s="50">
        <f>IFERROR(VLOOKUP(B120,'Dados B3'!A:G,2,FALSE),"-")</f>
        <v/>
      </c>
      <c r="F120" s="51" t="n">
        <v>1</v>
      </c>
      <c r="G120" s="176">
        <f>F120*D120</f>
        <v/>
      </c>
      <c r="H120" s="52" t="inlineStr">
        <is>
          <t>COMPRA</t>
        </is>
      </c>
      <c r="I120" s="177" t="n"/>
      <c r="J120" s="178">
        <f>IF(H120="VENDA",I120*F120*-1,0)</f>
        <v/>
      </c>
      <c r="K120" s="178">
        <f>IF(J120=0,0,J120+G120)</f>
        <v/>
      </c>
    </row>
    <row r="121">
      <c r="A121" s="47" t="inlineStr">
        <is>
          <t>05/01/2026</t>
        </is>
      </c>
      <c r="B121" s="48" t="inlineStr">
        <is>
          <t>AVBH34</t>
        </is>
      </c>
      <c r="C121" s="49" t="n">
        <v>1</v>
      </c>
      <c r="D121" s="169" t="n">
        <v>245.94</v>
      </c>
      <c r="E121" s="50">
        <f>IFERROR(VLOOKUP(B121,'Dados B3'!A:G,2,FALSE),"-")</f>
        <v/>
      </c>
      <c r="F121" s="51" t="n">
        <v>-1</v>
      </c>
      <c r="G121" s="176">
        <f>F121*D121</f>
        <v/>
      </c>
      <c r="H121" s="52" t="inlineStr">
        <is>
          <t>VENDA</t>
        </is>
      </c>
      <c r="I121" s="177" t="n">
        <v>245.94</v>
      </c>
      <c r="J121" s="178">
        <f>IF(H121="VENDA",I121*F121*-1,0)</f>
        <v/>
      </c>
      <c r="K121" s="178">
        <f>IF(J121=0,0,J121+G121)</f>
        <v/>
      </c>
    </row>
    <row r="122">
      <c r="A122" s="47" t="inlineStr">
        <is>
          <t>12/03/2026</t>
        </is>
      </c>
      <c r="B122" s="48" t="inlineStr">
        <is>
          <t>GARE11</t>
        </is>
      </c>
      <c r="C122" s="49" t="n">
        <v>19</v>
      </c>
      <c r="D122" s="169" t="n">
        <v>8.300000000000001</v>
      </c>
      <c r="E122" s="50">
        <f>IFERROR(VLOOKUP(B122,'Dados B3'!A:G,2,FALSE),"-")</f>
        <v/>
      </c>
      <c r="F122" s="51" t="n">
        <v>19</v>
      </c>
      <c r="G122" s="176">
        <f>F122*D122</f>
        <v/>
      </c>
      <c r="H122" s="52" t="inlineStr">
        <is>
          <t>COMPRA</t>
        </is>
      </c>
      <c r="I122" s="177" t="n"/>
      <c r="J122" s="178">
        <f>IF(H122="VENDA",I122*F122*-1,0)</f>
        <v/>
      </c>
      <c r="K122" s="178">
        <f>IF(J122=0,0,J122+G122)</f>
        <v/>
      </c>
    </row>
    <row r="123">
      <c r="A123" s="47" t="inlineStr">
        <is>
          <t>12/03/2026</t>
        </is>
      </c>
      <c r="B123" s="48" t="inlineStr">
        <is>
          <t>TRXF11</t>
        </is>
      </c>
      <c r="C123" s="49" t="n">
        <v>2</v>
      </c>
      <c r="D123" s="169" t="n">
        <v>91.90000000000001</v>
      </c>
      <c r="E123" s="50">
        <f>IFERROR(VLOOKUP(B123,'Dados B3'!A:G,2,FALSE),"-")</f>
        <v/>
      </c>
      <c r="F123" s="51" t="n">
        <v>2</v>
      </c>
      <c r="G123" s="176">
        <f>F123*D123</f>
        <v/>
      </c>
      <c r="H123" s="52" t="inlineStr">
        <is>
          <t>COMPRA</t>
        </is>
      </c>
      <c r="I123" s="177" t="n"/>
      <c r="J123" s="178">
        <f>IF(H123="VENDA",I123*F123*-1,0)</f>
        <v/>
      </c>
      <c r="K123" s="178">
        <f>IF(J123=0,0,J123+G123)</f>
        <v/>
      </c>
    </row>
    <row r="124">
      <c r="A124" s="47" t="n"/>
      <c r="B124" s="48" t="n"/>
      <c r="C124" s="49" t="n"/>
      <c r="D124" s="169" t="n"/>
      <c r="E124" s="50">
        <f>IFERROR(VLOOKUP(B124,'Dados B3'!A:G,2,FALSE),"-")</f>
        <v/>
      </c>
      <c r="F124" s="51">
        <f>IF(H124=P$4,(C124*(1)),IF(H124=P$3,(C124*(-1)),IF(H124=P$2,(C124*(1)))))</f>
        <v/>
      </c>
      <c r="G124" s="176">
        <f>F124*D124</f>
        <v/>
      </c>
      <c r="H124" s="52" t="inlineStr">
        <is>
          <t>COMPRA</t>
        </is>
      </c>
      <c r="I124" s="177" t="n"/>
      <c r="J124" s="178">
        <f>IF(H124="VENDA",I124*F124*-1,0)</f>
        <v/>
      </c>
      <c r="K124" s="178">
        <f>IF(J124=0,0,J124+G124)</f>
        <v/>
      </c>
    </row>
    <row r="125">
      <c r="A125" s="47" t="n"/>
      <c r="B125" s="48" t="n"/>
      <c r="C125" s="49" t="n"/>
      <c r="D125" s="169" t="n"/>
      <c r="E125" s="50">
        <f>IFERROR(VLOOKUP(B125,'Dados B3'!A:G,2,FALSE),"-")</f>
        <v/>
      </c>
      <c r="F125" s="51">
        <f>IF(H125=P$4,(C125*(1)),IF(H125=P$3,(C125*(-1)),IF(H125=P$2,(C125*(1)))))</f>
        <v/>
      </c>
      <c r="G125" s="176">
        <f>F125*D125</f>
        <v/>
      </c>
      <c r="H125" s="52" t="inlineStr">
        <is>
          <t>COMPRA</t>
        </is>
      </c>
      <c r="I125" s="177" t="n"/>
      <c r="J125" s="178">
        <f>IF(H125="VENDA",I125*F125*-1,0)</f>
        <v/>
      </c>
      <c r="K125" s="178">
        <f>IF(J125=0,0,J125+G125)</f>
        <v/>
      </c>
    </row>
    <row r="126">
      <c r="A126" s="47" t="n"/>
      <c r="B126" s="48" t="n"/>
      <c r="C126" s="49" t="n"/>
      <c r="D126" s="169" t="n"/>
      <c r="E126" s="50">
        <f>IFERROR(VLOOKUP(B126,'Dados B3'!A:G,2,FALSE),"-")</f>
        <v/>
      </c>
      <c r="F126" s="51">
        <f>IF(H126=P$4,(C126*(1)),IF(H126=P$3,(C126*(-1)),IF(H126=P$2,(C126*(1)))))</f>
        <v/>
      </c>
      <c r="G126" s="176">
        <f>F126*D126</f>
        <v/>
      </c>
      <c r="H126" s="52" t="inlineStr">
        <is>
          <t>COMPRA</t>
        </is>
      </c>
      <c r="I126" s="177" t="n"/>
      <c r="J126" s="178">
        <f>IF(H126="VENDA",I126*F126*-1,0)</f>
        <v/>
      </c>
      <c r="K126" s="178">
        <f>IF(J126=0,0,J126+G126)</f>
        <v/>
      </c>
    </row>
    <row r="127">
      <c r="A127" s="47" t="n"/>
      <c r="B127" s="48" t="n"/>
      <c r="C127" s="49" t="n"/>
      <c r="D127" s="169" t="n"/>
      <c r="E127" s="50">
        <f>IFERROR(VLOOKUP(B127,'Dados B3'!A:G,2,FALSE),"-")</f>
        <v/>
      </c>
      <c r="F127" s="51">
        <f>IF(H127=P$4,(C127*(1)),IF(H127=P$3,(C127*(-1)),IF(H127=P$2,(C127*(1)))))</f>
        <v/>
      </c>
      <c r="G127" s="176">
        <f>F127*D127</f>
        <v/>
      </c>
      <c r="H127" s="52" t="inlineStr">
        <is>
          <t>COMPRA</t>
        </is>
      </c>
      <c r="I127" s="177" t="n"/>
      <c r="J127" s="178">
        <f>IF(H127="VENDA",I127*F127*-1,0)</f>
        <v/>
      </c>
      <c r="K127" s="178">
        <f>IF(J127=0,0,J127+G127)</f>
        <v/>
      </c>
    </row>
    <row r="128">
      <c r="A128" s="47" t="n"/>
      <c r="B128" s="48" t="n"/>
      <c r="C128" s="49" t="n"/>
      <c r="D128" s="169" t="n"/>
      <c r="E128" s="50">
        <f>IFERROR(VLOOKUP(B128,'Dados B3'!A:G,2,FALSE),"-")</f>
        <v/>
      </c>
      <c r="F128" s="51">
        <f>IF(H128=P$4,(C128*(1)),IF(H128=P$3,(C128*(-1)),IF(H128=P$2,(C128*(1)))))</f>
        <v/>
      </c>
      <c r="G128" s="176">
        <f>F128*D128</f>
        <v/>
      </c>
      <c r="H128" s="52" t="inlineStr">
        <is>
          <t>COMPRA</t>
        </is>
      </c>
      <c r="I128" s="177" t="n"/>
      <c r="J128" s="178">
        <f>IF(H128="VENDA",I128*F128*-1,0)</f>
        <v/>
      </c>
      <c r="K128" s="178">
        <f>IF(J128=0,0,J128+G128)</f>
        <v/>
      </c>
    </row>
    <row r="129">
      <c r="A129" s="47" t="n"/>
      <c r="B129" s="48" t="n"/>
      <c r="C129" s="49" t="n"/>
      <c r="D129" s="169" t="n"/>
      <c r="E129" s="50">
        <f>IFERROR(VLOOKUP(B129,'Dados B3'!A:G,2,FALSE),"-")</f>
        <v/>
      </c>
      <c r="F129" s="51">
        <f>IF(H129=P$4,(C129*(1)),IF(H129=P$3,(C129*(-1)),IF(H129=P$2,(C129*(1)))))</f>
        <v/>
      </c>
      <c r="G129" s="176">
        <f>F129*D129</f>
        <v/>
      </c>
      <c r="H129" s="52" t="inlineStr">
        <is>
          <t>COMPRA</t>
        </is>
      </c>
      <c r="I129" s="177" t="n"/>
      <c r="J129" s="178">
        <f>IF(H129="VENDA",I129*F129*-1,0)</f>
        <v/>
      </c>
      <c r="K129" s="178">
        <f>IF(J129=0,0,J129+G129)</f>
        <v/>
      </c>
    </row>
    <row r="130">
      <c r="A130" s="47" t="n"/>
      <c r="B130" s="48" t="n"/>
      <c r="C130" s="49" t="n"/>
      <c r="D130" s="169" t="n"/>
      <c r="E130" s="50">
        <f>IFERROR(VLOOKUP(B130,'Dados B3'!A:G,2,FALSE),"-")</f>
        <v/>
      </c>
      <c r="F130" s="51">
        <f>IF(H130=P$4,(C130*(1)),IF(H130=P$3,(C130*(-1)),IF(H130=P$2,(C130*(1)))))</f>
        <v/>
      </c>
      <c r="G130" s="176">
        <f>F130*D130</f>
        <v/>
      </c>
      <c r="H130" s="52" t="inlineStr">
        <is>
          <t>COMPRA</t>
        </is>
      </c>
      <c r="I130" s="177" t="n"/>
      <c r="J130" s="178">
        <f>IF(H130="VENDA",I130*F130*-1,0)</f>
        <v/>
      </c>
      <c r="K130" s="178">
        <f>IF(J130=0,0,J130+G130)</f>
        <v/>
      </c>
    </row>
    <row r="131">
      <c r="A131" s="47" t="n"/>
      <c r="B131" s="48" t="n"/>
      <c r="C131" s="49" t="n"/>
      <c r="D131" s="169" t="n"/>
      <c r="E131" s="50">
        <f>IFERROR(VLOOKUP(B131,'Dados B3'!A:G,2,FALSE),"-")</f>
        <v/>
      </c>
      <c r="F131" s="51">
        <f>IF(H131=P$4,(C131*(1)),IF(H131=P$3,(C131*(-1)),IF(H131=P$2,(C131*(1)))))</f>
        <v/>
      </c>
      <c r="G131" s="176">
        <f>F131*D131</f>
        <v/>
      </c>
      <c r="H131" s="52" t="inlineStr">
        <is>
          <t>COMPRA</t>
        </is>
      </c>
      <c r="I131" s="177" t="n"/>
      <c r="J131" s="178">
        <f>IF(H131="VENDA",I131*F131*-1,0)</f>
        <v/>
      </c>
      <c r="K131" s="178">
        <f>IF(J131=0,0,J131+G131)</f>
        <v/>
      </c>
    </row>
    <row r="132">
      <c r="A132" s="47" t="n"/>
      <c r="B132" s="48" t="n"/>
      <c r="C132" s="49" t="n"/>
      <c r="D132" s="169" t="n"/>
      <c r="E132" s="50">
        <f>IFERROR(VLOOKUP(B132,'Dados B3'!A:G,2,FALSE),"-")</f>
        <v/>
      </c>
      <c r="F132" s="51">
        <f>IF(H132=P$4,(C132*(1)),IF(H132=P$3,(C132*(-1)),IF(H132=P$2,(C132*(1)))))</f>
        <v/>
      </c>
      <c r="G132" s="176">
        <f>F132*D132</f>
        <v/>
      </c>
      <c r="H132" s="52" t="inlineStr">
        <is>
          <t>COMPRA</t>
        </is>
      </c>
      <c r="I132" s="177" t="n"/>
      <c r="J132" s="178">
        <f>IF(H132="VENDA",I132*F132*-1,0)</f>
        <v/>
      </c>
      <c r="K132" s="178">
        <f>IF(J132=0,0,J132+G132)</f>
        <v/>
      </c>
    </row>
    <row r="133">
      <c r="A133" s="47" t="n"/>
      <c r="B133" s="48" t="n"/>
      <c r="C133" s="49" t="n"/>
      <c r="D133" s="169" t="n"/>
      <c r="E133" s="50">
        <f>IFERROR(VLOOKUP(B133,'Dados B3'!A:G,2,FALSE),"-")</f>
        <v/>
      </c>
      <c r="F133" s="51">
        <f>IF(H133=P$4,(C133*(1)),IF(H133=P$3,(C133*(-1)),IF(H133=P$2,(C133*(1)))))</f>
        <v/>
      </c>
      <c r="G133" s="176">
        <f>F133*D133</f>
        <v/>
      </c>
      <c r="H133" s="52" t="inlineStr">
        <is>
          <t>COMPRA</t>
        </is>
      </c>
      <c r="I133" s="177" t="n"/>
      <c r="J133" s="178">
        <f>IF(H133="VENDA",I133*F133*-1,0)</f>
        <v/>
      </c>
      <c r="K133" s="178">
        <f>IF(J133=0,0,J133+G133)</f>
        <v/>
      </c>
    </row>
    <row r="134">
      <c r="A134" s="47" t="n"/>
      <c r="B134" s="48" t="n"/>
      <c r="C134" s="49" t="n"/>
      <c r="D134" s="169" t="n"/>
      <c r="E134" s="50">
        <f>IFERROR(VLOOKUP(B134,'Dados B3'!A:G,2,FALSE),"-")</f>
        <v/>
      </c>
      <c r="F134" s="51">
        <f>IF(H134=P$4,(C134*(1)),IF(H134=P$3,(C134*(-1)),IF(H134=P$2,(C134*(1)))))</f>
        <v/>
      </c>
      <c r="G134" s="176">
        <f>F134*D134</f>
        <v/>
      </c>
      <c r="H134" s="52" t="inlineStr">
        <is>
          <t>COMPRA</t>
        </is>
      </c>
      <c r="I134" s="177" t="n"/>
      <c r="J134" s="178">
        <f>IF(H134="VENDA",I134*F134*-1,0)</f>
        <v/>
      </c>
      <c r="K134" s="178">
        <f>IF(J134=0,0,J134+G134)</f>
        <v/>
      </c>
    </row>
    <row r="135">
      <c r="A135" s="47" t="n"/>
      <c r="B135" s="48" t="n"/>
      <c r="C135" s="49" t="n"/>
      <c r="D135" s="169" t="n"/>
      <c r="E135" s="50">
        <f>IFERROR(VLOOKUP(B135,'Dados B3'!A:G,2,FALSE),"-")</f>
        <v/>
      </c>
      <c r="F135" s="51">
        <f>IF(H135=P$4,(C135*(1)),IF(H135=P$3,(C135*(-1)),IF(H135=P$2,(C135*(1)))))</f>
        <v/>
      </c>
      <c r="G135" s="176">
        <f>F135*D135</f>
        <v/>
      </c>
      <c r="H135" s="52" t="inlineStr">
        <is>
          <t>COMPRA</t>
        </is>
      </c>
      <c r="I135" s="177" t="n"/>
      <c r="J135" s="178">
        <f>IF(H135="VENDA",I135*F135*-1,0)</f>
        <v/>
      </c>
      <c r="K135" s="178">
        <f>IF(J135=0,0,J135+G135)</f>
        <v/>
      </c>
    </row>
    <row r="136">
      <c r="A136" s="47" t="n"/>
      <c r="B136" s="48" t="n"/>
      <c r="C136" s="49" t="n"/>
      <c r="D136" s="169" t="n"/>
      <c r="E136" s="50">
        <f>IFERROR(VLOOKUP(B136,'Dados B3'!A:G,2,FALSE),"-")</f>
        <v/>
      </c>
      <c r="F136" s="51">
        <f>IF(H136=P$4,(C136*(1)),IF(H136=P$3,(C136*(-1)),IF(H136=P$2,(C136*(1)))))</f>
        <v/>
      </c>
      <c r="G136" s="176">
        <f>F136*D136</f>
        <v/>
      </c>
      <c r="H136" s="52" t="inlineStr">
        <is>
          <t>COMPRA</t>
        </is>
      </c>
      <c r="I136" s="177" t="n"/>
      <c r="J136" s="178">
        <f>IF(H136="VENDA",I136*F136*-1,0)</f>
        <v/>
      </c>
      <c r="K136" s="178">
        <f>IF(J136=0,0,J136+G136)</f>
        <v/>
      </c>
    </row>
    <row r="137">
      <c r="A137" s="47" t="n"/>
      <c r="B137" s="48" t="n"/>
      <c r="C137" s="49" t="n"/>
      <c r="D137" s="169" t="n"/>
      <c r="E137" s="50">
        <f>IFERROR(VLOOKUP(B137,'Dados B3'!A:G,2,FALSE),"-")</f>
        <v/>
      </c>
      <c r="F137" s="51">
        <f>IF(H137=P$4,(C137*(1)),IF(H137=P$3,(C137*(-1)),IF(H137=P$2,(C137*(1)))))</f>
        <v/>
      </c>
      <c r="G137" s="176">
        <f>F137*D137</f>
        <v/>
      </c>
      <c r="H137" s="52" t="inlineStr">
        <is>
          <t>COMPRA</t>
        </is>
      </c>
      <c r="I137" s="177" t="n"/>
      <c r="J137" s="178">
        <f>IF(H137="VENDA",I137*F137*-1,0)</f>
        <v/>
      </c>
      <c r="K137" s="178">
        <f>IF(J137=0,0,J137+G137)</f>
        <v/>
      </c>
    </row>
    <row r="138">
      <c r="A138" s="47" t="n"/>
      <c r="B138" s="48" t="n"/>
      <c r="C138" s="49" t="n"/>
      <c r="D138" s="169" t="n"/>
      <c r="E138" s="50">
        <f>IFERROR(VLOOKUP(B138,'Dados B3'!A:G,2,FALSE),"-")</f>
        <v/>
      </c>
      <c r="F138" s="51">
        <f>IF(H138=P$4,(C138*(1)),IF(H138=P$3,(C138*(-1)),IF(H138=P$2,(C138*(1)))))</f>
        <v/>
      </c>
      <c r="G138" s="176">
        <f>F138*D138</f>
        <v/>
      </c>
      <c r="H138" s="52" t="inlineStr">
        <is>
          <t>COMPRA</t>
        </is>
      </c>
      <c r="I138" s="177" t="n"/>
      <c r="J138" s="178">
        <f>IF(H138="VENDA",I138*F138*-1,0)</f>
        <v/>
      </c>
      <c r="K138" s="178">
        <f>IF(J138=0,0,J138+G138)</f>
        <v/>
      </c>
    </row>
    <row r="139">
      <c r="A139" s="47" t="n"/>
      <c r="B139" s="48" t="n"/>
      <c r="C139" s="49" t="n"/>
      <c r="D139" s="169" t="n"/>
      <c r="E139" s="50">
        <f>IFERROR(VLOOKUP(B139,'Dados B3'!A:G,2,FALSE),"-")</f>
        <v/>
      </c>
      <c r="F139" s="51">
        <f>IF(H139=P$4,(C139*(1)),IF(H139=P$3,(C139*(-1)),IF(H139=P$2,(C139*(1)))))</f>
        <v/>
      </c>
      <c r="G139" s="176">
        <f>F139*D139</f>
        <v/>
      </c>
      <c r="H139" s="52" t="inlineStr">
        <is>
          <t>COMPRA</t>
        </is>
      </c>
      <c r="I139" s="177" t="n"/>
      <c r="J139" s="178">
        <f>IF(H139="VENDA",I139*F139*-1,0)</f>
        <v/>
      </c>
      <c r="K139" s="178">
        <f>IF(J139=0,0,J139+G139)</f>
        <v/>
      </c>
    </row>
    <row r="140">
      <c r="A140" s="47" t="n"/>
      <c r="B140" s="48" t="n"/>
      <c r="C140" s="49" t="n"/>
      <c r="D140" s="169" t="n"/>
      <c r="E140" s="50">
        <f>IFERROR(VLOOKUP(B140,'Dados B3'!A:G,2,FALSE),"-")</f>
        <v/>
      </c>
      <c r="F140" s="51">
        <f>IF(H140=P$4,(C140*(1)),IF(H140=P$3,(C140*(-1)),IF(H140=P$2,(C140*(1)))))</f>
        <v/>
      </c>
      <c r="G140" s="176">
        <f>F140*D140</f>
        <v/>
      </c>
      <c r="H140" s="52" t="inlineStr">
        <is>
          <t>COMPRA</t>
        </is>
      </c>
      <c r="I140" s="177" t="n"/>
      <c r="J140" s="178">
        <f>IF(H140="VENDA",I140*F140*-1,0)</f>
        <v/>
      </c>
      <c r="K140" s="178">
        <f>IF(J140=0,0,J140+G140)</f>
        <v/>
      </c>
    </row>
    <row r="141">
      <c r="A141" s="47" t="n"/>
      <c r="B141" s="48" t="n"/>
      <c r="C141" s="49" t="n"/>
      <c r="D141" s="169" t="n"/>
      <c r="E141" s="50">
        <f>IFERROR(VLOOKUP(B141,'Dados B3'!A:G,2,FALSE),"-")</f>
        <v/>
      </c>
      <c r="F141" s="51">
        <f>IF(H141=P$4,(C141*(1)),IF(H141=P$3,(C141*(-1)),IF(H141=P$2,(C141*(1)))))</f>
        <v/>
      </c>
      <c r="G141" s="176">
        <f>F141*D141</f>
        <v/>
      </c>
      <c r="H141" s="52" t="inlineStr">
        <is>
          <t>COMPRA</t>
        </is>
      </c>
      <c r="I141" s="177" t="n"/>
      <c r="J141" s="178">
        <f>IF(H141="VENDA",I141*F141*-1,0)</f>
        <v/>
      </c>
      <c r="K141" s="178">
        <f>IF(J141=0,0,J141+G141)</f>
        <v/>
      </c>
    </row>
    <row r="142">
      <c r="A142" s="47" t="n"/>
      <c r="B142" s="48" t="n"/>
      <c r="C142" s="49" t="n"/>
      <c r="D142" s="169" t="n"/>
      <c r="E142" s="50">
        <f>IFERROR(VLOOKUP(B142,'Dados B3'!A:G,2,FALSE),"-")</f>
        <v/>
      </c>
      <c r="F142" s="51">
        <f>IF(H142=P$4,(C142*(1)),IF(H142=P$3,(C142*(-1)),IF(H142=P$2,(C142*(1)))))</f>
        <v/>
      </c>
      <c r="G142" s="176">
        <f>F142*D142</f>
        <v/>
      </c>
      <c r="H142" s="52" t="inlineStr">
        <is>
          <t>COMPRA</t>
        </is>
      </c>
      <c r="I142" s="177" t="n"/>
      <c r="J142" s="178">
        <f>IF(H142="VENDA",I142*F142*-1,0)</f>
        <v/>
      </c>
      <c r="K142" s="178">
        <f>IF(J142=0,0,J142+G142)</f>
        <v/>
      </c>
    </row>
    <row r="143">
      <c r="A143" s="47" t="n"/>
      <c r="B143" s="48" t="n"/>
      <c r="C143" s="49" t="n"/>
      <c r="D143" s="169" t="n"/>
      <c r="E143" s="50">
        <f>IFERROR(VLOOKUP(B143,'Dados B3'!A:G,2,FALSE),"-")</f>
        <v/>
      </c>
      <c r="F143" s="51">
        <f>IF(H143=P$4,(C143*(1)),IF(H143=P$3,(C143*(-1)),IF(H143=P$2,(C143*(1)))))</f>
        <v/>
      </c>
      <c r="G143" s="176">
        <f>F143*D143</f>
        <v/>
      </c>
      <c r="H143" s="52" t="inlineStr">
        <is>
          <t>COMPRA</t>
        </is>
      </c>
      <c r="I143" s="177" t="n"/>
      <c r="J143" s="178">
        <f>IF(H143="VENDA",I143*F143*-1,0)</f>
        <v/>
      </c>
      <c r="K143" s="178">
        <f>IF(J143=0,0,J143+G143)</f>
        <v/>
      </c>
    </row>
    <row r="144">
      <c r="A144" s="47" t="n"/>
      <c r="B144" s="48" t="n"/>
      <c r="C144" s="49" t="n"/>
      <c r="D144" s="169" t="n"/>
      <c r="E144" s="50">
        <f>IFERROR(VLOOKUP(B144,'Dados B3'!A:G,2,FALSE),"-")</f>
        <v/>
      </c>
      <c r="F144" s="51">
        <f>IF(H144=P$4,(C144*(1)),IF(H144=P$3,(C144*(-1)),IF(H144=P$2,(C144*(1)))))</f>
        <v/>
      </c>
      <c r="G144" s="176">
        <f>F144*D144</f>
        <v/>
      </c>
      <c r="H144" s="52" t="inlineStr">
        <is>
          <t>COMPRA</t>
        </is>
      </c>
      <c r="I144" s="177" t="n"/>
      <c r="J144" s="178">
        <f>IF(H144="VENDA",I144*F144*-1,0)</f>
        <v/>
      </c>
      <c r="K144" s="178">
        <f>IF(J144=0,0,J144+G144)</f>
        <v/>
      </c>
    </row>
    <row r="145">
      <c r="A145" s="47" t="n"/>
      <c r="B145" s="48" t="n"/>
      <c r="C145" s="49" t="n"/>
      <c r="D145" s="169" t="n"/>
      <c r="E145" s="50">
        <f>IFERROR(VLOOKUP(B145,'Dados B3'!A:G,2,FALSE),"-")</f>
        <v/>
      </c>
      <c r="F145" s="51">
        <f>IF(H145=P$4,(C145*(1)),IF(H145=P$3,(C145*(-1)),IF(H145=P$2,(C145*(1)))))</f>
        <v/>
      </c>
      <c r="G145" s="176">
        <f>F145*D145</f>
        <v/>
      </c>
      <c r="H145" s="52" t="inlineStr">
        <is>
          <t>COMPRA</t>
        </is>
      </c>
      <c r="I145" s="177" t="n"/>
      <c r="J145" s="178">
        <f>IF(H145="VENDA",I145*F145*-1,0)</f>
        <v/>
      </c>
      <c r="K145" s="178">
        <f>IF(J145=0,0,J145+G145)</f>
        <v/>
      </c>
    </row>
    <row r="146">
      <c r="A146" s="47" t="n"/>
      <c r="B146" s="48" t="n"/>
      <c r="C146" s="49" t="n"/>
      <c r="D146" s="169" t="n"/>
      <c r="E146" s="50">
        <f>IFERROR(VLOOKUP(B146,'Dados B3'!A:G,2,FALSE),"-")</f>
        <v/>
      </c>
      <c r="F146" s="51">
        <f>IF(H146=P$4,(C146*(1)),IF(H146=P$3,(C146*(-1)),IF(H146=P$2,(C146*(1)))))</f>
        <v/>
      </c>
      <c r="G146" s="176">
        <f>F146*D146</f>
        <v/>
      </c>
      <c r="H146" s="52" t="inlineStr">
        <is>
          <t>COMPRA</t>
        </is>
      </c>
      <c r="I146" s="177" t="n"/>
      <c r="J146" s="178">
        <f>IF(H146="VENDA",I146*F146*-1,0)</f>
        <v/>
      </c>
      <c r="K146" s="178">
        <f>IF(J146=0,0,J146+G146)</f>
        <v/>
      </c>
    </row>
    <row r="147">
      <c r="A147" s="47" t="n"/>
      <c r="B147" s="48" t="n"/>
      <c r="C147" s="49" t="n"/>
      <c r="D147" s="169" t="n"/>
      <c r="E147" s="50">
        <f>IFERROR(VLOOKUP(B147,'Dados B3'!A:G,2,FALSE),"-")</f>
        <v/>
      </c>
      <c r="F147" s="51">
        <f>IF(H147=P$4,(C147*(1)),IF(H147=P$3,(C147*(-1)),IF(H147=P$2,(C147*(1)))))</f>
        <v/>
      </c>
      <c r="G147" s="176">
        <f>F147*D147</f>
        <v/>
      </c>
      <c r="H147" s="52" t="inlineStr">
        <is>
          <t>COMPRA</t>
        </is>
      </c>
      <c r="I147" s="177" t="n"/>
      <c r="J147" s="178">
        <f>IF(H147="VENDA",I147*F147*-1,0)</f>
        <v/>
      </c>
      <c r="K147" s="178">
        <f>IF(J147=0,0,J147+G147)</f>
        <v/>
      </c>
    </row>
    <row r="148">
      <c r="A148" s="47" t="n"/>
      <c r="B148" s="48" t="n"/>
      <c r="C148" s="49" t="n"/>
      <c r="D148" s="169" t="n"/>
      <c r="E148" s="50">
        <f>IFERROR(VLOOKUP(B148,'Dados B3'!A:G,2,FALSE),"-")</f>
        <v/>
      </c>
      <c r="F148" s="51">
        <f>IF(H148=P$4,(C148*(1)),IF(H148=P$3,(C148*(-1)),IF(H148=P$2,(C148*(1)))))</f>
        <v/>
      </c>
      <c r="G148" s="176">
        <f>F148*D148</f>
        <v/>
      </c>
      <c r="H148" s="52" t="inlineStr">
        <is>
          <t>COMPRA</t>
        </is>
      </c>
      <c r="I148" s="177" t="n"/>
      <c r="J148" s="178">
        <f>IF(H148="VENDA",I148*F148*-1,0)</f>
        <v/>
      </c>
      <c r="K148" s="178">
        <f>IF(J148=0,0,J148+G148)</f>
        <v/>
      </c>
    </row>
    <row r="149">
      <c r="A149" s="47" t="n"/>
      <c r="B149" s="48" t="n"/>
      <c r="C149" s="49" t="n"/>
      <c r="D149" s="169" t="n"/>
      <c r="E149" s="50">
        <f>IFERROR(VLOOKUP(B149,'Dados B3'!A:G,2,FALSE),"-")</f>
        <v/>
      </c>
      <c r="F149" s="51">
        <f>IF(H149=P$4,(C149*(1)),IF(H149=P$3,(C149*(-1)),IF(H149=P$2,(C149*(1)))))</f>
        <v/>
      </c>
      <c r="G149" s="176">
        <f>F149*D149</f>
        <v/>
      </c>
      <c r="H149" s="52" t="inlineStr">
        <is>
          <t>COMPRA</t>
        </is>
      </c>
      <c r="I149" s="177" t="n"/>
      <c r="J149" s="178">
        <f>IF(H149="VENDA",I149*F149*-1,0)</f>
        <v/>
      </c>
      <c r="K149" s="178">
        <f>IF(J149=0,0,J149+G149)</f>
        <v/>
      </c>
    </row>
    <row r="150">
      <c r="A150" s="47" t="n"/>
      <c r="B150" s="48" t="n"/>
      <c r="C150" s="49" t="n"/>
      <c r="D150" s="169" t="n"/>
      <c r="E150" s="50">
        <f>IFERROR(VLOOKUP(B150,'Dados B3'!A:G,2,FALSE),"-")</f>
        <v/>
      </c>
      <c r="F150" s="51">
        <f>IF(H150=P$4,(C150*(1)),IF(H150=P$3,(C150*(-1)),IF(H150=P$2,(C150*(1)))))</f>
        <v/>
      </c>
      <c r="G150" s="176">
        <f>F150*D150</f>
        <v/>
      </c>
      <c r="H150" s="52" t="inlineStr">
        <is>
          <t>COMPRA</t>
        </is>
      </c>
      <c r="I150" s="177" t="n"/>
      <c r="J150" s="178">
        <f>IF(H150="VENDA",I150*F150*-1,0)</f>
        <v/>
      </c>
      <c r="K150" s="178">
        <f>IF(J150=0,0,J150+G150)</f>
        <v/>
      </c>
    </row>
    <row r="151">
      <c r="A151" s="47" t="n"/>
      <c r="B151" s="48" t="n"/>
      <c r="C151" s="49" t="n"/>
      <c r="D151" s="169" t="n"/>
      <c r="E151" s="50">
        <f>IFERROR(VLOOKUP(B151,'Dados B3'!A:G,2,FALSE),"-")</f>
        <v/>
      </c>
      <c r="F151" s="51">
        <f>IF(H151=P$4,(C151*(1)),IF(H151=P$3,(C151*(-1)),IF(H151=P$2,(C151*(1)))))</f>
        <v/>
      </c>
      <c r="G151" s="176">
        <f>F151*D151</f>
        <v/>
      </c>
      <c r="H151" s="52" t="inlineStr">
        <is>
          <t>COMPRA</t>
        </is>
      </c>
      <c r="I151" s="177" t="n"/>
      <c r="J151" s="178">
        <f>IF(H151="VENDA",I151*F151*-1,0)</f>
        <v/>
      </c>
      <c r="K151" s="178">
        <f>IF(J151=0,0,J151+G151)</f>
        <v/>
      </c>
    </row>
    <row r="152">
      <c r="A152" s="47" t="n"/>
      <c r="B152" s="48" t="n"/>
      <c r="C152" s="49" t="n"/>
      <c r="D152" s="169" t="n"/>
      <c r="E152" s="50">
        <f>IFERROR(VLOOKUP(B152,'Dados B3'!A:G,2,FALSE),"-")</f>
        <v/>
      </c>
      <c r="F152" s="51">
        <f>IF(H152=P$4,(C152*(1)),IF(H152=P$3,(C152*(-1)),IF(H152=P$2,(C152*(1)))))</f>
        <v/>
      </c>
      <c r="G152" s="176">
        <f>F152*D152</f>
        <v/>
      </c>
      <c r="H152" s="52" t="inlineStr">
        <is>
          <t>COMPRA</t>
        </is>
      </c>
      <c r="I152" s="177" t="n"/>
      <c r="J152" s="178">
        <f>IF(H152="VENDA",I152*F152*-1,0)</f>
        <v/>
      </c>
      <c r="K152" s="178">
        <f>IF(J152=0,0,J152+G152)</f>
        <v/>
      </c>
    </row>
    <row r="153">
      <c r="A153" s="47" t="n"/>
      <c r="B153" s="48" t="n"/>
      <c r="C153" s="49" t="n"/>
      <c r="D153" s="169" t="n"/>
      <c r="E153" s="50">
        <f>IFERROR(VLOOKUP(B153,'Dados B3'!A:G,2,FALSE),"-")</f>
        <v/>
      </c>
      <c r="F153" s="51">
        <f>IF(H153=P$4,(C153*(1)),IF(H153=P$3,(C153*(-1)),IF(H153=P$2,(C153*(1)))))</f>
        <v/>
      </c>
      <c r="G153" s="176">
        <f>F153*D153</f>
        <v/>
      </c>
      <c r="H153" s="52" t="inlineStr">
        <is>
          <t>COMPRA</t>
        </is>
      </c>
      <c r="I153" s="177" t="n"/>
      <c r="J153" s="178">
        <f>IF(H153="VENDA",I153*F153*-1,0)</f>
        <v/>
      </c>
      <c r="K153" s="178">
        <f>IF(J153=0,0,J153+G153)</f>
        <v/>
      </c>
    </row>
    <row r="154">
      <c r="A154" s="47" t="n"/>
      <c r="B154" s="48" t="n"/>
      <c r="C154" s="49" t="n"/>
      <c r="D154" s="169" t="n"/>
      <c r="E154" s="50">
        <f>IFERROR(VLOOKUP(B154,'Dados B3'!A:G,2,FALSE),"-")</f>
        <v/>
      </c>
      <c r="F154" s="51">
        <f>IF(H154=P$4,(C154*(1)),IF(H154=P$3,(C154*(-1)),IF(H154=P$2,(C154*(1)))))</f>
        <v/>
      </c>
      <c r="G154" s="176">
        <f>F154*D154</f>
        <v/>
      </c>
      <c r="H154" s="52" t="inlineStr">
        <is>
          <t>COMPRA</t>
        </is>
      </c>
      <c r="I154" s="177" t="n"/>
      <c r="J154" s="178">
        <f>IF(H154="VENDA",I154*F154*-1,0)</f>
        <v/>
      </c>
      <c r="K154" s="178">
        <f>IF(J154=0,0,J154+G154)</f>
        <v/>
      </c>
    </row>
    <row r="155">
      <c r="A155" s="47" t="n"/>
      <c r="B155" s="48" t="n"/>
      <c r="C155" s="49" t="n"/>
      <c r="D155" s="169" t="n"/>
      <c r="E155" s="50">
        <f>IFERROR(VLOOKUP(B155,'Dados B3'!A:G,2,FALSE),"-")</f>
        <v/>
      </c>
      <c r="F155" s="51">
        <f>IF(H155=P$4,(C155*(1)),IF(H155=P$3,(C155*(-1)),IF(H155=P$2,(C155*(1)))))</f>
        <v/>
      </c>
      <c r="G155" s="176">
        <f>F155*D155</f>
        <v/>
      </c>
      <c r="H155" s="52" t="inlineStr">
        <is>
          <t>COMPRA</t>
        </is>
      </c>
      <c r="I155" s="177" t="n"/>
      <c r="J155" s="178">
        <f>IF(H155="VENDA",I155*F155*-1,0)</f>
        <v/>
      </c>
      <c r="K155" s="178">
        <f>IF(J155=0,0,J155+G155)</f>
        <v/>
      </c>
    </row>
    <row r="156">
      <c r="A156" s="47" t="n"/>
      <c r="B156" s="48" t="n"/>
      <c r="C156" s="49" t="n"/>
      <c r="D156" s="169" t="n"/>
      <c r="E156" s="50">
        <f>IFERROR(VLOOKUP(B156,'Dados B3'!A:G,2,FALSE),"-")</f>
        <v/>
      </c>
      <c r="F156" s="51">
        <f>IF(H156=P$4,(C156*(1)),IF(H156=P$3,(C156*(-1)),IF(H156=P$2,(C156*(1)))))</f>
        <v/>
      </c>
      <c r="G156" s="176">
        <f>F156*D156</f>
        <v/>
      </c>
      <c r="H156" s="52" t="inlineStr">
        <is>
          <t>COMPRA</t>
        </is>
      </c>
      <c r="I156" s="177" t="n"/>
      <c r="J156" s="178">
        <f>IF(H156="VENDA",I156*F156*-1,0)</f>
        <v/>
      </c>
      <c r="K156" s="178">
        <f>IF(J156=0,0,J156+G156)</f>
        <v/>
      </c>
    </row>
    <row r="157">
      <c r="A157" s="47" t="n"/>
      <c r="B157" s="48" t="n"/>
      <c r="C157" s="49" t="n"/>
      <c r="D157" s="169" t="n"/>
      <c r="E157" s="50">
        <f>IFERROR(VLOOKUP(B157,'Dados B3'!A:G,2,FALSE),"-")</f>
        <v/>
      </c>
      <c r="F157" s="51">
        <f>IF(H157=P$4,(C157*(1)),IF(H157=P$3,(C157*(-1)),IF(H157=P$2,(C157*(1)))))</f>
        <v/>
      </c>
      <c r="G157" s="176">
        <f>F157*D157</f>
        <v/>
      </c>
      <c r="H157" s="52" t="inlineStr">
        <is>
          <t>COMPRA</t>
        </is>
      </c>
      <c r="I157" s="177" t="n"/>
      <c r="J157" s="178">
        <f>IF(H157="VENDA",I157*F157*-1,0)</f>
        <v/>
      </c>
      <c r="K157" s="178">
        <f>IF(J157=0,0,J157+G157)</f>
        <v/>
      </c>
    </row>
    <row r="158">
      <c r="A158" s="47" t="n"/>
      <c r="B158" s="48" t="n"/>
      <c r="C158" s="49" t="n"/>
      <c r="D158" s="169" t="n"/>
      <c r="E158" s="50">
        <f>IFERROR(VLOOKUP(B158,'Dados B3'!A:G,2,FALSE),"-")</f>
        <v/>
      </c>
      <c r="F158" s="51">
        <f>IF(H158=P$4,(C158*(1)),IF(H158=P$3,(C158*(-1)),IF(H158=P$2,(C158*(1)))))</f>
        <v/>
      </c>
      <c r="G158" s="176">
        <f>F158*D158</f>
        <v/>
      </c>
      <c r="H158" s="52" t="inlineStr">
        <is>
          <t>COMPRA</t>
        </is>
      </c>
      <c r="I158" s="177" t="n"/>
      <c r="J158" s="178">
        <f>IF(H158="VENDA",I158*F158*-1,0)</f>
        <v/>
      </c>
      <c r="K158" s="178">
        <f>IF(J158=0,0,J158+G158)</f>
        <v/>
      </c>
    </row>
    <row r="159">
      <c r="A159" s="47" t="n"/>
      <c r="B159" s="48" t="n"/>
      <c r="C159" s="49" t="n"/>
      <c r="D159" s="169" t="n"/>
      <c r="E159" s="50">
        <f>IFERROR(VLOOKUP(B159,'Dados B3'!A:G,2,FALSE),"-")</f>
        <v/>
      </c>
      <c r="F159" s="51">
        <f>IF(H159=P$4,(C159*(1)),IF(H159=P$3,(C159*(-1)),IF(H159=P$2,(C159*(1)))))</f>
        <v/>
      </c>
      <c r="G159" s="176">
        <f>F159*D159</f>
        <v/>
      </c>
      <c r="H159" s="52" t="inlineStr">
        <is>
          <t>COMPRA</t>
        </is>
      </c>
      <c r="I159" s="177" t="n"/>
      <c r="J159" s="178">
        <f>IF(H159="VENDA",I159*F159*-1,0)</f>
        <v/>
      </c>
      <c r="K159" s="178">
        <f>IF(J159=0,0,J159+G159)</f>
        <v/>
      </c>
    </row>
    <row r="160">
      <c r="A160" s="47" t="n"/>
      <c r="B160" s="48" t="n"/>
      <c r="C160" s="49" t="n"/>
      <c r="D160" s="169" t="n"/>
      <c r="E160" s="50">
        <f>IFERROR(VLOOKUP(B160,'Dados B3'!A:G,2,FALSE),"-")</f>
        <v/>
      </c>
      <c r="F160" s="51">
        <f>IF(H160=P$4,(C160*(1)),IF(H160=P$3,(C160*(-1)),IF(H160=P$2,(C160*(1)))))</f>
        <v/>
      </c>
      <c r="G160" s="176">
        <f>F160*D160</f>
        <v/>
      </c>
      <c r="H160" s="52" t="inlineStr">
        <is>
          <t>COMPRA</t>
        </is>
      </c>
      <c r="I160" s="177" t="n"/>
      <c r="J160" s="178">
        <f>IF(H160="VENDA",I160*F160*-1,0)</f>
        <v/>
      </c>
      <c r="K160" s="178">
        <f>IF(J160=0,0,J160+G160)</f>
        <v/>
      </c>
    </row>
    <row r="161">
      <c r="A161" s="47" t="n"/>
      <c r="B161" s="48" t="n"/>
      <c r="C161" s="49" t="n"/>
      <c r="D161" s="169" t="n"/>
      <c r="E161" s="50">
        <f>IFERROR(VLOOKUP(B161,'Dados B3'!A:G,2,FALSE),"-")</f>
        <v/>
      </c>
      <c r="F161" s="51">
        <f>IF(H161=P$4,(C161*(1)),IF(H161=P$3,(C161*(-1)),IF(H161=P$2,(C161*(1)))))</f>
        <v/>
      </c>
      <c r="G161" s="176">
        <f>F161*D161</f>
        <v/>
      </c>
      <c r="H161" s="52" t="inlineStr">
        <is>
          <t>COMPRA</t>
        </is>
      </c>
      <c r="I161" s="177" t="n"/>
      <c r="J161" s="178">
        <f>IF(H161="VENDA",I161*F161*-1,0)</f>
        <v/>
      </c>
      <c r="K161" s="178">
        <f>IF(J161=0,0,J161+G161)</f>
        <v/>
      </c>
    </row>
    <row r="162">
      <c r="A162" s="47" t="n"/>
      <c r="B162" s="48" t="n"/>
      <c r="C162" s="49" t="n"/>
      <c r="D162" s="169" t="n"/>
      <c r="E162" s="50">
        <f>IFERROR(VLOOKUP(B162,'Dados B3'!A:G,2,FALSE),"-")</f>
        <v/>
      </c>
      <c r="F162" s="51">
        <f>IF(H162=P$4,(C162*(1)),IF(H162=P$3,(C162*(-1)),IF(H162=P$2,(C162*(1)))))</f>
        <v/>
      </c>
      <c r="G162" s="176">
        <f>F162*D162</f>
        <v/>
      </c>
      <c r="H162" s="52" t="inlineStr">
        <is>
          <t>COMPRA</t>
        </is>
      </c>
      <c r="I162" s="177" t="n"/>
      <c r="J162" s="178">
        <f>IF(H162="VENDA",I162*F162*-1,0)</f>
        <v/>
      </c>
      <c r="K162" s="178">
        <f>IF(J162=0,0,J162+G162)</f>
        <v/>
      </c>
    </row>
    <row r="163">
      <c r="A163" s="47" t="n"/>
      <c r="B163" s="48" t="n"/>
      <c r="C163" s="49" t="n"/>
      <c r="D163" s="169" t="n"/>
      <c r="E163" s="50">
        <f>IFERROR(VLOOKUP(B163,'Dados B3'!A:G,2,FALSE),"-")</f>
        <v/>
      </c>
      <c r="F163" s="51">
        <f>IF(H163=P$4,(C163*(1)),IF(H163=P$3,(C163*(-1)),IF(H163=P$2,(C163*(1)))))</f>
        <v/>
      </c>
      <c r="G163" s="176">
        <f>F163*D163</f>
        <v/>
      </c>
      <c r="H163" s="52" t="inlineStr">
        <is>
          <t>COMPRA</t>
        </is>
      </c>
      <c r="I163" s="177" t="n"/>
      <c r="J163" s="178">
        <f>IF(H163="VENDA",I163*F163*-1,0)</f>
        <v/>
      </c>
      <c r="K163" s="178">
        <f>IF(J163=0,0,J163+G163)</f>
        <v/>
      </c>
    </row>
    <row r="164">
      <c r="A164" s="47" t="n"/>
      <c r="B164" s="48" t="n"/>
      <c r="C164" s="49" t="n"/>
      <c r="D164" s="169" t="n"/>
      <c r="E164" s="50">
        <f>IFERROR(VLOOKUP(B164,'Dados B3'!A:G,2,FALSE),"-")</f>
        <v/>
      </c>
      <c r="F164" s="51">
        <f>IF(H164=P$4,(C164*(1)),IF(H164=P$3,(C164*(-1)),IF(H164=P$2,(C164*(1)))))</f>
        <v/>
      </c>
      <c r="G164" s="176">
        <f>F164*D164</f>
        <v/>
      </c>
      <c r="H164" s="52" t="inlineStr">
        <is>
          <t>COMPRA</t>
        </is>
      </c>
      <c r="I164" s="177" t="n"/>
      <c r="J164" s="178">
        <f>IF(H164="VENDA",I164*F164*-1,0)</f>
        <v/>
      </c>
      <c r="K164" s="178">
        <f>IF(J164=0,0,J164+G164)</f>
        <v/>
      </c>
    </row>
    <row r="165">
      <c r="A165" s="47" t="n"/>
      <c r="B165" s="48" t="n"/>
      <c r="C165" s="49" t="n"/>
      <c r="D165" s="169" t="n"/>
      <c r="E165" s="50">
        <f>IFERROR(VLOOKUP(B165,'Dados B3'!A:G,2,FALSE),"-")</f>
        <v/>
      </c>
      <c r="F165" s="51">
        <f>IF(H165=P$4,(C165*(1)),IF(H165=P$3,(C165*(-1)),IF(H165=P$2,(C165*(1)))))</f>
        <v/>
      </c>
      <c r="G165" s="176">
        <f>F165*D165</f>
        <v/>
      </c>
      <c r="H165" s="52" t="inlineStr">
        <is>
          <t>COMPRA</t>
        </is>
      </c>
      <c r="I165" s="177" t="n"/>
      <c r="J165" s="178">
        <f>IF(H165="VENDA",I165*F165*-1,0)</f>
        <v/>
      </c>
      <c r="K165" s="178">
        <f>IF(J165=0,0,J165+G165)</f>
        <v/>
      </c>
    </row>
    <row r="166">
      <c r="A166" s="47" t="n"/>
      <c r="B166" s="48" t="n"/>
      <c r="C166" s="49" t="n"/>
      <c r="D166" s="169" t="n"/>
      <c r="E166" s="50">
        <f>IFERROR(VLOOKUP(B166,'Dados B3'!A:G,2,FALSE),"-")</f>
        <v/>
      </c>
      <c r="F166" s="51">
        <f>IF(H166=P$4,(C166*(1)),IF(H166=P$3,(C166*(-1)),IF(H166=P$2,(C166*(1)))))</f>
        <v/>
      </c>
      <c r="G166" s="176">
        <f>F166*D166</f>
        <v/>
      </c>
      <c r="H166" s="52" t="inlineStr">
        <is>
          <t>COMPRA</t>
        </is>
      </c>
      <c r="I166" s="177" t="n"/>
      <c r="J166" s="178">
        <f>IF(H166="VENDA",I166*F166*-1,0)</f>
        <v/>
      </c>
      <c r="K166" s="178">
        <f>IF(J166=0,0,J166+G166)</f>
        <v/>
      </c>
    </row>
    <row r="167">
      <c r="A167" s="47" t="n"/>
      <c r="B167" s="48" t="n"/>
      <c r="C167" s="49" t="n"/>
      <c r="D167" s="169" t="n"/>
      <c r="E167" s="50">
        <f>IFERROR(VLOOKUP(B167,'Dados B3'!A:G,2,FALSE),"-")</f>
        <v/>
      </c>
      <c r="F167" s="51">
        <f>IF(H167=P$4,(C167*(1)),IF(H167=P$3,(C167*(-1)),IF(H167=P$2,(C167*(1)))))</f>
        <v/>
      </c>
      <c r="G167" s="176">
        <f>F167*D167</f>
        <v/>
      </c>
      <c r="H167" s="52" t="inlineStr">
        <is>
          <t>COMPRA</t>
        </is>
      </c>
      <c r="I167" s="177" t="n"/>
      <c r="J167" s="178">
        <f>IF(H167="VENDA",I167*F167*-1,0)</f>
        <v/>
      </c>
      <c r="K167" s="178">
        <f>IF(J167=0,0,J167+G167)</f>
        <v/>
      </c>
    </row>
    <row r="168">
      <c r="A168" s="47" t="n"/>
      <c r="B168" s="48" t="n"/>
      <c r="C168" s="49" t="n"/>
      <c r="D168" s="169" t="n"/>
      <c r="E168" s="50">
        <f>IFERROR(VLOOKUP(B168,'Dados B3'!A:G,2,FALSE),"-")</f>
        <v/>
      </c>
      <c r="F168" s="51">
        <f>IF(H168=P$4,(C168*(1)),IF(H168=P$3,(C168*(-1)),IF(H168=P$2,(C168*(1)))))</f>
        <v/>
      </c>
      <c r="G168" s="176">
        <f>F168*D168</f>
        <v/>
      </c>
      <c r="H168" s="52" t="inlineStr">
        <is>
          <t>COMPRA</t>
        </is>
      </c>
      <c r="I168" s="177" t="n"/>
      <c r="J168" s="178">
        <f>IF(H168="VENDA",I168*F168*-1,0)</f>
        <v/>
      </c>
      <c r="K168" s="178">
        <f>IF(J168=0,0,J168+G168)</f>
        <v/>
      </c>
    </row>
    <row r="169">
      <c r="A169" s="47" t="n"/>
      <c r="B169" s="48" t="n"/>
      <c r="C169" s="49" t="n"/>
      <c r="D169" s="169" t="n"/>
      <c r="E169" s="50">
        <f>IFERROR(VLOOKUP(B169,'Dados B3'!A:G,2,FALSE),"-")</f>
        <v/>
      </c>
      <c r="F169" s="51">
        <f>IF(H169=P$4,(C169*(1)),IF(H169=P$3,(C169*(-1)),IF(H169=P$2,(C169*(1)))))</f>
        <v/>
      </c>
      <c r="G169" s="176">
        <f>F169*D169</f>
        <v/>
      </c>
      <c r="H169" s="52" t="inlineStr">
        <is>
          <t>COMPRA</t>
        </is>
      </c>
      <c r="I169" s="177" t="n"/>
      <c r="J169" s="178">
        <f>IF(H169="VENDA",I169*F169*-1,0)</f>
        <v/>
      </c>
      <c r="K169" s="178">
        <f>IF(J169=0,0,J169+G169)</f>
        <v/>
      </c>
    </row>
    <row r="170">
      <c r="A170" s="47" t="n"/>
      <c r="B170" s="48" t="n"/>
      <c r="C170" s="49" t="n"/>
      <c r="D170" s="169" t="n"/>
      <c r="E170" s="50">
        <f>IFERROR(VLOOKUP(B170,'Dados B3'!A:G,2,FALSE),"-")</f>
        <v/>
      </c>
      <c r="F170" s="51">
        <f>IF(H170=P$4,(C170*(1)),IF(H170=P$3,(C170*(-1)),IF(H170=P$2,(C170*(1)))))</f>
        <v/>
      </c>
      <c r="G170" s="176">
        <f>F170*D170</f>
        <v/>
      </c>
      <c r="H170" s="52" t="inlineStr">
        <is>
          <t>COMPRA</t>
        </is>
      </c>
      <c r="I170" s="177" t="n"/>
      <c r="J170" s="178">
        <f>IF(H170="VENDA",I170*F170*-1,0)</f>
        <v/>
      </c>
      <c r="K170" s="178">
        <f>IF(J170=0,0,J170+G170)</f>
        <v/>
      </c>
    </row>
    <row r="171">
      <c r="A171" s="47" t="n"/>
      <c r="B171" s="48" t="n"/>
      <c r="C171" s="49" t="n"/>
      <c r="D171" s="169" t="n"/>
      <c r="E171" s="50">
        <f>IFERROR(VLOOKUP(B171,'Dados B3'!A:G,2,FALSE),"-")</f>
        <v/>
      </c>
      <c r="F171" s="51">
        <f>IF(H171=P$4,(C171*(1)),IF(H171=P$3,(C171*(-1)),IF(H171=P$2,(C171*(1)))))</f>
        <v/>
      </c>
      <c r="G171" s="176">
        <f>F171*D171</f>
        <v/>
      </c>
      <c r="H171" s="52" t="inlineStr">
        <is>
          <t>COMPRA</t>
        </is>
      </c>
      <c r="I171" s="177" t="n"/>
      <c r="J171" s="178">
        <f>IF(H171="VENDA",I171*F171*-1,0)</f>
        <v/>
      </c>
      <c r="K171" s="178">
        <f>IF(J171=0,0,J171+G171)</f>
        <v/>
      </c>
    </row>
    <row r="172">
      <c r="A172" s="47" t="n"/>
      <c r="B172" s="48" t="n"/>
      <c r="C172" s="49" t="n"/>
      <c r="D172" s="169" t="n"/>
      <c r="E172" s="50">
        <f>IFERROR(VLOOKUP(B172,'Dados B3'!A:G,2,FALSE),"-")</f>
        <v/>
      </c>
      <c r="F172" s="51">
        <f>IF(H172=P$4,(C172*(1)),IF(H172=P$3,(C172*(-1)),IF(H172=P$2,(C172*(1)))))</f>
        <v/>
      </c>
      <c r="G172" s="176">
        <f>F172*D172</f>
        <v/>
      </c>
      <c r="H172" s="52" t="inlineStr">
        <is>
          <t>COMPRA</t>
        </is>
      </c>
      <c r="I172" s="177" t="n"/>
      <c r="J172" s="178">
        <f>IF(H172="VENDA",I172*F172*-1,0)</f>
        <v/>
      </c>
      <c r="K172" s="178">
        <f>IF(J172=0,0,J172+G172)</f>
        <v/>
      </c>
    </row>
    <row r="173">
      <c r="A173" s="47" t="n"/>
      <c r="B173" s="48" t="n"/>
      <c r="C173" s="49" t="n"/>
      <c r="D173" s="169" t="n"/>
      <c r="E173" s="50">
        <f>IFERROR(VLOOKUP(B173,'Dados B3'!A:G,2,FALSE),"-")</f>
        <v/>
      </c>
      <c r="F173" s="51">
        <f>IF(H173=P$4,(C173*(1)),IF(H173=P$3,(C173*(-1)),IF(H173=P$2,(C173*(1)))))</f>
        <v/>
      </c>
      <c r="G173" s="176">
        <f>F173*D173</f>
        <v/>
      </c>
      <c r="H173" s="52" t="inlineStr">
        <is>
          <t>COMPRA</t>
        </is>
      </c>
      <c r="I173" s="177" t="n"/>
      <c r="J173" s="178">
        <f>IF(H173="VENDA",I173*F173*-1,0)</f>
        <v/>
      </c>
      <c r="K173" s="178">
        <f>IF(J173=0,0,J173+G173)</f>
        <v/>
      </c>
    </row>
    <row r="174">
      <c r="A174" s="47" t="n"/>
      <c r="B174" s="48" t="n"/>
      <c r="C174" s="49" t="n"/>
      <c r="D174" s="169" t="n"/>
      <c r="E174" s="50">
        <f>IFERROR(VLOOKUP(B174,'Dados B3'!A:G,2,FALSE),"-")</f>
        <v/>
      </c>
      <c r="F174" s="51">
        <f>IF(H174=P$4,(C174*(1)),IF(H174=P$3,(C174*(-1)),IF(H174=P$2,(C174*(1)))))</f>
        <v/>
      </c>
      <c r="G174" s="176">
        <f>F174*D174</f>
        <v/>
      </c>
      <c r="H174" s="52" t="inlineStr">
        <is>
          <t>COMPRA</t>
        </is>
      </c>
      <c r="I174" s="177" t="n"/>
      <c r="J174" s="178">
        <f>IF(H174="VENDA",I174*F174*-1,0)</f>
        <v/>
      </c>
      <c r="K174" s="178">
        <f>IF(J174=0,0,J174+G174)</f>
        <v/>
      </c>
    </row>
    <row r="175">
      <c r="A175" s="47" t="n"/>
      <c r="B175" s="48" t="n"/>
      <c r="C175" s="49" t="n"/>
      <c r="D175" s="169" t="n"/>
      <c r="E175" s="50">
        <f>IFERROR(VLOOKUP(B175,'Dados B3'!A:G,2,FALSE),"-")</f>
        <v/>
      </c>
      <c r="F175" s="51">
        <f>IF(H175=P$4,(C175*(1)),IF(H175=P$3,(C175*(-1)),IF(H175=P$2,(C175*(1)))))</f>
        <v/>
      </c>
      <c r="G175" s="176">
        <f>F175*D175</f>
        <v/>
      </c>
      <c r="H175" s="52" t="inlineStr">
        <is>
          <t>COMPRA</t>
        </is>
      </c>
      <c r="I175" s="177" t="n"/>
      <c r="J175" s="178">
        <f>IF(H175="VENDA",I175*F175*-1,0)</f>
        <v/>
      </c>
      <c r="K175" s="178">
        <f>IF(J175=0,0,J175+G175)</f>
        <v/>
      </c>
    </row>
    <row r="176">
      <c r="A176" s="47" t="n"/>
      <c r="B176" s="48" t="n"/>
      <c r="C176" s="49" t="n"/>
      <c r="D176" s="169" t="n"/>
      <c r="E176" s="50">
        <f>IFERROR(VLOOKUP(B176,'Dados B3'!A:G,2,FALSE),"-")</f>
        <v/>
      </c>
      <c r="F176" s="51">
        <f>IF(H176=P$4,(C176*(1)),IF(H176=P$3,(C176*(-1)),IF(H176=P$2,(C176*(1)))))</f>
        <v/>
      </c>
      <c r="G176" s="176">
        <f>F176*D176</f>
        <v/>
      </c>
      <c r="H176" s="52" t="inlineStr">
        <is>
          <t>COMPRA</t>
        </is>
      </c>
      <c r="I176" s="177" t="n"/>
      <c r="J176" s="178">
        <f>IF(H176="VENDA",I176*F176*-1,0)</f>
        <v/>
      </c>
      <c r="K176" s="178">
        <f>IF(J176=0,0,J176+G176)</f>
        <v/>
      </c>
    </row>
    <row r="177">
      <c r="A177" s="47" t="n"/>
      <c r="B177" s="48" t="n"/>
      <c r="C177" s="49" t="n"/>
      <c r="D177" s="169" t="n"/>
      <c r="E177" s="50">
        <f>IFERROR(VLOOKUP(B177,'Dados B3'!A:G,2,FALSE),"-")</f>
        <v/>
      </c>
      <c r="F177" s="51">
        <f>IF(H177=P$4,(C177*(1)),IF(H177=P$3,(C177*(-1)),IF(H177=P$2,(C177*(1)))))</f>
        <v/>
      </c>
      <c r="G177" s="176">
        <f>F177*D177</f>
        <v/>
      </c>
      <c r="H177" s="52" t="inlineStr">
        <is>
          <t>COMPRA</t>
        </is>
      </c>
      <c r="I177" s="177" t="n"/>
      <c r="J177" s="178">
        <f>IF(H177="VENDA",I177*F177*-1,0)</f>
        <v/>
      </c>
      <c r="K177" s="178">
        <f>IF(J177=0,0,J177+G177)</f>
        <v/>
      </c>
    </row>
    <row r="178">
      <c r="A178" s="47" t="n"/>
      <c r="B178" s="48" t="n"/>
      <c r="C178" s="49" t="n"/>
      <c r="D178" s="169" t="n"/>
      <c r="E178" s="50">
        <f>IFERROR(VLOOKUP(B178,'Dados B3'!A:G,2,FALSE),"-")</f>
        <v/>
      </c>
      <c r="F178" s="51">
        <f>IF(H178=P$4,(C178*(1)),IF(H178=P$3,(C178*(-1)),IF(H178=P$2,(C178*(1)))))</f>
        <v/>
      </c>
      <c r="G178" s="176">
        <f>F178*D178</f>
        <v/>
      </c>
      <c r="H178" s="52" t="inlineStr">
        <is>
          <t>COMPRA</t>
        </is>
      </c>
      <c r="I178" s="177" t="n"/>
      <c r="J178" s="178">
        <f>IF(H178="VENDA",I178*F178*-1,0)</f>
        <v/>
      </c>
      <c r="K178" s="178">
        <f>IF(J178=0,0,J178+G178)</f>
        <v/>
      </c>
    </row>
    <row r="179">
      <c r="A179" s="47" t="n"/>
      <c r="B179" s="48" t="n"/>
      <c r="C179" s="49" t="n"/>
      <c r="D179" s="169" t="n"/>
      <c r="E179" s="50">
        <f>IFERROR(VLOOKUP(B179,'Dados B3'!A:G,2,FALSE),"-")</f>
        <v/>
      </c>
      <c r="F179" s="51">
        <f>IF(H179=P$4,(C179*(1)),IF(H179=P$3,(C179*(-1)),IF(H179=P$2,(C179*(1)))))</f>
        <v/>
      </c>
      <c r="G179" s="176">
        <f>F179*D179</f>
        <v/>
      </c>
      <c r="H179" s="52" t="inlineStr">
        <is>
          <t>COMPRA</t>
        </is>
      </c>
      <c r="I179" s="177" t="n"/>
      <c r="J179" s="178">
        <f>IF(H179="VENDA",I179*F179*-1,0)</f>
        <v/>
      </c>
      <c r="K179" s="178">
        <f>IF(J179=0,0,J179+G179)</f>
        <v/>
      </c>
    </row>
    <row r="180">
      <c r="A180" s="47" t="n"/>
      <c r="B180" s="48" t="n"/>
      <c r="C180" s="49" t="n"/>
      <c r="D180" s="169" t="n"/>
      <c r="E180" s="50">
        <f>IFERROR(VLOOKUP(B180,'Dados B3'!A:G,2,FALSE),"-")</f>
        <v/>
      </c>
      <c r="F180" s="51">
        <f>IF(H180=P$4,(C180*(1)),IF(H180=P$3,(C180*(-1)),IF(H180=P$2,(C180*(1)))))</f>
        <v/>
      </c>
      <c r="G180" s="176">
        <f>F180*D180</f>
        <v/>
      </c>
      <c r="H180" s="52" t="inlineStr">
        <is>
          <t>COMPRA</t>
        </is>
      </c>
      <c r="I180" s="177" t="n"/>
      <c r="J180" s="178">
        <f>IF(H180="VENDA",I180*F180*-1,0)</f>
        <v/>
      </c>
      <c r="K180" s="178">
        <f>IF(J180=0,0,J180+G180)</f>
        <v/>
      </c>
    </row>
    <row r="181">
      <c r="A181" s="47" t="n"/>
      <c r="B181" s="48" t="n"/>
      <c r="C181" s="49" t="n"/>
      <c r="D181" s="169" t="n"/>
      <c r="E181" s="50">
        <f>IFERROR(VLOOKUP(B181,'Dados B3'!A:G,2,FALSE),"-")</f>
        <v/>
      </c>
      <c r="F181" s="51">
        <f>IF(H181=P$4,(C181*(1)),IF(H181=P$3,(C181*(-1)),IF(H181=P$2,(C181*(1)))))</f>
        <v/>
      </c>
      <c r="G181" s="176">
        <f>F181*D181</f>
        <v/>
      </c>
      <c r="H181" s="52" t="inlineStr">
        <is>
          <t>COMPRA</t>
        </is>
      </c>
      <c r="I181" s="177" t="n"/>
      <c r="J181" s="178">
        <f>IF(H181="VENDA",I181*F181*-1,0)</f>
        <v/>
      </c>
      <c r="K181" s="178">
        <f>IF(J181=0,0,J181+G181)</f>
        <v/>
      </c>
    </row>
    <row r="182">
      <c r="A182" s="47" t="n"/>
      <c r="B182" s="48" t="n"/>
      <c r="C182" s="49" t="n"/>
      <c r="D182" s="169" t="n"/>
      <c r="E182" s="50">
        <f>IFERROR(VLOOKUP(B182,'Dados B3'!A:G,2,FALSE),"-")</f>
        <v/>
      </c>
      <c r="F182" s="51">
        <f>IF(H182=P$4,(C182*(1)),IF(H182=P$3,(C182*(-1)),IF(H182=P$2,(C182*(1)))))</f>
        <v/>
      </c>
      <c r="G182" s="176">
        <f>F182*D182</f>
        <v/>
      </c>
      <c r="H182" s="52" t="inlineStr">
        <is>
          <t>COMPRA</t>
        </is>
      </c>
      <c r="I182" s="177" t="n"/>
      <c r="J182" s="178">
        <f>IF(H182="VENDA",I182*F182*-1,0)</f>
        <v/>
      </c>
      <c r="K182" s="178">
        <f>IF(J182=0,0,J182+G182)</f>
        <v/>
      </c>
    </row>
    <row r="183">
      <c r="A183" s="47" t="n"/>
      <c r="B183" s="48" t="n"/>
      <c r="C183" s="49" t="n"/>
      <c r="D183" s="169" t="n"/>
      <c r="E183" s="50">
        <f>IFERROR(VLOOKUP(B183,'Dados B3'!A:G,2,FALSE),"-")</f>
        <v/>
      </c>
      <c r="F183" s="51">
        <f>IF(H183=P$4,(C183*(1)),IF(H183=P$3,(C183*(-1)),IF(H183=P$2,(C183*(1)))))</f>
        <v/>
      </c>
      <c r="G183" s="176">
        <f>F183*D183</f>
        <v/>
      </c>
      <c r="H183" s="52" t="inlineStr">
        <is>
          <t>COMPRA</t>
        </is>
      </c>
      <c r="I183" s="177" t="n"/>
      <c r="J183" s="178">
        <f>IF(H183="VENDA",I183*F183*-1,0)</f>
        <v/>
      </c>
      <c r="K183" s="178">
        <f>IF(J183=0,0,J183+G183)</f>
        <v/>
      </c>
    </row>
    <row r="184">
      <c r="A184" s="47" t="n"/>
      <c r="B184" s="48" t="n"/>
      <c r="C184" s="49" t="n"/>
      <c r="D184" s="169" t="n"/>
      <c r="E184" s="50">
        <f>IFERROR(VLOOKUP(B184,'Dados B3'!A:G,2,FALSE),"-")</f>
        <v/>
      </c>
      <c r="F184" s="51">
        <f>IF(H184=P$4,(C184*(1)),IF(H184=P$3,(C184*(-1)),IF(H184=P$2,(C184*(1)))))</f>
        <v/>
      </c>
      <c r="G184" s="176">
        <f>F184*D184</f>
        <v/>
      </c>
      <c r="H184" s="52" t="inlineStr">
        <is>
          <t>COMPRA</t>
        </is>
      </c>
      <c r="I184" s="177" t="n"/>
      <c r="J184" s="178">
        <f>IF(H184="VENDA",I184*F184*-1,0)</f>
        <v/>
      </c>
      <c r="K184" s="178">
        <f>IF(J184=0,0,J184+G184)</f>
        <v/>
      </c>
    </row>
    <row r="185">
      <c r="A185" s="47" t="n"/>
      <c r="B185" s="48" t="n"/>
      <c r="C185" s="49" t="n"/>
      <c r="D185" s="169" t="n"/>
      <c r="E185" s="50">
        <f>IFERROR(VLOOKUP(B185,'Dados B3'!A:G,2,FALSE),"-")</f>
        <v/>
      </c>
      <c r="F185" s="51">
        <f>IF(H185=P$4,(C185*(1)),IF(H185=P$3,(C185*(-1)),IF(H185=P$2,(C185*(1)))))</f>
        <v/>
      </c>
      <c r="G185" s="176">
        <f>F185*D185</f>
        <v/>
      </c>
      <c r="H185" s="52" t="inlineStr">
        <is>
          <t>COMPRA</t>
        </is>
      </c>
      <c r="I185" s="177" t="n"/>
      <c r="J185" s="178">
        <f>IF(H185="VENDA",I185*F185*-1,0)</f>
        <v/>
      </c>
      <c r="K185" s="178">
        <f>IF(J185=0,0,J185+G185)</f>
        <v/>
      </c>
    </row>
    <row r="186">
      <c r="A186" s="47" t="n"/>
      <c r="B186" s="48" t="n"/>
      <c r="C186" s="49" t="n"/>
      <c r="D186" s="169" t="n"/>
      <c r="E186" s="50">
        <f>IFERROR(VLOOKUP(B186,'Dados B3'!A:G,2,FALSE),"-")</f>
        <v/>
      </c>
      <c r="F186" s="51">
        <f>IF(H186=P$4,(C186*(1)),IF(H186=P$3,(C186*(-1)),IF(H186=P$2,(C186*(1)))))</f>
        <v/>
      </c>
      <c r="G186" s="176">
        <f>F186*D186</f>
        <v/>
      </c>
      <c r="H186" s="52" t="inlineStr">
        <is>
          <t>COMPRA</t>
        </is>
      </c>
      <c r="I186" s="177" t="n"/>
      <c r="J186" s="178">
        <f>IF(H186="VENDA",I186*F186*-1,0)</f>
        <v/>
      </c>
      <c r="K186" s="178">
        <f>IF(J186=0,0,J186+G186)</f>
        <v/>
      </c>
    </row>
    <row r="187">
      <c r="A187" s="47" t="n"/>
      <c r="B187" s="48" t="n"/>
      <c r="C187" s="49" t="n"/>
      <c r="D187" s="169" t="n"/>
      <c r="E187" s="50">
        <f>IFERROR(VLOOKUP(B187,'Dados B3'!A:G,2,FALSE),"-")</f>
        <v/>
      </c>
      <c r="F187" s="51">
        <f>IF(H187=P$4,(C187*(1)),IF(H187=P$3,(C187*(-1)),IF(H187=P$2,(C187*(1)))))</f>
        <v/>
      </c>
      <c r="G187" s="176">
        <f>F187*D187</f>
        <v/>
      </c>
      <c r="H187" s="52" t="inlineStr">
        <is>
          <t>COMPRA</t>
        </is>
      </c>
      <c r="I187" s="177" t="n"/>
      <c r="J187" s="178">
        <f>IF(H187="VENDA",I187*F187*-1,0)</f>
        <v/>
      </c>
      <c r="K187" s="178">
        <f>IF(J187=0,0,J187+G187)</f>
        <v/>
      </c>
    </row>
    <row r="188">
      <c r="A188" s="47" t="n"/>
      <c r="B188" s="48" t="n"/>
      <c r="C188" s="49" t="n"/>
      <c r="D188" s="169" t="n"/>
      <c r="E188" s="50">
        <f>IFERROR(VLOOKUP(B188,'Dados B3'!A:G,2,FALSE),"-")</f>
        <v/>
      </c>
      <c r="F188" s="51">
        <f>IF(H188=P$4,(C188*(1)),IF(H188=P$3,(C188*(-1)),IF(H188=P$2,(C188*(1)))))</f>
        <v/>
      </c>
      <c r="G188" s="176">
        <f>F188*D188</f>
        <v/>
      </c>
      <c r="H188" s="52" t="inlineStr">
        <is>
          <t>COMPRA</t>
        </is>
      </c>
      <c r="I188" s="177" t="n"/>
      <c r="J188" s="178">
        <f>IF(H188="VENDA",I188*F188*-1,0)</f>
        <v/>
      </c>
      <c r="K188" s="178">
        <f>IF(J188=0,0,J188+G188)</f>
        <v/>
      </c>
    </row>
    <row r="189">
      <c r="A189" s="47" t="n"/>
      <c r="B189" s="48" t="n"/>
      <c r="C189" s="49" t="n"/>
      <c r="D189" s="169" t="n"/>
      <c r="E189" s="50">
        <f>IFERROR(VLOOKUP(B189,'Dados B3'!A:G,2,FALSE),"-")</f>
        <v/>
      </c>
      <c r="F189" s="51">
        <f>IF(H189=P$4,(C189*(1)),IF(H189=P$3,(C189*(-1)),IF(H189=P$2,(C189*(1)))))</f>
        <v/>
      </c>
      <c r="G189" s="176">
        <f>F189*D189</f>
        <v/>
      </c>
      <c r="H189" s="52" t="inlineStr">
        <is>
          <t>COMPRA</t>
        </is>
      </c>
      <c r="I189" s="177" t="n"/>
      <c r="J189" s="178">
        <f>IF(H189="VENDA",I189*F189*-1,0)</f>
        <v/>
      </c>
      <c r="K189" s="178">
        <f>IF(J189=0,0,J189+G189)</f>
        <v/>
      </c>
    </row>
    <row r="190">
      <c r="A190" s="47" t="n"/>
      <c r="B190" s="48" t="n"/>
      <c r="C190" s="49" t="n"/>
      <c r="D190" s="169" t="n"/>
      <c r="E190" s="50">
        <f>IFERROR(VLOOKUP(B190,'Dados B3'!A:G,2,FALSE),"-")</f>
        <v/>
      </c>
      <c r="F190" s="51">
        <f>IF(H190=P$4,(C190*(1)),IF(H190=P$3,(C190*(-1)),IF(H190=P$2,(C190*(1)))))</f>
        <v/>
      </c>
      <c r="G190" s="176">
        <f>F190*D190</f>
        <v/>
      </c>
      <c r="H190" s="52" t="inlineStr">
        <is>
          <t>COMPRA</t>
        </is>
      </c>
      <c r="I190" s="177" t="n"/>
      <c r="J190" s="178">
        <f>IF(H190="VENDA",I190*F190*-1,0)</f>
        <v/>
      </c>
      <c r="K190" s="178">
        <f>IF(J190=0,0,J190+G190)</f>
        <v/>
      </c>
    </row>
    <row r="191">
      <c r="A191" s="47" t="n"/>
      <c r="B191" s="48" t="n"/>
      <c r="C191" s="49" t="n"/>
      <c r="D191" s="169" t="n"/>
      <c r="E191" s="50">
        <f>IFERROR(VLOOKUP(B191,'Dados B3'!A:G,2,FALSE),"-")</f>
        <v/>
      </c>
      <c r="F191" s="51">
        <f>IF(H191=P$4,(C191*(1)),IF(H191=P$3,(C191*(-1)),IF(H191=P$2,(C191*(1)))))</f>
        <v/>
      </c>
      <c r="G191" s="176">
        <f>F191*D191</f>
        <v/>
      </c>
      <c r="H191" s="52" t="inlineStr">
        <is>
          <t>COMPRA</t>
        </is>
      </c>
      <c r="I191" s="177" t="n"/>
      <c r="J191" s="178">
        <f>IF(H191="VENDA",I191*F191*-1,0)</f>
        <v/>
      </c>
      <c r="K191" s="178">
        <f>IF(J191=0,0,J191+G191)</f>
        <v/>
      </c>
    </row>
    <row r="192">
      <c r="A192" s="47" t="n"/>
      <c r="B192" s="48" t="n"/>
      <c r="C192" s="49" t="n"/>
      <c r="D192" s="169" t="n"/>
      <c r="E192" s="50">
        <f>IFERROR(VLOOKUP(B192,'Dados B3'!A:G,2,FALSE),"-")</f>
        <v/>
      </c>
      <c r="F192" s="51">
        <f>IF(H192=P$4,(C192*(1)),IF(H192=P$3,(C192*(-1)),IF(H192=P$2,(C192*(1)))))</f>
        <v/>
      </c>
      <c r="G192" s="176">
        <f>F192*D192</f>
        <v/>
      </c>
      <c r="H192" s="52" t="inlineStr">
        <is>
          <t>COMPRA</t>
        </is>
      </c>
      <c r="I192" s="177" t="n"/>
      <c r="J192" s="178">
        <f>IF(H192="VENDA",I192*F192*-1,0)</f>
        <v/>
      </c>
      <c r="K192" s="178">
        <f>IF(J192=0,0,J192+G192)</f>
        <v/>
      </c>
    </row>
    <row r="193">
      <c r="A193" s="47" t="n"/>
      <c r="B193" s="48" t="n"/>
      <c r="C193" s="49" t="n"/>
      <c r="D193" s="169" t="n"/>
      <c r="E193" s="50">
        <f>IFERROR(VLOOKUP(B193,'Dados B3'!A:G,2,FALSE),"-")</f>
        <v/>
      </c>
      <c r="F193" s="51">
        <f>IF(H193=P$4,(C193*(1)),IF(H193=P$3,(C193*(-1)),IF(H193=P$2,(C193*(1)))))</f>
        <v/>
      </c>
      <c r="G193" s="176">
        <f>F193*D193</f>
        <v/>
      </c>
      <c r="H193" s="52" t="inlineStr">
        <is>
          <t>COMPRA</t>
        </is>
      </c>
      <c r="I193" s="177" t="n"/>
      <c r="J193" s="178">
        <f>IF(H193="VENDA",I193*F193*-1,0)</f>
        <v/>
      </c>
      <c r="K193" s="178">
        <f>IF(J193=0,0,J193+G193)</f>
        <v/>
      </c>
    </row>
    <row r="194">
      <c r="A194" s="47" t="n"/>
      <c r="B194" s="48" t="n"/>
      <c r="C194" s="49" t="n"/>
      <c r="D194" s="169" t="n"/>
      <c r="E194" s="50">
        <f>IFERROR(VLOOKUP(B194,'Dados B3'!A:G,2,FALSE),"-")</f>
        <v/>
      </c>
      <c r="F194" s="51">
        <f>IF(H194=P$4,(C194*(1)),IF(H194=P$3,(C194*(-1)),IF(H194=P$2,(C194*(1)))))</f>
        <v/>
      </c>
      <c r="G194" s="176">
        <f>F194*D194</f>
        <v/>
      </c>
      <c r="H194" s="52" t="inlineStr">
        <is>
          <t>COMPRA</t>
        </is>
      </c>
      <c r="I194" s="177" t="n"/>
      <c r="J194" s="178">
        <f>IF(H194="VENDA",I194*F194*-1,0)</f>
        <v/>
      </c>
      <c r="K194" s="178">
        <f>IF(J194=0,0,J194+G194)</f>
        <v/>
      </c>
    </row>
    <row r="195">
      <c r="A195" s="47" t="n"/>
      <c r="B195" s="48" t="n"/>
      <c r="C195" s="49" t="n"/>
      <c r="D195" s="169" t="n"/>
      <c r="E195" s="50">
        <f>IFERROR(VLOOKUP(B195,'Dados B3'!A:G,2,FALSE),"-")</f>
        <v/>
      </c>
      <c r="F195" s="51">
        <f>IF(H195=P$4,(C195*(1)),IF(H195=P$3,(C195*(-1)),IF(H195=P$2,(C195*(1)))))</f>
        <v/>
      </c>
      <c r="G195" s="176">
        <f>F195*D195</f>
        <v/>
      </c>
      <c r="H195" s="52" t="inlineStr">
        <is>
          <t>COMPRA</t>
        </is>
      </c>
      <c r="I195" s="177" t="n"/>
      <c r="J195" s="178">
        <f>IF(H195="VENDA",I195*F195*-1,0)</f>
        <v/>
      </c>
      <c r="K195" s="178">
        <f>IF(J195=0,0,J195+G195)</f>
        <v/>
      </c>
    </row>
    <row r="196">
      <c r="A196" s="47" t="n"/>
      <c r="B196" s="48" t="n"/>
      <c r="C196" s="49" t="n"/>
      <c r="D196" s="169" t="n"/>
      <c r="E196" s="50">
        <f>IFERROR(VLOOKUP(B196,'Dados B3'!A:G,2,FALSE),"-")</f>
        <v/>
      </c>
      <c r="F196" s="51">
        <f>IF(H196=P$4,(C196*(1)),IF(H196=P$3,(C196*(-1)),IF(H196=P$2,(C196*(1)))))</f>
        <v/>
      </c>
      <c r="G196" s="176">
        <f>F196*D196</f>
        <v/>
      </c>
      <c r="H196" s="52" t="inlineStr">
        <is>
          <t>COMPRA</t>
        </is>
      </c>
      <c r="I196" s="177" t="n"/>
      <c r="J196" s="178">
        <f>IF(H196="VENDA",I196*F196*-1,0)</f>
        <v/>
      </c>
      <c r="K196" s="178">
        <f>IF(J196=0,0,J196+G196)</f>
        <v/>
      </c>
    </row>
    <row r="197">
      <c r="A197" s="47" t="n"/>
      <c r="B197" s="48" t="n"/>
      <c r="C197" s="49" t="n"/>
      <c r="D197" s="169" t="n"/>
      <c r="E197" s="50">
        <f>IFERROR(VLOOKUP(B197,'Dados B3'!A:G,2,FALSE),"-")</f>
        <v/>
      </c>
      <c r="F197" s="51">
        <f>IF(H197=P$4,(C197*(1)),IF(H197=P$3,(C197*(-1)),IF(H197=P$2,(C197*(1)))))</f>
        <v/>
      </c>
      <c r="G197" s="176">
        <f>F197*D197</f>
        <v/>
      </c>
      <c r="H197" s="52" t="inlineStr">
        <is>
          <t>COMPRA</t>
        </is>
      </c>
      <c r="I197" s="177" t="n"/>
      <c r="J197" s="178">
        <f>IF(H197="VENDA",I197*F197*-1,0)</f>
        <v/>
      </c>
      <c r="K197" s="178">
        <f>IF(J197=0,0,J197+G197)</f>
        <v/>
      </c>
    </row>
    <row r="198">
      <c r="A198" s="47" t="n"/>
      <c r="B198" s="48" t="n"/>
      <c r="C198" s="49" t="n"/>
      <c r="D198" s="169" t="n"/>
      <c r="E198" s="50">
        <f>IFERROR(VLOOKUP(B198,'Dados B3'!A:G,2,FALSE),"-")</f>
        <v/>
      </c>
      <c r="F198" s="51">
        <f>IF(H198=P$4,(C198*(1)),IF(H198=P$3,(C198*(-1)),IF(H198=P$2,(C198*(1)))))</f>
        <v/>
      </c>
      <c r="G198" s="176">
        <f>F198*D198</f>
        <v/>
      </c>
      <c r="H198" s="52" t="inlineStr">
        <is>
          <t>COMPRA</t>
        </is>
      </c>
      <c r="I198" s="177" t="n"/>
      <c r="J198" s="178">
        <f>IF(H198="VENDA",I198*F198*-1,0)</f>
        <v/>
      </c>
      <c r="K198" s="178">
        <f>IF(J198=0,0,J198+G198)</f>
        <v/>
      </c>
    </row>
    <row r="199">
      <c r="A199" s="47" t="n"/>
      <c r="B199" s="48" t="n"/>
      <c r="C199" s="49" t="n"/>
      <c r="D199" s="169" t="n"/>
      <c r="E199" s="50">
        <f>IFERROR(VLOOKUP(B199,'Dados B3'!A:G,2,FALSE),"-")</f>
        <v/>
      </c>
      <c r="F199" s="51">
        <f>IF(H199=P$4,(C199*(1)),IF(H199=P$3,(C199*(-1)),IF(H199=P$2,(C199*(1)))))</f>
        <v/>
      </c>
      <c r="G199" s="176">
        <f>F199*D199</f>
        <v/>
      </c>
      <c r="H199" s="52" t="inlineStr">
        <is>
          <t>COMPRA</t>
        </is>
      </c>
      <c r="I199" s="177" t="n"/>
      <c r="J199" s="178">
        <f>IF(H199="VENDA",I199*F199*-1,0)</f>
        <v/>
      </c>
      <c r="K199" s="178">
        <f>IF(J199=0,0,J199+G199)</f>
        <v/>
      </c>
    </row>
    <row r="200">
      <c r="A200" s="47" t="n"/>
      <c r="B200" s="48" t="n"/>
      <c r="C200" s="49" t="n"/>
      <c r="D200" s="169" t="n"/>
      <c r="E200" s="50">
        <f>IFERROR(VLOOKUP(B200,'Dados B3'!A:G,2,FALSE),"-")</f>
        <v/>
      </c>
      <c r="F200" s="51">
        <f>IF(H200=P$4,(C200*(1)),IF(H200=P$3,(C200*(-1)),IF(H200=P$2,(C200*(1)))))</f>
        <v/>
      </c>
      <c r="G200" s="176">
        <f>F200*D200</f>
        <v/>
      </c>
      <c r="H200" s="52" t="inlineStr">
        <is>
          <t>COMPRA</t>
        </is>
      </c>
      <c r="I200" s="177" t="n"/>
      <c r="J200" s="178">
        <f>IF(H200="VENDA",I200*F200*-1,0)</f>
        <v/>
      </c>
      <c r="K200" s="178">
        <f>IF(J200=0,0,J200+G200)</f>
        <v/>
      </c>
    </row>
    <row r="201">
      <c r="A201" s="47" t="n"/>
      <c r="B201" s="48" t="n"/>
      <c r="C201" s="49" t="n"/>
      <c r="D201" s="169" t="n"/>
      <c r="E201" s="50">
        <f>IFERROR(VLOOKUP(B201,'Dados B3'!A:G,2,FALSE),"-")</f>
        <v/>
      </c>
      <c r="F201" s="51">
        <f>IF(H201=P$4,(C201*(1)),IF(H201=P$3,(C201*(-1)),IF(H201=P$2,(C201*(1)))))</f>
        <v/>
      </c>
      <c r="G201" s="176">
        <f>F201*D201</f>
        <v/>
      </c>
      <c r="H201" s="52" t="inlineStr">
        <is>
          <t>COMPRA</t>
        </is>
      </c>
      <c r="I201" s="177" t="n"/>
      <c r="J201" s="178">
        <f>IF(H201="VENDA",I201*F201*-1,0)</f>
        <v/>
      </c>
      <c r="K201" s="178">
        <f>IF(J201=0,0,J201+G201)</f>
        <v/>
      </c>
    </row>
    <row r="202">
      <c r="A202" s="47" t="n"/>
      <c r="B202" s="48" t="n"/>
      <c r="C202" s="49" t="n"/>
      <c r="D202" s="169" t="n"/>
      <c r="E202" s="50">
        <f>IFERROR(VLOOKUP(B202,'Dados B3'!A:G,2,FALSE),"-")</f>
        <v/>
      </c>
      <c r="F202" s="51">
        <f>IF(H202=P$4,(C202*(1)),IF(H202=P$3,(C202*(-1)),IF(H202=P$2,(C202*(1)))))</f>
        <v/>
      </c>
      <c r="G202" s="176">
        <f>F202*D202</f>
        <v/>
      </c>
      <c r="H202" s="52" t="inlineStr">
        <is>
          <t>COMPRA</t>
        </is>
      </c>
      <c r="I202" s="177" t="n"/>
      <c r="J202" s="178">
        <f>IF(H202="VENDA",I202*F202*-1,0)</f>
        <v/>
      </c>
      <c r="K202" s="178">
        <f>IF(J202=0,0,J202+G202)</f>
        <v/>
      </c>
    </row>
    <row r="203">
      <c r="A203" s="47" t="n"/>
      <c r="B203" s="48" t="n"/>
      <c r="C203" s="49" t="n"/>
      <c r="D203" s="169" t="n"/>
      <c r="E203" s="50">
        <f>IFERROR(VLOOKUP(B203,'Dados B3'!A:G,2,FALSE),"-")</f>
        <v/>
      </c>
      <c r="F203" s="51">
        <f>IF(H203=P$4,(C203*(1)),IF(H203=P$3,(C203*(-1)),IF(H203=P$2,(C203*(1)))))</f>
        <v/>
      </c>
      <c r="G203" s="176">
        <f>F203*D203</f>
        <v/>
      </c>
      <c r="H203" s="52" t="inlineStr">
        <is>
          <t>COMPRA</t>
        </is>
      </c>
      <c r="I203" s="177" t="n"/>
      <c r="J203" s="178">
        <f>IF(H203="VENDA",I203*F203*-1,0)</f>
        <v/>
      </c>
      <c r="K203" s="178">
        <f>IF(J203=0,0,J203+G203)</f>
        <v/>
      </c>
    </row>
    <row r="204">
      <c r="A204" s="47" t="n"/>
      <c r="B204" s="48" t="n"/>
      <c r="C204" s="49" t="n"/>
      <c r="D204" s="169" t="n"/>
      <c r="E204" s="50">
        <f>IFERROR(VLOOKUP(B204,'Dados B3'!A:G,2,FALSE),"-")</f>
        <v/>
      </c>
      <c r="F204" s="51">
        <f>IF(H204=P$4,(C204*(1)),IF(H204=P$3,(C204*(-1)),IF(H204=P$2,(C204*(1)))))</f>
        <v/>
      </c>
      <c r="G204" s="176">
        <f>F204*D204</f>
        <v/>
      </c>
      <c r="H204" s="52" t="inlineStr">
        <is>
          <t>COMPRA</t>
        </is>
      </c>
      <c r="I204" s="177" t="n"/>
      <c r="J204" s="178">
        <f>IF(H204="VENDA",I204*F204*-1,0)</f>
        <v/>
      </c>
      <c r="K204" s="178">
        <f>IF(J204=0,0,J204+G204)</f>
        <v/>
      </c>
    </row>
    <row r="205">
      <c r="A205" s="47" t="n"/>
      <c r="B205" s="48" t="n"/>
      <c r="C205" s="49" t="n"/>
      <c r="D205" s="169" t="n"/>
      <c r="E205" s="50">
        <f>IFERROR(VLOOKUP(B205,'Dados B3'!A:G,2,FALSE),"-")</f>
        <v/>
      </c>
      <c r="F205" s="51">
        <f>IF(H205=P$4,(C205*(1)),IF(H205=P$3,(C205*(-1)),IF(H205=P$2,(C205*(1)))))</f>
        <v/>
      </c>
      <c r="G205" s="176">
        <f>F205*D205</f>
        <v/>
      </c>
      <c r="H205" s="52" t="inlineStr">
        <is>
          <t>COMPRA</t>
        </is>
      </c>
      <c r="I205" s="177" t="n"/>
      <c r="J205" s="178">
        <f>IF(H205="VENDA",I205*F205*-1,0)</f>
        <v/>
      </c>
      <c r="K205" s="178">
        <f>IF(J205=0,0,J205+G205)</f>
        <v/>
      </c>
    </row>
    <row r="206">
      <c r="A206" s="47" t="n"/>
      <c r="B206" s="48" t="n"/>
      <c r="C206" s="49" t="n"/>
      <c r="D206" s="169" t="n"/>
      <c r="E206" s="50">
        <f>IFERROR(VLOOKUP(B206,'Dados B3'!A:G,2,FALSE),"-")</f>
        <v/>
      </c>
      <c r="F206" s="51">
        <f>IF(H206=P$4,(C206*(1)),IF(H206=P$3,(C206*(-1)),IF(H206=P$2,(C206*(1)))))</f>
        <v/>
      </c>
      <c r="G206" s="176">
        <f>F206*D206</f>
        <v/>
      </c>
      <c r="H206" s="52" t="inlineStr">
        <is>
          <t>COMPRA</t>
        </is>
      </c>
      <c r="I206" s="177" t="n"/>
      <c r="J206" s="178">
        <f>IF(H206="VENDA",I206*F206*-1,0)</f>
        <v/>
      </c>
      <c r="K206" s="178">
        <f>IF(J206=0,0,J206+G206)</f>
        <v/>
      </c>
    </row>
    <row r="207">
      <c r="A207" s="47" t="n"/>
      <c r="B207" s="48" t="n"/>
      <c r="C207" s="49" t="n"/>
      <c r="D207" s="169" t="n"/>
      <c r="E207" s="50">
        <f>IFERROR(VLOOKUP(B207,'Dados B3'!A:G,2,FALSE),"-")</f>
        <v/>
      </c>
      <c r="F207" s="51">
        <f>IF(H207=P$4,(C207*(1)),IF(H207=P$3,(C207*(-1)),IF(H207=P$2,(C207*(1)))))</f>
        <v/>
      </c>
      <c r="G207" s="176">
        <f>F207*D207</f>
        <v/>
      </c>
      <c r="H207" s="52" t="inlineStr">
        <is>
          <t>COMPRA</t>
        </is>
      </c>
      <c r="I207" s="177" t="n"/>
      <c r="J207" s="178">
        <f>IF(H207="VENDA",I207*F207*-1,0)</f>
        <v/>
      </c>
      <c r="K207" s="178">
        <f>IF(J207=0,0,J207+G207)</f>
        <v/>
      </c>
    </row>
    <row r="208">
      <c r="A208" s="47" t="n"/>
      <c r="B208" s="48" t="n"/>
      <c r="C208" s="49" t="n"/>
      <c r="D208" s="169" t="n"/>
      <c r="E208" s="50">
        <f>IFERROR(VLOOKUP(B208,'Dados B3'!A:G,2,FALSE),"-")</f>
        <v/>
      </c>
      <c r="F208" s="51">
        <f>IF(H208=P$4,(C208*(1)),IF(H208=P$3,(C208*(-1)),IF(H208=P$2,(C208*(1)))))</f>
        <v/>
      </c>
      <c r="G208" s="176">
        <f>F208*D208</f>
        <v/>
      </c>
      <c r="H208" s="52" t="inlineStr">
        <is>
          <t>COMPRA</t>
        </is>
      </c>
      <c r="I208" s="177" t="n"/>
      <c r="J208" s="178">
        <f>IF(H208="VENDA",I208*F208*-1,0)</f>
        <v/>
      </c>
      <c r="K208" s="178">
        <f>IF(J208=0,0,J208+G208)</f>
        <v/>
      </c>
    </row>
    <row r="209">
      <c r="A209" s="47" t="n"/>
      <c r="B209" s="48" t="n"/>
      <c r="C209" s="49" t="n"/>
      <c r="D209" s="169" t="n"/>
      <c r="E209" s="50">
        <f>IFERROR(VLOOKUP(B209,'Dados B3'!A:G,2,FALSE),"-")</f>
        <v/>
      </c>
      <c r="F209" s="51">
        <f>IF(H209=P$4,(C209*(1)),IF(H209=P$3,(C209*(-1)),IF(H209=P$2,(C209*(1)))))</f>
        <v/>
      </c>
      <c r="G209" s="176">
        <f>F209*D209</f>
        <v/>
      </c>
      <c r="H209" s="52" t="inlineStr">
        <is>
          <t>COMPRA</t>
        </is>
      </c>
      <c r="I209" s="177" t="n"/>
      <c r="J209" s="178">
        <f>IF(H209="VENDA",I209*F209*-1,0)</f>
        <v/>
      </c>
      <c r="K209" s="178">
        <f>IF(J209=0,0,J209+G209)</f>
        <v/>
      </c>
    </row>
    <row r="210">
      <c r="A210" s="47" t="n"/>
      <c r="B210" s="48" t="n"/>
      <c r="C210" s="49" t="n"/>
      <c r="D210" s="169" t="n"/>
      <c r="E210" s="50">
        <f>IFERROR(VLOOKUP(B210,'Dados B3'!A:G,2,FALSE),"-")</f>
        <v/>
      </c>
      <c r="F210" s="51">
        <f>IF(H210=P$4,(C210*(1)),IF(H210=P$3,(C210*(-1)),IF(H210=P$2,(C210*(1)))))</f>
        <v/>
      </c>
      <c r="G210" s="176">
        <f>F210*D210</f>
        <v/>
      </c>
      <c r="H210" s="52" t="inlineStr">
        <is>
          <t>COMPRA</t>
        </is>
      </c>
      <c r="I210" s="177" t="n"/>
      <c r="J210" s="178">
        <f>IF(H210="VENDA",I210*F210*-1,0)</f>
        <v/>
      </c>
      <c r="K210" s="178">
        <f>IF(J210=0,0,J210+G210)</f>
        <v/>
      </c>
    </row>
    <row r="211">
      <c r="A211" s="47" t="n"/>
      <c r="B211" s="48" t="n"/>
      <c r="C211" s="49" t="n"/>
      <c r="D211" s="169" t="n"/>
      <c r="E211" s="50">
        <f>IFERROR(VLOOKUP(B211,'Dados B3'!A:G,2,FALSE),"-")</f>
        <v/>
      </c>
      <c r="F211" s="51">
        <f>IF(H211=P$4,(C211*(1)),IF(H211=P$3,(C211*(-1)),IF(H211=P$2,(C211*(1)))))</f>
        <v/>
      </c>
      <c r="G211" s="176">
        <f>F211*D211</f>
        <v/>
      </c>
      <c r="H211" s="52" t="inlineStr">
        <is>
          <t>COMPRA</t>
        </is>
      </c>
      <c r="I211" s="177" t="n"/>
      <c r="J211" s="178">
        <f>IF(H211="VENDA",I211*F211*-1,0)</f>
        <v/>
      </c>
      <c r="K211" s="178">
        <f>IF(J211=0,0,J211+G211)</f>
        <v/>
      </c>
    </row>
    <row r="212">
      <c r="A212" s="47" t="n"/>
      <c r="B212" s="48" t="n"/>
      <c r="C212" s="49" t="n"/>
      <c r="D212" s="169" t="n"/>
      <c r="E212" s="50">
        <f>IFERROR(VLOOKUP(B212,'Dados B3'!A:G,2,FALSE),"-")</f>
        <v/>
      </c>
      <c r="F212" s="51">
        <f>IF(H212=P$4,(C212*(1)),IF(H212=P$3,(C212*(-1)),IF(H212=P$2,(C212*(1)))))</f>
        <v/>
      </c>
      <c r="G212" s="176">
        <f>F212*D212</f>
        <v/>
      </c>
      <c r="H212" s="52" t="inlineStr">
        <is>
          <t>COMPRA</t>
        </is>
      </c>
      <c r="I212" s="177" t="n"/>
      <c r="J212" s="178">
        <f>IF(H212="VENDA",I212*F212*-1,0)</f>
        <v/>
      </c>
      <c r="K212" s="178">
        <f>IF(J212=0,0,J212+G212)</f>
        <v/>
      </c>
    </row>
    <row r="213">
      <c r="A213" s="47" t="n"/>
      <c r="B213" s="48" t="n"/>
      <c r="C213" s="49" t="n"/>
      <c r="D213" s="169" t="n"/>
      <c r="E213" s="50">
        <f>IFERROR(VLOOKUP(B213,'Dados B3'!A:G,2,FALSE),"-")</f>
        <v/>
      </c>
      <c r="F213" s="51">
        <f>IF(H213=P$4,(C213*(1)),IF(H213=P$3,(C213*(-1)),IF(H213=P$2,(C213*(1)))))</f>
        <v/>
      </c>
      <c r="G213" s="176">
        <f>F213*D213</f>
        <v/>
      </c>
      <c r="H213" s="52" t="inlineStr">
        <is>
          <t>COMPRA</t>
        </is>
      </c>
      <c r="I213" s="177" t="n"/>
      <c r="J213" s="178">
        <f>IF(H213="VENDA",I213*F213*-1,0)</f>
        <v/>
      </c>
      <c r="K213" s="178">
        <f>IF(J213=0,0,J213+G213)</f>
        <v/>
      </c>
    </row>
    <row r="214">
      <c r="A214" s="47" t="n"/>
      <c r="B214" s="48" t="n"/>
      <c r="C214" s="49" t="n"/>
      <c r="D214" s="169" t="n"/>
      <c r="E214" s="50">
        <f>IFERROR(VLOOKUP(B214,'Dados B3'!A:G,2,FALSE),"-")</f>
        <v/>
      </c>
      <c r="F214" s="51">
        <f>IF(H214=P$4,(C214*(1)),IF(H214=P$3,(C214*(-1)),IF(H214=P$2,(C214*(1)))))</f>
        <v/>
      </c>
      <c r="G214" s="176">
        <f>F214*D214</f>
        <v/>
      </c>
      <c r="H214" s="52" t="inlineStr">
        <is>
          <t>COMPRA</t>
        </is>
      </c>
      <c r="I214" s="177" t="n"/>
      <c r="J214" s="178">
        <f>IF(H214="VENDA",I214*F214*-1,0)</f>
        <v/>
      </c>
      <c r="K214" s="178">
        <f>IF(J214=0,0,J214+G214)</f>
        <v/>
      </c>
    </row>
    <row r="215">
      <c r="A215" s="47" t="n"/>
      <c r="B215" s="48" t="n"/>
      <c r="C215" s="49" t="n"/>
      <c r="D215" s="169" t="n"/>
      <c r="E215" s="50">
        <f>IFERROR(VLOOKUP(B215,'Dados B3'!A:G,2,FALSE),"-")</f>
        <v/>
      </c>
      <c r="F215" s="51">
        <f>IF(H215=P$4,(C215*(1)),IF(H215=P$3,(C215*(-1)),IF(H215=P$2,(C215*(1)))))</f>
        <v/>
      </c>
      <c r="G215" s="176">
        <f>F215*D215</f>
        <v/>
      </c>
      <c r="H215" s="52" t="inlineStr">
        <is>
          <t>COMPRA</t>
        </is>
      </c>
      <c r="I215" s="177" t="n"/>
      <c r="J215" s="178">
        <f>IF(H215="VENDA",I215*F215*-1,0)</f>
        <v/>
      </c>
      <c r="K215" s="178">
        <f>IF(J215=0,0,J215+G215)</f>
        <v/>
      </c>
    </row>
    <row r="216">
      <c r="A216" s="47" t="n"/>
      <c r="B216" s="48" t="n"/>
      <c r="C216" s="49" t="n"/>
      <c r="D216" s="169" t="n"/>
      <c r="E216" s="50">
        <f>IFERROR(VLOOKUP(B216,'Dados B3'!A:G,2,FALSE),"-")</f>
        <v/>
      </c>
      <c r="F216" s="51">
        <f>IF(H216=P$4,(C216*(1)),IF(H216=P$3,(C216*(-1)),IF(H216=P$2,(C216*(1)))))</f>
        <v/>
      </c>
      <c r="G216" s="176">
        <f>F216*D216</f>
        <v/>
      </c>
      <c r="H216" s="52" t="inlineStr">
        <is>
          <t>COMPRA</t>
        </is>
      </c>
      <c r="I216" s="177" t="n"/>
      <c r="J216" s="178">
        <f>IF(H216="VENDA",I216*F216*-1,0)</f>
        <v/>
      </c>
      <c r="K216" s="178">
        <f>IF(J216=0,0,J216+G216)</f>
        <v/>
      </c>
    </row>
    <row r="217">
      <c r="A217" s="47" t="n"/>
      <c r="B217" s="48" t="n"/>
      <c r="C217" s="49" t="n"/>
      <c r="D217" s="169" t="n"/>
      <c r="E217" s="50">
        <f>IFERROR(VLOOKUP(B217,'Dados B3'!A:G,2,FALSE),"-")</f>
        <v/>
      </c>
      <c r="F217" s="51">
        <f>IF(H217=P$4,(C217*(1)),IF(H217=P$3,(C217*(-1)),IF(H217=P$2,(C217*(1)))))</f>
        <v/>
      </c>
      <c r="G217" s="176">
        <f>F217*D217</f>
        <v/>
      </c>
      <c r="H217" s="52" t="inlineStr">
        <is>
          <t>COMPRA</t>
        </is>
      </c>
      <c r="I217" s="177" t="n"/>
      <c r="J217" s="178">
        <f>IF(H217="VENDA",I217*F217*-1,0)</f>
        <v/>
      </c>
      <c r="K217" s="178">
        <f>IF(J217=0,0,J217+G217)</f>
        <v/>
      </c>
    </row>
    <row r="218">
      <c r="A218" s="47" t="n"/>
      <c r="B218" s="48" t="n"/>
      <c r="C218" s="49" t="n"/>
      <c r="D218" s="169" t="n"/>
      <c r="E218" s="50">
        <f>IFERROR(VLOOKUP(B218,'Dados B3'!A:G,2,FALSE),"-")</f>
        <v/>
      </c>
      <c r="F218" s="51">
        <f>IF(H218=P$4,(C218*(1)),IF(H218=P$3,(C218*(-1)),IF(H218=P$2,(C218*(1)))))</f>
        <v/>
      </c>
      <c r="G218" s="176">
        <f>F218*D218</f>
        <v/>
      </c>
      <c r="H218" s="52" t="inlineStr">
        <is>
          <t>COMPRA</t>
        </is>
      </c>
      <c r="I218" s="177" t="n"/>
      <c r="J218" s="178">
        <f>IF(H218="VENDA",I218*F218*-1,0)</f>
        <v/>
      </c>
      <c r="K218" s="178">
        <f>IF(J218=0,0,J218+G218)</f>
        <v/>
      </c>
    </row>
    <row r="219">
      <c r="A219" s="47" t="n"/>
      <c r="B219" s="48" t="n"/>
      <c r="C219" s="49" t="n"/>
      <c r="D219" s="169" t="n"/>
      <c r="E219" s="50">
        <f>IFERROR(VLOOKUP(B219,'Dados B3'!A:G,2,FALSE),"-")</f>
        <v/>
      </c>
      <c r="F219" s="51">
        <f>IF(H219=P$4,(C219*(1)),IF(H219=P$3,(C219*(-1)),IF(H219=P$2,(C219*(1)))))</f>
        <v/>
      </c>
      <c r="G219" s="176">
        <f>F219*D219</f>
        <v/>
      </c>
      <c r="H219" s="52" t="inlineStr">
        <is>
          <t>COMPRA</t>
        </is>
      </c>
      <c r="I219" s="177" t="n"/>
      <c r="J219" s="178">
        <f>IF(H219="VENDA",I219*F219*-1,0)</f>
        <v/>
      </c>
      <c r="K219" s="178">
        <f>IF(J219=0,0,J219+G219)</f>
        <v/>
      </c>
    </row>
    <row r="220">
      <c r="A220" s="47" t="n"/>
      <c r="B220" s="48" t="n"/>
      <c r="C220" s="49" t="n"/>
      <c r="D220" s="169" t="n"/>
      <c r="E220" s="50">
        <f>IFERROR(VLOOKUP(B220,'Dados B3'!A:G,2,FALSE),"-")</f>
        <v/>
      </c>
      <c r="F220" s="51">
        <f>IF(H220=P$4,(C220*(1)),IF(H220=P$3,(C220*(-1)),IF(H220=P$2,(C220*(1)))))</f>
        <v/>
      </c>
      <c r="G220" s="176">
        <f>F220*D220</f>
        <v/>
      </c>
      <c r="H220" s="52" t="inlineStr">
        <is>
          <t>COMPRA</t>
        </is>
      </c>
      <c r="I220" s="177" t="n"/>
      <c r="J220" s="178">
        <f>IF(H220="VENDA",I220*F220*-1,0)</f>
        <v/>
      </c>
      <c r="K220" s="178">
        <f>IF(J220=0,0,J220+G220)</f>
        <v/>
      </c>
    </row>
    <row r="221">
      <c r="A221" s="47" t="n"/>
      <c r="B221" s="48" t="n"/>
      <c r="C221" s="49" t="n"/>
      <c r="D221" s="169" t="n"/>
      <c r="E221" s="50">
        <f>IFERROR(VLOOKUP(B221,'Dados B3'!A:G,2,FALSE),"-")</f>
        <v/>
      </c>
      <c r="F221" s="51">
        <f>IF(H221=P$4,(C221*(1)),IF(H221=P$3,(C221*(-1)),IF(H221=P$2,(C221*(1)))))</f>
        <v/>
      </c>
      <c r="G221" s="176">
        <f>F221*D221</f>
        <v/>
      </c>
      <c r="H221" s="52" t="inlineStr">
        <is>
          <t>COMPRA</t>
        </is>
      </c>
      <c r="I221" s="177" t="n"/>
      <c r="J221" s="178">
        <f>IF(H221="VENDA",I221*F221*-1,0)</f>
        <v/>
      </c>
      <c r="K221" s="178">
        <f>IF(J221=0,0,J221+G221)</f>
        <v/>
      </c>
    </row>
    <row r="222">
      <c r="A222" s="47" t="n"/>
      <c r="B222" s="48" t="n"/>
      <c r="C222" s="49" t="n"/>
      <c r="D222" s="169" t="n"/>
      <c r="E222" s="50">
        <f>IFERROR(VLOOKUP(B222,'Dados B3'!A:G,2,FALSE),"-")</f>
        <v/>
      </c>
      <c r="F222" s="51">
        <f>IF(H222=P$4,(C222*(1)),IF(H222=P$3,(C222*(-1)),IF(H222=P$2,(C222*(1)))))</f>
        <v/>
      </c>
      <c r="G222" s="176">
        <f>F222*D222</f>
        <v/>
      </c>
      <c r="H222" s="52" t="inlineStr">
        <is>
          <t>COMPRA</t>
        </is>
      </c>
      <c r="I222" s="177" t="n"/>
      <c r="J222" s="178">
        <f>IF(H222="VENDA",I222*F222*-1,0)</f>
        <v/>
      </c>
      <c r="K222" s="178">
        <f>IF(J222=0,0,J222+G222)</f>
        <v/>
      </c>
    </row>
    <row r="223">
      <c r="A223" s="47" t="n"/>
      <c r="B223" s="48" t="n"/>
      <c r="C223" s="49" t="n"/>
      <c r="D223" s="169" t="n"/>
      <c r="E223" s="50">
        <f>IFERROR(VLOOKUP(B223,'Dados B3'!A:G,2,FALSE),"-")</f>
        <v/>
      </c>
      <c r="F223" s="51">
        <f>IF(H223=P$4,(C223*(1)),IF(H223=P$3,(C223*(-1)),IF(H223=P$2,(C223*(1)))))</f>
        <v/>
      </c>
      <c r="G223" s="176">
        <f>F223*D223</f>
        <v/>
      </c>
      <c r="H223" s="52" t="inlineStr">
        <is>
          <t>COMPRA</t>
        </is>
      </c>
      <c r="I223" s="177" t="n"/>
      <c r="J223" s="178">
        <f>IF(H223="VENDA",I223*F223*-1,0)</f>
        <v/>
      </c>
      <c r="K223" s="178">
        <f>IF(J223=0,0,J223+G223)</f>
        <v/>
      </c>
    </row>
    <row r="224">
      <c r="A224" s="47" t="n"/>
      <c r="B224" s="48" t="n"/>
      <c r="C224" s="49" t="n"/>
      <c r="D224" s="169" t="n"/>
      <c r="E224" s="50">
        <f>IFERROR(VLOOKUP(B224,'Dados B3'!A:G,2,FALSE),"-")</f>
        <v/>
      </c>
      <c r="F224" s="51">
        <f>IF(H224=P$4,(C224*(1)),IF(H224=P$3,(C224*(-1)),IF(H224=P$2,(C224*(1)))))</f>
        <v/>
      </c>
      <c r="G224" s="176">
        <f>F224*D224</f>
        <v/>
      </c>
      <c r="H224" s="52" t="inlineStr">
        <is>
          <t>COMPRA</t>
        </is>
      </c>
      <c r="I224" s="177" t="n"/>
      <c r="J224" s="178">
        <f>IF(H224="VENDA",I224*F224*-1,0)</f>
        <v/>
      </c>
      <c r="K224" s="178">
        <f>IF(J224=0,0,J224+G224)</f>
        <v/>
      </c>
    </row>
    <row r="225">
      <c r="A225" s="47" t="n"/>
      <c r="B225" s="48" t="n"/>
      <c r="C225" s="49" t="n"/>
      <c r="D225" s="169" t="n"/>
      <c r="E225" s="50">
        <f>IFERROR(VLOOKUP(B225,'Dados B3'!A:G,2,FALSE),"-")</f>
        <v/>
      </c>
      <c r="F225" s="51">
        <f>IF(H225=P$4,(C225*(1)),IF(H225=P$3,(C225*(-1)),IF(H225=P$2,(C225*(1)))))</f>
        <v/>
      </c>
      <c r="G225" s="176">
        <f>F225*D225</f>
        <v/>
      </c>
      <c r="H225" s="52" t="inlineStr">
        <is>
          <t>COMPRA</t>
        </is>
      </c>
      <c r="I225" s="177" t="n"/>
      <c r="J225" s="178">
        <f>IF(H225="VENDA",I225*F225*-1,0)</f>
        <v/>
      </c>
      <c r="K225" s="178">
        <f>IF(J225=0,0,J225+G225)</f>
        <v/>
      </c>
    </row>
    <row r="226">
      <c r="A226" s="47" t="n"/>
      <c r="B226" s="48" t="n"/>
      <c r="C226" s="49" t="n"/>
      <c r="D226" s="169" t="n"/>
      <c r="E226" s="50">
        <f>IFERROR(VLOOKUP(B226,'Dados B3'!A:G,2,FALSE),"-")</f>
        <v/>
      </c>
      <c r="F226" s="51">
        <f>IF(H226=P$4,(C226*(1)),IF(H226=P$3,(C226*(-1)),IF(H226=P$2,(C226*(1)))))</f>
        <v/>
      </c>
      <c r="G226" s="176">
        <f>F226*D226</f>
        <v/>
      </c>
      <c r="H226" s="52" t="inlineStr">
        <is>
          <t>COMPRA</t>
        </is>
      </c>
      <c r="I226" s="177" t="n"/>
      <c r="J226" s="178">
        <f>IF(H226="VENDA",I226*F226*-1,0)</f>
        <v/>
      </c>
      <c r="K226" s="178">
        <f>IF(J226=0,0,J226+G226)</f>
        <v/>
      </c>
    </row>
    <row r="227">
      <c r="A227" s="47" t="n"/>
      <c r="B227" s="48" t="n"/>
      <c r="C227" s="49" t="n"/>
      <c r="D227" s="169" t="n"/>
      <c r="E227" s="50">
        <f>IFERROR(VLOOKUP(B227,'Dados B3'!A:G,2,FALSE),"-")</f>
        <v/>
      </c>
      <c r="F227" s="51">
        <f>IF(H227=P$4,(C227*(1)),IF(H227=P$3,(C227*(-1)),IF(H227=P$2,(C227*(1)))))</f>
        <v/>
      </c>
      <c r="G227" s="176">
        <f>F227*D227</f>
        <v/>
      </c>
      <c r="H227" s="52" t="inlineStr">
        <is>
          <t>COMPRA</t>
        </is>
      </c>
      <c r="I227" s="177" t="n"/>
      <c r="J227" s="178">
        <f>IF(H227="VENDA",I227*F227*-1,0)</f>
        <v/>
      </c>
      <c r="K227" s="178">
        <f>IF(J227=0,0,J227+G227)</f>
        <v/>
      </c>
    </row>
    <row r="228">
      <c r="A228" s="47" t="n"/>
      <c r="B228" s="48" t="n"/>
      <c r="C228" s="49" t="n"/>
      <c r="D228" s="169" t="n"/>
      <c r="E228" s="50">
        <f>IFERROR(VLOOKUP(B228,'Dados B3'!A:G,2,FALSE),"-")</f>
        <v/>
      </c>
      <c r="F228" s="51">
        <f>IF(H228=P$4,(C228*(1)),IF(H228=P$3,(C228*(-1)),IF(H228=P$2,(C228*(1)))))</f>
        <v/>
      </c>
      <c r="G228" s="176">
        <f>F228*D228</f>
        <v/>
      </c>
      <c r="H228" s="52" t="inlineStr">
        <is>
          <t>COMPRA</t>
        </is>
      </c>
      <c r="I228" s="177" t="n"/>
      <c r="J228" s="178">
        <f>IF(H228="VENDA",I228*F228*-1,0)</f>
        <v/>
      </c>
      <c r="K228" s="178">
        <f>IF(J228=0,0,J228+G228)</f>
        <v/>
      </c>
    </row>
    <row r="229">
      <c r="A229" s="47" t="n"/>
      <c r="B229" s="48" t="n"/>
      <c r="C229" s="49" t="n"/>
      <c r="D229" s="169" t="n"/>
      <c r="E229" s="50">
        <f>IFERROR(VLOOKUP(B229,'Dados B3'!A:G,2,FALSE),"-")</f>
        <v/>
      </c>
      <c r="F229" s="51">
        <f>IF(H229=P$4,(C229*(1)),IF(H229=P$3,(C229*(-1)),IF(H229=P$2,(C229*(1)))))</f>
        <v/>
      </c>
      <c r="G229" s="176">
        <f>F229*D229</f>
        <v/>
      </c>
      <c r="H229" s="52" t="inlineStr">
        <is>
          <t>COMPRA</t>
        </is>
      </c>
      <c r="I229" s="177" t="n"/>
      <c r="J229" s="178">
        <f>IF(H229="VENDA",I229*F229*-1,0)</f>
        <v/>
      </c>
      <c r="K229" s="178">
        <f>IF(J229=0,0,J229+G229)</f>
        <v/>
      </c>
    </row>
    <row r="230">
      <c r="A230" s="47" t="n"/>
      <c r="B230" s="48" t="n"/>
      <c r="C230" s="49" t="n"/>
      <c r="D230" s="169" t="n"/>
      <c r="E230" s="50">
        <f>IFERROR(VLOOKUP(B230,'Dados B3'!A:G,2,FALSE),"-")</f>
        <v/>
      </c>
      <c r="F230" s="51">
        <f>IF(H230=P$4,(C230*(1)),IF(H230=P$3,(C230*(-1)),IF(H230=P$2,(C230*(1)))))</f>
        <v/>
      </c>
      <c r="G230" s="176">
        <f>F230*D230</f>
        <v/>
      </c>
      <c r="H230" s="52" t="inlineStr">
        <is>
          <t>COMPRA</t>
        </is>
      </c>
      <c r="I230" s="177" t="n"/>
      <c r="J230" s="178">
        <f>IF(H230="VENDA",I230*F230*-1,0)</f>
        <v/>
      </c>
      <c r="K230" s="178">
        <f>IF(J230=0,0,J230+G230)</f>
        <v/>
      </c>
    </row>
    <row r="231">
      <c r="A231" s="47" t="n"/>
      <c r="B231" s="48" t="n"/>
      <c r="C231" s="49" t="n"/>
      <c r="D231" s="169" t="n"/>
      <c r="E231" s="50">
        <f>IFERROR(VLOOKUP(B231,'Dados B3'!A:G,2,FALSE),"-")</f>
        <v/>
      </c>
      <c r="F231" s="51">
        <f>IF(H231=P$4,(C231*(1)),IF(H231=P$3,(C231*(-1)),IF(H231=P$2,(C231*(1)))))</f>
        <v/>
      </c>
      <c r="G231" s="176">
        <f>F231*D231</f>
        <v/>
      </c>
      <c r="H231" s="52" t="inlineStr">
        <is>
          <t>COMPRA</t>
        </is>
      </c>
      <c r="I231" s="177" t="n"/>
      <c r="J231" s="178">
        <f>IF(H231="VENDA",I231*F231*-1,0)</f>
        <v/>
      </c>
      <c r="K231" s="178">
        <f>IF(J231=0,0,J231+G231)</f>
        <v/>
      </c>
    </row>
    <row r="232">
      <c r="A232" s="47" t="n"/>
      <c r="B232" s="48" t="n"/>
      <c r="C232" s="49" t="n"/>
      <c r="D232" s="169" t="n"/>
      <c r="E232" s="50">
        <f>IFERROR(VLOOKUP(B232,'Dados B3'!A:G,2,FALSE),"-")</f>
        <v/>
      </c>
      <c r="F232" s="51">
        <f>IF(H232=P$4,(C232*(1)),IF(H232=P$3,(C232*(-1)),IF(H232=P$2,(C232*(1)))))</f>
        <v/>
      </c>
      <c r="G232" s="176">
        <f>F232*D232</f>
        <v/>
      </c>
      <c r="H232" s="52" t="inlineStr">
        <is>
          <t>COMPRA</t>
        </is>
      </c>
      <c r="I232" s="177" t="n"/>
      <c r="J232" s="178">
        <f>IF(H232="VENDA",I232*F232*-1,0)</f>
        <v/>
      </c>
      <c r="K232" s="178">
        <f>IF(J232=0,0,J232+G232)</f>
        <v/>
      </c>
    </row>
    <row r="233">
      <c r="A233" s="47" t="n"/>
      <c r="B233" s="48" t="n"/>
      <c r="C233" s="49" t="n"/>
      <c r="D233" s="169" t="n"/>
      <c r="E233" s="50">
        <f>IFERROR(VLOOKUP(B233,'Dados B3'!A:G,2,FALSE),"-")</f>
        <v/>
      </c>
      <c r="F233" s="51">
        <f>IF(H233=P$4,(C233*(1)),IF(H233=P$3,(C233*(-1)),IF(H233=P$2,(C233*(1)))))</f>
        <v/>
      </c>
      <c r="G233" s="176">
        <f>F233*D233</f>
        <v/>
      </c>
      <c r="H233" s="52" t="inlineStr">
        <is>
          <t>COMPRA</t>
        </is>
      </c>
      <c r="I233" s="177" t="n"/>
      <c r="J233" s="178">
        <f>IF(H233="VENDA",I233*F233*-1,0)</f>
        <v/>
      </c>
      <c r="K233" s="178">
        <f>IF(J233=0,0,J233+G233)</f>
        <v/>
      </c>
    </row>
    <row r="234">
      <c r="A234" s="47" t="n"/>
      <c r="B234" s="48" t="n"/>
      <c r="C234" s="49" t="n"/>
      <c r="D234" s="169" t="n"/>
      <c r="E234" s="50">
        <f>IFERROR(VLOOKUP(B234,'Dados B3'!A:G,2,FALSE),"-")</f>
        <v/>
      </c>
      <c r="F234" s="51">
        <f>IF(H234=P$4,(C234*(1)),IF(H234=P$3,(C234*(-1)),IF(H234=P$2,(C234*(1)))))</f>
        <v/>
      </c>
      <c r="G234" s="176">
        <f>F234*D234</f>
        <v/>
      </c>
      <c r="H234" s="52" t="inlineStr">
        <is>
          <t>COMPRA</t>
        </is>
      </c>
      <c r="I234" s="177" t="n"/>
      <c r="J234" s="178">
        <f>IF(H234="VENDA",I234*F234*-1,0)</f>
        <v/>
      </c>
      <c r="K234" s="178">
        <f>IF(J234=0,0,J234+G234)</f>
        <v/>
      </c>
    </row>
    <row r="235">
      <c r="A235" s="47" t="n"/>
      <c r="B235" s="48" t="n"/>
      <c r="C235" s="49" t="n"/>
      <c r="D235" s="169" t="n"/>
      <c r="E235" s="50">
        <f>IFERROR(VLOOKUP(B235,'Dados B3'!A:G,2,FALSE),"-")</f>
        <v/>
      </c>
      <c r="F235" s="51">
        <f>IF(H235=P$4,(C235*(1)),IF(H235=P$3,(C235*(-1)),IF(H235=P$2,(C235*(1)))))</f>
        <v/>
      </c>
      <c r="G235" s="176">
        <f>F235*D235</f>
        <v/>
      </c>
      <c r="H235" s="52" t="inlineStr">
        <is>
          <t>COMPRA</t>
        </is>
      </c>
      <c r="I235" s="177" t="n"/>
      <c r="J235" s="178">
        <f>IF(H235="VENDA",I235*F235*-1,0)</f>
        <v/>
      </c>
      <c r="K235" s="178">
        <f>IF(J235=0,0,J235+G235)</f>
        <v/>
      </c>
    </row>
    <row r="236">
      <c r="A236" s="47" t="n"/>
      <c r="B236" s="48" t="n"/>
      <c r="C236" s="49" t="n"/>
      <c r="D236" s="169" t="n"/>
      <c r="E236" s="50">
        <f>IFERROR(VLOOKUP(B236,'Dados B3'!A:G,2,FALSE),"-")</f>
        <v/>
      </c>
      <c r="F236" s="51">
        <f>IF(H236=P$4,(C236*(1)),IF(H236=P$3,(C236*(-1)),IF(H236=P$2,(C236*(1)))))</f>
        <v/>
      </c>
      <c r="G236" s="176">
        <f>F236*D236</f>
        <v/>
      </c>
      <c r="H236" s="52" t="inlineStr">
        <is>
          <t>COMPRA</t>
        </is>
      </c>
      <c r="I236" s="177" t="n"/>
      <c r="J236" s="178">
        <f>IF(H236="VENDA",I236*F236*-1,0)</f>
        <v/>
      </c>
      <c r="K236" s="178">
        <f>IF(J236=0,0,J236+G236)</f>
        <v/>
      </c>
    </row>
    <row r="237">
      <c r="A237" s="47" t="n"/>
      <c r="B237" s="48" t="n"/>
      <c r="C237" s="49" t="n"/>
      <c r="D237" s="169" t="n"/>
      <c r="E237" s="50">
        <f>IFERROR(VLOOKUP(B237,'Dados B3'!A:G,2,FALSE),"-")</f>
        <v/>
      </c>
      <c r="F237" s="51">
        <f>IF(H237=P$4,(C237*(1)),IF(H237=P$3,(C237*(-1)),IF(H237=P$2,(C237*(1)))))</f>
        <v/>
      </c>
      <c r="G237" s="176">
        <f>F237*D237</f>
        <v/>
      </c>
      <c r="H237" s="52" t="inlineStr">
        <is>
          <t>COMPRA</t>
        </is>
      </c>
      <c r="I237" s="177" t="n"/>
      <c r="J237" s="178">
        <f>IF(H237="VENDA",I237*F237*-1,0)</f>
        <v/>
      </c>
      <c r="K237" s="178">
        <f>IF(J237=0,0,J237+G237)</f>
        <v/>
      </c>
    </row>
    <row r="238">
      <c r="A238" s="47" t="n"/>
      <c r="B238" s="48" t="n"/>
      <c r="C238" s="49" t="n"/>
      <c r="D238" s="169" t="n"/>
      <c r="E238" s="50">
        <f>IFERROR(VLOOKUP(B238,'Dados B3'!A:G,2,FALSE),"-")</f>
        <v/>
      </c>
      <c r="F238" s="51">
        <f>IF(H238=P$4,(C238*(1)),IF(H238=P$3,(C238*(-1)),IF(H238=P$2,(C238*(1)))))</f>
        <v/>
      </c>
      <c r="G238" s="176">
        <f>F238*D238</f>
        <v/>
      </c>
      <c r="H238" s="52" t="inlineStr">
        <is>
          <t>COMPRA</t>
        </is>
      </c>
      <c r="I238" s="177" t="n"/>
      <c r="J238" s="178">
        <f>IF(H238="VENDA",I238*F238*-1,0)</f>
        <v/>
      </c>
      <c r="K238" s="178">
        <f>IF(J238=0,0,J238+G238)</f>
        <v/>
      </c>
    </row>
    <row r="239">
      <c r="A239" s="47" t="n"/>
      <c r="B239" s="48" t="n"/>
      <c r="C239" s="49" t="n"/>
      <c r="D239" s="169" t="n"/>
      <c r="E239" s="50">
        <f>IFERROR(VLOOKUP(B239,'Dados B3'!A:G,2,FALSE),"-")</f>
        <v/>
      </c>
      <c r="F239" s="51">
        <f>IF(H239=P$4,(C239*(1)),IF(H239=P$3,(C239*(-1)),IF(H239=P$2,(C239*(1)))))</f>
        <v/>
      </c>
      <c r="G239" s="176">
        <f>F239*D239</f>
        <v/>
      </c>
      <c r="H239" s="52" t="inlineStr">
        <is>
          <t>COMPRA</t>
        </is>
      </c>
      <c r="I239" s="177" t="n"/>
      <c r="J239" s="178">
        <f>IF(H239="VENDA",I239*F239*-1,0)</f>
        <v/>
      </c>
      <c r="K239" s="178">
        <f>IF(J239=0,0,J239+G239)</f>
        <v/>
      </c>
    </row>
    <row r="240">
      <c r="A240" s="47" t="n"/>
      <c r="B240" s="48" t="n"/>
      <c r="C240" s="49" t="n"/>
      <c r="D240" s="169" t="n"/>
      <c r="E240" s="50">
        <f>IFERROR(VLOOKUP(B240,'Dados B3'!A:G,2,FALSE),"-")</f>
        <v/>
      </c>
      <c r="F240" s="51">
        <f>IF(H240=P$4,(C240*(1)),IF(H240=P$3,(C240*(-1)),IF(H240=P$2,(C240*(1)))))</f>
        <v/>
      </c>
      <c r="G240" s="176">
        <f>F240*D240</f>
        <v/>
      </c>
      <c r="H240" s="52" t="inlineStr">
        <is>
          <t>COMPRA</t>
        </is>
      </c>
      <c r="I240" s="177" t="n"/>
      <c r="J240" s="178">
        <f>IF(H240="VENDA",I240*F240*-1,0)</f>
        <v/>
      </c>
      <c r="K240" s="178">
        <f>IF(J240=0,0,J240+G240)</f>
        <v/>
      </c>
    </row>
    <row r="241">
      <c r="A241" s="47" t="n"/>
      <c r="B241" s="48" t="n"/>
      <c r="C241" s="49" t="n"/>
      <c r="D241" s="169" t="n"/>
      <c r="E241" s="50">
        <f>IFERROR(VLOOKUP(B241,'Dados B3'!A:G,2,FALSE),"-")</f>
        <v/>
      </c>
      <c r="F241" s="51">
        <f>IF(H241=P$4,(C241*(1)),IF(H241=P$3,(C241*(-1)),IF(H241=P$2,(C241*(1)))))</f>
        <v/>
      </c>
      <c r="G241" s="176">
        <f>F241*D241</f>
        <v/>
      </c>
      <c r="H241" s="52" t="inlineStr">
        <is>
          <t>COMPRA</t>
        </is>
      </c>
      <c r="I241" s="177" t="n"/>
      <c r="J241" s="178">
        <f>IF(H241="VENDA",I241*F241*-1,0)</f>
        <v/>
      </c>
      <c r="K241" s="178">
        <f>IF(J241=0,0,J241+G241)</f>
        <v/>
      </c>
    </row>
    <row r="242">
      <c r="A242" s="47" t="n"/>
      <c r="B242" s="48" t="n"/>
      <c r="C242" s="49" t="n"/>
      <c r="D242" s="169" t="n"/>
      <c r="E242" s="50">
        <f>IFERROR(VLOOKUP(B242,'Dados B3'!A:G,2,FALSE),"-")</f>
        <v/>
      </c>
      <c r="F242" s="51">
        <f>IF(H242=P$4,(C242*(1)),IF(H242=P$3,(C242*(-1)),IF(H242=P$2,(C242*(1)))))</f>
        <v/>
      </c>
      <c r="G242" s="176">
        <f>F242*D242</f>
        <v/>
      </c>
      <c r="H242" s="52" t="inlineStr">
        <is>
          <t>COMPRA</t>
        </is>
      </c>
      <c r="I242" s="177" t="n"/>
      <c r="J242" s="178">
        <f>IF(H242="VENDA",I242*F242*-1,0)</f>
        <v/>
      </c>
      <c r="K242" s="178">
        <f>IF(J242=0,0,J242+G242)</f>
        <v/>
      </c>
    </row>
    <row r="243">
      <c r="A243" s="47" t="n"/>
      <c r="B243" s="48" t="n"/>
      <c r="C243" s="49" t="n"/>
      <c r="D243" s="169" t="n"/>
      <c r="E243" s="50">
        <f>IFERROR(VLOOKUP(B243,'Dados B3'!A:G,2,FALSE),"-")</f>
        <v/>
      </c>
      <c r="F243" s="51">
        <f>IF(H243=P$4,(C243*(1)),IF(H243=P$3,(C243*(-1)),IF(H243=P$2,(C243*(1)))))</f>
        <v/>
      </c>
      <c r="G243" s="176">
        <f>F243*D243</f>
        <v/>
      </c>
      <c r="H243" s="52" t="inlineStr">
        <is>
          <t>COMPRA</t>
        </is>
      </c>
      <c r="I243" s="177" t="n"/>
      <c r="J243" s="178">
        <f>IF(H243="VENDA",I243*F243*-1,0)</f>
        <v/>
      </c>
      <c r="K243" s="178">
        <f>IF(J243=0,0,J243+G243)</f>
        <v/>
      </c>
    </row>
    <row r="244">
      <c r="A244" s="47" t="n"/>
      <c r="B244" s="48" t="n"/>
      <c r="C244" s="49" t="n"/>
      <c r="D244" s="169" t="n"/>
      <c r="E244" s="50">
        <f>IFERROR(VLOOKUP(B244,'Dados B3'!A:G,2,FALSE),"-")</f>
        <v/>
      </c>
      <c r="F244" s="51">
        <f>IF(H244=P$4,(C244*(1)),IF(H244=P$3,(C244*(-1)),IF(H244=P$2,(C244*(1)))))</f>
        <v/>
      </c>
      <c r="G244" s="176">
        <f>F244*D244</f>
        <v/>
      </c>
      <c r="H244" s="52" t="inlineStr">
        <is>
          <t>COMPRA</t>
        </is>
      </c>
      <c r="I244" s="177" t="n"/>
      <c r="J244" s="178">
        <f>IF(H244="VENDA",I244*F244*-1,0)</f>
        <v/>
      </c>
      <c r="K244" s="178">
        <f>IF(J244=0,0,J244+G244)</f>
        <v/>
      </c>
    </row>
    <row r="245">
      <c r="A245" s="47" t="n"/>
      <c r="B245" s="48" t="n"/>
      <c r="C245" s="49" t="n"/>
      <c r="D245" s="169" t="n"/>
      <c r="E245" s="50">
        <f>IFERROR(VLOOKUP(B245,'Dados B3'!A:G,2,FALSE),"-")</f>
        <v/>
      </c>
      <c r="F245" s="51">
        <f>IF(H245=P$4,(C245*(1)),IF(H245=P$3,(C245*(-1)),IF(H245=P$2,(C245*(1)))))</f>
        <v/>
      </c>
      <c r="G245" s="176">
        <f>F245*D245</f>
        <v/>
      </c>
      <c r="H245" s="52" t="inlineStr">
        <is>
          <t>COMPRA</t>
        </is>
      </c>
      <c r="I245" s="177" t="n"/>
      <c r="J245" s="178">
        <f>IF(H245="VENDA",I245*F245*-1,0)</f>
        <v/>
      </c>
      <c r="K245" s="178">
        <f>IF(J245=0,0,J245+G245)</f>
        <v/>
      </c>
    </row>
    <row r="246">
      <c r="A246" s="47" t="n"/>
      <c r="B246" s="48" t="n"/>
      <c r="C246" s="49" t="n"/>
      <c r="D246" s="169" t="n"/>
      <c r="E246" s="50">
        <f>IFERROR(VLOOKUP(B246,'Dados B3'!A:G,2,FALSE),"-")</f>
        <v/>
      </c>
      <c r="F246" s="51">
        <f>IF(H246=P$4,(C246*(1)),IF(H246=P$3,(C246*(-1)),IF(H246=P$2,(C246*(1)))))</f>
        <v/>
      </c>
      <c r="G246" s="176">
        <f>F246*D246</f>
        <v/>
      </c>
      <c r="H246" s="52" t="inlineStr">
        <is>
          <t>COMPRA</t>
        </is>
      </c>
      <c r="I246" s="177" t="n"/>
      <c r="J246" s="178">
        <f>IF(H246="VENDA",I246*F246*-1,0)</f>
        <v/>
      </c>
      <c r="K246" s="178">
        <f>IF(J246=0,0,J246+G246)</f>
        <v/>
      </c>
    </row>
    <row r="247">
      <c r="A247" s="47" t="n"/>
      <c r="B247" s="48" t="n"/>
      <c r="C247" s="49" t="n"/>
      <c r="D247" s="169" t="n"/>
      <c r="E247" s="50">
        <f>IFERROR(VLOOKUP(B247,'Dados B3'!A:G,2,FALSE),"-")</f>
        <v/>
      </c>
      <c r="F247" s="51">
        <f>IF(H247=P$4,(C247*(1)),IF(H247=P$3,(C247*(-1)),IF(H247=P$2,(C247*(1)))))</f>
        <v/>
      </c>
      <c r="G247" s="176">
        <f>F247*D247</f>
        <v/>
      </c>
      <c r="H247" s="52" t="inlineStr">
        <is>
          <t>COMPRA</t>
        </is>
      </c>
      <c r="I247" s="177" t="n"/>
      <c r="J247" s="178">
        <f>IF(H247="VENDA",I247*F247*-1,0)</f>
        <v/>
      </c>
      <c r="K247" s="178">
        <f>IF(J247=0,0,J247+G247)</f>
        <v/>
      </c>
    </row>
    <row r="248">
      <c r="A248" s="47" t="n"/>
      <c r="B248" s="48" t="n"/>
      <c r="C248" s="49" t="n"/>
      <c r="D248" s="169" t="n"/>
      <c r="E248" s="50">
        <f>IFERROR(VLOOKUP(B248,'Dados B3'!A:G,2,FALSE),"-")</f>
        <v/>
      </c>
      <c r="F248" s="51">
        <f>IF(H248=P$4,(C248*(1)),IF(H248=P$3,(C248*(-1)),IF(H248=P$2,(C248*(1)))))</f>
        <v/>
      </c>
      <c r="G248" s="176">
        <f>F248*D248</f>
        <v/>
      </c>
      <c r="H248" s="52" t="inlineStr">
        <is>
          <t>COMPRA</t>
        </is>
      </c>
      <c r="I248" s="177" t="n"/>
      <c r="J248" s="178">
        <f>IF(H248="VENDA",I248*F248*-1,0)</f>
        <v/>
      </c>
      <c r="K248" s="178">
        <f>IF(J248=0,0,J248+G248)</f>
        <v/>
      </c>
    </row>
    <row r="249">
      <c r="A249" s="47" t="n"/>
      <c r="B249" s="48" t="n"/>
      <c r="C249" s="49" t="n"/>
      <c r="D249" s="169" t="n"/>
      <c r="E249" s="50">
        <f>IFERROR(VLOOKUP(B249,'Dados B3'!A:G,2,FALSE),"-")</f>
        <v/>
      </c>
      <c r="F249" s="51">
        <f>IF(H249=P$4,(C249*(1)),IF(H249=P$3,(C249*(-1)),IF(H249=P$2,(C249*(1)))))</f>
        <v/>
      </c>
      <c r="G249" s="176">
        <f>F249*D249</f>
        <v/>
      </c>
      <c r="H249" s="52" t="inlineStr">
        <is>
          <t>COMPRA</t>
        </is>
      </c>
      <c r="I249" s="177" t="n"/>
      <c r="J249" s="178">
        <f>IF(H249="VENDA",I249*F249*-1,0)</f>
        <v/>
      </c>
      <c r="K249" s="178">
        <f>IF(J249=0,0,J249+G249)</f>
        <v/>
      </c>
    </row>
    <row r="250">
      <c r="A250" s="47" t="n"/>
      <c r="B250" s="48" t="n"/>
      <c r="C250" s="49" t="n"/>
      <c r="D250" s="169" t="n"/>
      <c r="E250" s="50">
        <f>IFERROR(VLOOKUP(B250,'Dados B3'!A:G,2,FALSE),"-")</f>
        <v/>
      </c>
      <c r="F250" s="51">
        <f>IF(H250=P$4,(C250*(1)),IF(H250=P$3,(C250*(-1)),IF(H250=P$2,(C250*(1)))))</f>
        <v/>
      </c>
      <c r="G250" s="176">
        <f>F250*D250</f>
        <v/>
      </c>
      <c r="H250" s="52" t="inlineStr">
        <is>
          <t>COMPRA</t>
        </is>
      </c>
      <c r="I250" s="177" t="n"/>
      <c r="J250" s="178">
        <f>IF(H250="VENDA",I250*F250*-1,0)</f>
        <v/>
      </c>
      <c r="K250" s="178">
        <f>IF(J250=0,0,J250+G250)</f>
        <v/>
      </c>
    </row>
    <row r="251">
      <c r="A251" s="47" t="n"/>
      <c r="B251" s="48" t="n"/>
      <c r="C251" s="49" t="n"/>
      <c r="D251" s="169" t="n"/>
      <c r="E251" s="50">
        <f>IFERROR(VLOOKUP(B251,'Dados B3'!A:G,2,FALSE),"-")</f>
        <v/>
      </c>
      <c r="F251" s="51">
        <f>IF(H251=P$4,(C251*(1)),IF(H251=P$3,(C251*(-1)),IF(H251=P$2,(C251*(1)))))</f>
        <v/>
      </c>
      <c r="G251" s="176">
        <f>F251*D251</f>
        <v/>
      </c>
      <c r="H251" s="52" t="inlineStr">
        <is>
          <t>COMPRA</t>
        </is>
      </c>
      <c r="I251" s="177" t="n"/>
      <c r="J251" s="178">
        <f>IF(H251="VENDA",I251*F251*-1,0)</f>
        <v/>
      </c>
      <c r="K251" s="178">
        <f>IF(J251=0,0,J251+G251)</f>
        <v/>
      </c>
    </row>
    <row r="252">
      <c r="A252" s="47" t="n"/>
      <c r="B252" s="48" t="n"/>
      <c r="C252" s="49" t="n"/>
      <c r="D252" s="169" t="n"/>
      <c r="E252" s="50">
        <f>IFERROR(VLOOKUP(B252,'Dados B3'!A:G,2,FALSE),"-")</f>
        <v/>
      </c>
      <c r="F252" s="51">
        <f>IF(H252=P$4,(C252*(1)),IF(H252=P$3,(C252*(-1)),IF(H252=P$2,(C252*(1)))))</f>
        <v/>
      </c>
      <c r="G252" s="176">
        <f>F252*D252</f>
        <v/>
      </c>
      <c r="H252" s="52" t="inlineStr">
        <is>
          <t>COMPRA</t>
        </is>
      </c>
      <c r="I252" s="177" t="n"/>
      <c r="J252" s="178">
        <f>IF(H252="VENDA",I252*F252*-1,0)</f>
        <v/>
      </c>
      <c r="K252" s="178">
        <f>IF(J252=0,0,J252+G252)</f>
        <v/>
      </c>
    </row>
    <row r="253">
      <c r="A253" s="47" t="n"/>
      <c r="B253" s="48" t="n"/>
      <c r="C253" s="49" t="n"/>
      <c r="D253" s="169" t="n"/>
      <c r="E253" s="50">
        <f>IFERROR(VLOOKUP(B253,'Dados B3'!A:G,2,FALSE),"-")</f>
        <v/>
      </c>
      <c r="F253" s="51">
        <f>IF(H253=P$4,(C253*(1)),IF(H253=P$3,(C253*(-1)),IF(H253=P$2,(C253*(1)))))</f>
        <v/>
      </c>
      <c r="G253" s="176">
        <f>F253*D253</f>
        <v/>
      </c>
      <c r="H253" s="52" t="inlineStr">
        <is>
          <t>COMPRA</t>
        </is>
      </c>
      <c r="I253" s="177" t="n"/>
      <c r="J253" s="178">
        <f>IF(H253="VENDA",I253*F253*-1,0)</f>
        <v/>
      </c>
      <c r="K253" s="178">
        <f>IF(J253=0,0,J253+G253)</f>
        <v/>
      </c>
    </row>
    <row r="254">
      <c r="A254" s="47" t="n"/>
      <c r="B254" s="48" t="n"/>
      <c r="C254" s="49" t="n"/>
      <c r="D254" s="169" t="n"/>
      <c r="E254" s="50">
        <f>IFERROR(VLOOKUP(B254,'Dados B3'!A:G,2,FALSE),"-")</f>
        <v/>
      </c>
      <c r="F254" s="51">
        <f>IF(H254=P$4,(C254*(1)),IF(H254=P$3,(C254*(-1)),IF(H254=P$2,(C254*(1)))))</f>
        <v/>
      </c>
      <c r="G254" s="176">
        <f>F254*D254</f>
        <v/>
      </c>
      <c r="H254" s="52" t="inlineStr">
        <is>
          <t>COMPRA</t>
        </is>
      </c>
      <c r="I254" s="177" t="n"/>
      <c r="J254" s="178">
        <f>IF(H254="VENDA",I254*F254*-1,0)</f>
        <v/>
      </c>
      <c r="K254" s="178">
        <f>IF(J254=0,0,J254+G254)</f>
        <v/>
      </c>
    </row>
    <row r="255">
      <c r="A255" s="47" t="n"/>
      <c r="B255" s="48" t="n"/>
      <c r="C255" s="49" t="n"/>
      <c r="D255" s="169" t="n"/>
      <c r="E255" s="50">
        <f>IFERROR(VLOOKUP(B255,'Dados B3'!A:G,2,FALSE),"-")</f>
        <v/>
      </c>
      <c r="F255" s="51">
        <f>IF(H255=P$4,(C255*(1)),IF(H255=P$3,(C255*(-1)),IF(H255=P$2,(C255*(1)))))</f>
        <v/>
      </c>
      <c r="G255" s="176">
        <f>F255*D255</f>
        <v/>
      </c>
      <c r="H255" s="52" t="inlineStr">
        <is>
          <t>COMPRA</t>
        </is>
      </c>
      <c r="I255" s="177" t="n"/>
      <c r="J255" s="178">
        <f>IF(H255="VENDA",I255*F255*-1,0)</f>
        <v/>
      </c>
      <c r="K255" s="178">
        <f>IF(J255=0,0,J255+G255)</f>
        <v/>
      </c>
    </row>
    <row r="256">
      <c r="A256" s="47" t="n"/>
      <c r="B256" s="48" t="n"/>
      <c r="C256" s="49" t="n"/>
      <c r="D256" s="169" t="n"/>
      <c r="E256" s="50">
        <f>IFERROR(VLOOKUP(B256,'Dados B3'!A:G,2,FALSE),"-")</f>
        <v/>
      </c>
      <c r="F256" s="51">
        <f>IF(H256=P$4,(C256*(1)),IF(H256=P$3,(C256*(-1)),IF(H256=P$2,(C256*(1)))))</f>
        <v/>
      </c>
      <c r="G256" s="176">
        <f>F256*D256</f>
        <v/>
      </c>
      <c r="H256" s="52" t="inlineStr">
        <is>
          <t>COMPRA</t>
        </is>
      </c>
      <c r="I256" s="177" t="n"/>
      <c r="J256" s="178">
        <f>IF(H256="VENDA",I256*F256*-1,0)</f>
        <v/>
      </c>
      <c r="K256" s="178">
        <f>IF(J256=0,0,J256+G256)</f>
        <v/>
      </c>
    </row>
    <row r="257">
      <c r="A257" s="47" t="n"/>
      <c r="B257" s="48" t="n"/>
      <c r="C257" s="49" t="n"/>
      <c r="D257" s="169" t="n"/>
      <c r="E257" s="50">
        <f>IFERROR(VLOOKUP(B257,'Dados B3'!A:G,2,FALSE),"-")</f>
        <v/>
      </c>
      <c r="F257" s="51">
        <f>IF(H257=P$4,(C257*(1)),IF(H257=P$3,(C257*(-1)),IF(H257=P$2,(C257*(1)))))</f>
        <v/>
      </c>
      <c r="G257" s="176">
        <f>F257*D257</f>
        <v/>
      </c>
      <c r="H257" s="52" t="inlineStr">
        <is>
          <t>COMPRA</t>
        </is>
      </c>
      <c r="I257" s="177" t="n"/>
      <c r="J257" s="178">
        <f>IF(H257="VENDA",I257*F257*-1,0)</f>
        <v/>
      </c>
      <c r="K257" s="178">
        <f>IF(J257=0,0,J257+G257)</f>
        <v/>
      </c>
    </row>
    <row r="258">
      <c r="A258" s="47" t="n"/>
      <c r="B258" s="48" t="n"/>
      <c r="C258" s="49" t="n"/>
      <c r="D258" s="169" t="n"/>
      <c r="E258" s="50">
        <f>IFERROR(VLOOKUP(B258,'Dados B3'!A:G,2,FALSE),"-")</f>
        <v/>
      </c>
      <c r="F258" s="51">
        <f>IF(H258=P$4,(C258*(1)),IF(H258=P$3,(C258*(-1)),IF(H258=P$2,(C258*(1)))))</f>
        <v/>
      </c>
      <c r="G258" s="176">
        <f>F258*D258</f>
        <v/>
      </c>
      <c r="H258" s="52" t="inlineStr">
        <is>
          <t>COMPRA</t>
        </is>
      </c>
      <c r="I258" s="177" t="n"/>
      <c r="J258" s="178">
        <f>IF(H258="VENDA",I258*F258*-1,0)</f>
        <v/>
      </c>
      <c r="K258" s="178">
        <f>IF(J258=0,0,J258+G258)</f>
        <v/>
      </c>
    </row>
    <row r="259">
      <c r="A259" s="47" t="n"/>
      <c r="B259" s="48" t="n"/>
      <c r="C259" s="49" t="n"/>
      <c r="D259" s="169" t="n"/>
      <c r="E259" s="50">
        <f>IFERROR(VLOOKUP(B259,'Dados B3'!A:G,2,FALSE),"-")</f>
        <v/>
      </c>
      <c r="F259" s="51">
        <f>IF(H259=P$4,(C259*(1)),IF(H259=P$3,(C259*(-1)),IF(H259=P$2,(C259*(1)))))</f>
        <v/>
      </c>
      <c r="G259" s="176">
        <f>F259*D259</f>
        <v/>
      </c>
      <c r="H259" s="52" t="inlineStr">
        <is>
          <t>COMPRA</t>
        </is>
      </c>
      <c r="I259" s="177" t="n"/>
      <c r="J259" s="178">
        <f>IF(H259="VENDA",I259*F259*-1,0)</f>
        <v/>
      </c>
      <c r="K259" s="178">
        <f>IF(J259=0,0,J259+G259)</f>
        <v/>
      </c>
    </row>
    <row r="260">
      <c r="A260" s="47" t="n"/>
      <c r="B260" s="48" t="n"/>
      <c r="C260" s="49" t="n"/>
      <c r="D260" s="169" t="n"/>
      <c r="E260" s="50">
        <f>IFERROR(VLOOKUP(B260,'Dados B3'!A:G,2,FALSE),"-")</f>
        <v/>
      </c>
      <c r="F260" s="51">
        <f>IF(H260=P$4,(C260*(1)),IF(H260=P$3,(C260*(-1)),IF(H260=P$2,(C260*(1)))))</f>
        <v/>
      </c>
      <c r="G260" s="176">
        <f>F260*D260</f>
        <v/>
      </c>
      <c r="H260" s="52" t="inlineStr">
        <is>
          <t>COMPRA</t>
        </is>
      </c>
      <c r="I260" s="177" t="n"/>
      <c r="J260" s="178">
        <f>IF(H260="VENDA",I260*F260*-1,0)</f>
        <v/>
      </c>
      <c r="K260" s="178">
        <f>IF(J260=0,0,J260+G260)</f>
        <v/>
      </c>
    </row>
    <row r="261">
      <c r="A261" s="47" t="n"/>
      <c r="B261" s="48" t="n"/>
      <c r="C261" s="49" t="n"/>
      <c r="D261" s="169" t="n"/>
      <c r="E261" s="50">
        <f>IFERROR(VLOOKUP(B261,'Dados B3'!A:G,2,FALSE),"-")</f>
        <v/>
      </c>
      <c r="F261" s="51">
        <f>IF(H261=P$4,(C261*(1)),IF(H261=P$3,(C261*(-1)),IF(H261=P$2,(C261*(1)))))</f>
        <v/>
      </c>
      <c r="G261" s="176">
        <f>F261*D261</f>
        <v/>
      </c>
      <c r="H261" s="52" t="inlineStr">
        <is>
          <t>COMPRA</t>
        </is>
      </c>
      <c r="I261" s="177" t="n"/>
      <c r="J261" s="178">
        <f>IF(H261="VENDA",I261*F261*-1,0)</f>
        <v/>
      </c>
      <c r="K261" s="178">
        <f>IF(J261=0,0,J261+G261)</f>
        <v/>
      </c>
    </row>
    <row r="262">
      <c r="A262" s="47" t="n"/>
      <c r="B262" s="48" t="n"/>
      <c r="C262" s="49" t="n"/>
      <c r="D262" s="169" t="n"/>
      <c r="E262" s="50">
        <f>IFERROR(VLOOKUP(B262,'Dados B3'!A:G,2,FALSE),"-")</f>
        <v/>
      </c>
      <c r="F262" s="51">
        <f>IF(H262=P$4,(C262*(1)),IF(H262=P$3,(C262*(-1)),IF(H262=P$2,(C262*(1)))))</f>
        <v/>
      </c>
      <c r="G262" s="176">
        <f>F262*D262</f>
        <v/>
      </c>
      <c r="H262" s="52" t="inlineStr">
        <is>
          <t>COMPRA</t>
        </is>
      </c>
      <c r="I262" s="177" t="n"/>
      <c r="J262" s="178">
        <f>IF(H262="VENDA",I262*F262*-1,0)</f>
        <v/>
      </c>
      <c r="K262" s="178">
        <f>IF(J262=0,0,J262+G262)</f>
        <v/>
      </c>
    </row>
    <row r="263">
      <c r="A263" s="47" t="n"/>
      <c r="B263" s="48" t="n"/>
      <c r="C263" s="49" t="n"/>
      <c r="D263" s="169" t="n"/>
      <c r="E263" s="50">
        <f>IFERROR(VLOOKUP(B263,'Dados B3'!A:G,2,FALSE),"-")</f>
        <v/>
      </c>
      <c r="F263" s="51">
        <f>IF(H263=P$4,(C263*(1)),IF(H263=P$3,(C263*(-1)),IF(H263=P$2,(C263*(1)))))</f>
        <v/>
      </c>
      <c r="G263" s="176">
        <f>F263*D263</f>
        <v/>
      </c>
      <c r="H263" s="52" t="inlineStr">
        <is>
          <t>COMPRA</t>
        </is>
      </c>
      <c r="I263" s="177" t="n"/>
      <c r="J263" s="178">
        <f>IF(H263="VENDA",I263*F263*-1,0)</f>
        <v/>
      </c>
      <c r="K263" s="178">
        <f>IF(J263=0,0,J263+G263)</f>
        <v/>
      </c>
    </row>
    <row r="264">
      <c r="A264" s="47" t="n"/>
      <c r="B264" s="48" t="n"/>
      <c r="C264" s="49" t="n"/>
      <c r="D264" s="169" t="n"/>
      <c r="E264" s="50">
        <f>IFERROR(VLOOKUP(B264,'Dados B3'!A:G,2,FALSE),"-")</f>
        <v/>
      </c>
      <c r="F264" s="51">
        <f>IF(H264=P$4,(C264*(1)),IF(H264=P$3,(C264*(-1)),IF(H264=P$2,(C264*(1)))))</f>
        <v/>
      </c>
      <c r="G264" s="176">
        <f>F264*D264</f>
        <v/>
      </c>
      <c r="H264" s="52" t="inlineStr">
        <is>
          <t>COMPRA</t>
        </is>
      </c>
      <c r="I264" s="177" t="n"/>
      <c r="J264" s="178">
        <f>IF(H264="VENDA",I264*F264*-1,0)</f>
        <v/>
      </c>
      <c r="K264" s="178">
        <f>IF(J264=0,0,J264+G264)</f>
        <v/>
      </c>
    </row>
    <row r="265">
      <c r="A265" s="47" t="n"/>
      <c r="B265" s="48" t="n"/>
      <c r="C265" s="49" t="n"/>
      <c r="D265" s="169" t="n"/>
      <c r="E265" s="50">
        <f>IFERROR(VLOOKUP(B265,'Dados B3'!A:G,2,FALSE),"-")</f>
        <v/>
      </c>
      <c r="F265" s="51">
        <f>IF(H265=P$4,(C265*(1)),IF(H265=P$3,(C265*(-1)),IF(H265=P$2,(C265*(1)))))</f>
        <v/>
      </c>
      <c r="G265" s="176">
        <f>F265*D265</f>
        <v/>
      </c>
      <c r="H265" s="52" t="inlineStr">
        <is>
          <t>COMPRA</t>
        </is>
      </c>
      <c r="I265" s="177" t="n"/>
      <c r="J265" s="178">
        <f>IF(H265="VENDA",I265*F265*-1,0)</f>
        <v/>
      </c>
      <c r="K265" s="178">
        <f>IF(J265=0,0,J265+G265)</f>
        <v/>
      </c>
    </row>
    <row r="266">
      <c r="A266" s="47" t="n"/>
      <c r="B266" s="48" t="n"/>
      <c r="C266" s="49" t="n"/>
      <c r="D266" s="169" t="n"/>
      <c r="E266" s="50">
        <f>IFERROR(VLOOKUP(B266,'Dados B3'!A:G,2,FALSE),"-")</f>
        <v/>
      </c>
      <c r="F266" s="51">
        <f>IF(H266=P$4,(C266*(1)),IF(H266=P$3,(C266*(-1)),IF(H266=P$2,(C266*(1)))))</f>
        <v/>
      </c>
      <c r="G266" s="176">
        <f>F266*D266</f>
        <v/>
      </c>
      <c r="H266" s="52" t="inlineStr">
        <is>
          <t>COMPRA</t>
        </is>
      </c>
      <c r="I266" s="177" t="n"/>
      <c r="J266" s="178">
        <f>IF(H266="VENDA",I266*F266*-1,0)</f>
        <v/>
      </c>
      <c r="K266" s="178">
        <f>IF(J266=0,0,J266+G266)</f>
        <v/>
      </c>
    </row>
    <row r="267">
      <c r="A267" s="47" t="n"/>
      <c r="B267" s="48" t="n"/>
      <c r="C267" s="49" t="n"/>
      <c r="D267" s="169" t="n"/>
      <c r="E267" s="50">
        <f>IFERROR(VLOOKUP(B267,'Dados B3'!A:G,2,FALSE),"-")</f>
        <v/>
      </c>
      <c r="F267" s="51">
        <f>IF(H267=P$4,(C267*(1)),IF(H267=P$3,(C267*(-1)),IF(H267=P$2,(C267*(1)))))</f>
        <v/>
      </c>
      <c r="G267" s="176">
        <f>F267*D267</f>
        <v/>
      </c>
      <c r="H267" s="52" t="inlineStr">
        <is>
          <t>COMPRA</t>
        </is>
      </c>
      <c r="I267" s="177" t="n"/>
      <c r="J267" s="178">
        <f>IF(H267="VENDA",I267*F267*-1,0)</f>
        <v/>
      </c>
      <c r="K267" s="178">
        <f>IF(J267=0,0,J267+G267)</f>
        <v/>
      </c>
    </row>
    <row r="268">
      <c r="A268" s="47" t="n"/>
      <c r="B268" s="48" t="n"/>
      <c r="C268" s="49" t="n"/>
      <c r="D268" s="169" t="n"/>
      <c r="E268" s="50">
        <f>IFERROR(VLOOKUP(B268,'Dados B3'!A:G,2,FALSE),"-")</f>
        <v/>
      </c>
      <c r="F268" s="51">
        <f>IF(H268=P$4,(C268*(1)),IF(H268=P$3,(C268*(-1)),IF(H268=P$2,(C268*(1)))))</f>
        <v/>
      </c>
      <c r="G268" s="176">
        <f>F268*D268</f>
        <v/>
      </c>
      <c r="H268" s="52" t="inlineStr">
        <is>
          <t>COMPRA</t>
        </is>
      </c>
      <c r="I268" s="177" t="n"/>
      <c r="J268" s="178">
        <f>IF(H268="VENDA",I268*F268*-1,0)</f>
        <v/>
      </c>
      <c r="K268" s="178">
        <f>IF(J268=0,0,J268+G268)</f>
        <v/>
      </c>
    </row>
    <row r="269">
      <c r="A269" s="47" t="n"/>
      <c r="B269" s="48" t="n"/>
      <c r="C269" s="49" t="n"/>
      <c r="D269" s="169" t="n"/>
      <c r="E269" s="50">
        <f>IFERROR(VLOOKUP(B269,'Dados B3'!A:G,2,FALSE),"-")</f>
        <v/>
      </c>
      <c r="F269" s="51">
        <f>IF(H269=P$4,(C269*(1)),IF(H269=P$3,(C269*(-1)),IF(H269=P$2,(C269*(1)))))</f>
        <v/>
      </c>
      <c r="G269" s="176">
        <f>F269*D269</f>
        <v/>
      </c>
      <c r="H269" s="52" t="inlineStr">
        <is>
          <t>COMPRA</t>
        </is>
      </c>
      <c r="I269" s="177" t="n"/>
      <c r="J269" s="178">
        <f>IF(H269="VENDA",I269*F269*-1,0)</f>
        <v/>
      </c>
      <c r="K269" s="178">
        <f>IF(J269=0,0,J269+G269)</f>
        <v/>
      </c>
    </row>
    <row r="270">
      <c r="A270" s="47" t="n"/>
      <c r="B270" s="48" t="n"/>
      <c r="C270" s="49" t="n"/>
      <c r="D270" s="169" t="n"/>
      <c r="E270" s="50">
        <f>IFERROR(VLOOKUP(B270,'Dados B3'!A:G,2,FALSE),"-")</f>
        <v/>
      </c>
      <c r="F270" s="51">
        <f>IF(H270=P$4,(C270*(1)),IF(H270=P$3,(C270*(-1)),IF(H270=P$2,(C270*(1)))))</f>
        <v/>
      </c>
      <c r="G270" s="176">
        <f>F270*D270</f>
        <v/>
      </c>
      <c r="H270" s="52" t="inlineStr">
        <is>
          <t>COMPRA</t>
        </is>
      </c>
      <c r="I270" s="177" t="n"/>
      <c r="J270" s="178">
        <f>IF(H270="VENDA",I270*F270*-1,0)</f>
        <v/>
      </c>
      <c r="K270" s="178">
        <f>IF(J270=0,0,J270+G270)</f>
        <v/>
      </c>
    </row>
    <row r="271">
      <c r="A271" s="47" t="n"/>
      <c r="B271" s="48" t="n"/>
      <c r="C271" s="49" t="n"/>
      <c r="D271" s="169" t="n"/>
      <c r="E271" s="50">
        <f>IFERROR(VLOOKUP(B271,'Dados B3'!A:G,2,FALSE),"-")</f>
        <v/>
      </c>
      <c r="F271" s="51">
        <f>IF(H271=P$4,(C271*(1)),IF(H271=P$3,(C271*(-1)),IF(H271=P$2,(C271*(1)))))</f>
        <v/>
      </c>
      <c r="G271" s="176">
        <f>F271*D271</f>
        <v/>
      </c>
      <c r="H271" s="52" t="inlineStr">
        <is>
          <t>COMPRA</t>
        </is>
      </c>
      <c r="I271" s="177" t="n"/>
      <c r="J271" s="178">
        <f>IF(H271="VENDA",I271*F271*-1,0)</f>
        <v/>
      </c>
      <c r="K271" s="178">
        <f>IF(J271=0,0,J271+G271)</f>
        <v/>
      </c>
    </row>
    <row r="272">
      <c r="A272" s="47" t="n"/>
      <c r="B272" s="48" t="n"/>
      <c r="C272" s="49" t="n"/>
      <c r="D272" s="169" t="n"/>
      <c r="E272" s="50">
        <f>IFERROR(VLOOKUP(B272,'Dados B3'!A:G,2,FALSE),"-")</f>
        <v/>
      </c>
      <c r="F272" s="51">
        <f>IF(H272=P$4,(C272*(1)),IF(H272=P$3,(C272*(-1)),IF(H272=P$2,(C272*(1)))))</f>
        <v/>
      </c>
      <c r="G272" s="176">
        <f>F272*D272</f>
        <v/>
      </c>
      <c r="H272" s="52" t="inlineStr">
        <is>
          <t>COMPRA</t>
        </is>
      </c>
      <c r="I272" s="177" t="n"/>
      <c r="J272" s="178">
        <f>IF(H272="VENDA",I272*F272*-1,0)</f>
        <v/>
      </c>
      <c r="K272" s="178">
        <f>IF(J272=0,0,J272+G272)</f>
        <v/>
      </c>
    </row>
    <row r="273">
      <c r="A273" s="47" t="n"/>
      <c r="B273" s="48" t="n"/>
      <c r="C273" s="49" t="n"/>
      <c r="D273" s="169" t="n"/>
      <c r="E273" s="50">
        <f>IFERROR(VLOOKUP(B273,'Dados B3'!A:G,2,FALSE),"-")</f>
        <v/>
      </c>
      <c r="F273" s="51">
        <f>IF(H273=P$4,(C273*(1)),IF(H273=P$3,(C273*(-1)),IF(H273=P$2,(C273*(1)))))</f>
        <v/>
      </c>
      <c r="G273" s="176">
        <f>F273*D273</f>
        <v/>
      </c>
      <c r="H273" s="52" t="inlineStr">
        <is>
          <t>COMPRA</t>
        </is>
      </c>
      <c r="I273" s="177" t="n"/>
      <c r="J273" s="178">
        <f>IF(H273="VENDA",I273*F273*-1,0)</f>
        <v/>
      </c>
      <c r="K273" s="178">
        <f>IF(J273=0,0,J273+G273)</f>
        <v/>
      </c>
    </row>
    <row r="274">
      <c r="A274" s="47" t="n"/>
      <c r="B274" s="48" t="n"/>
      <c r="C274" s="49" t="n"/>
      <c r="D274" s="169" t="n"/>
      <c r="E274" s="50">
        <f>IFERROR(VLOOKUP(B274,'Dados B3'!A:G,2,FALSE),"-")</f>
        <v/>
      </c>
      <c r="F274" s="51">
        <f>IF(H274=P$4,(C274*(1)),IF(H274=P$3,(C274*(-1)),IF(H274=P$2,(C274*(1)))))</f>
        <v/>
      </c>
      <c r="G274" s="176">
        <f>F274*D274</f>
        <v/>
      </c>
      <c r="H274" s="52" t="inlineStr">
        <is>
          <t>COMPRA</t>
        </is>
      </c>
      <c r="I274" s="177" t="n"/>
      <c r="J274" s="178">
        <f>IF(H274="VENDA",I274*F274*-1,0)</f>
        <v/>
      </c>
      <c r="K274" s="178">
        <f>IF(J274=0,0,J274+G274)</f>
        <v/>
      </c>
    </row>
    <row r="275">
      <c r="A275" s="47" t="n"/>
      <c r="B275" s="48" t="n"/>
      <c r="C275" s="49" t="n"/>
      <c r="D275" s="169" t="n"/>
      <c r="E275" s="50">
        <f>IFERROR(VLOOKUP(B275,'Dados B3'!A:G,2,FALSE),"-")</f>
        <v/>
      </c>
      <c r="F275" s="51">
        <f>IF(H275=P$4,(C275*(1)),IF(H275=P$3,(C275*(-1)),IF(H275=P$2,(C275*(1)))))</f>
        <v/>
      </c>
      <c r="G275" s="176">
        <f>F275*D275</f>
        <v/>
      </c>
      <c r="H275" s="52" t="inlineStr">
        <is>
          <t>COMPRA</t>
        </is>
      </c>
      <c r="I275" s="177" t="n"/>
      <c r="J275" s="178">
        <f>IF(H275="VENDA",I275*F275*-1,0)</f>
        <v/>
      </c>
      <c r="K275" s="178">
        <f>IF(J275=0,0,J275+G275)</f>
        <v/>
      </c>
    </row>
    <row r="276">
      <c r="A276" s="47" t="n"/>
      <c r="B276" s="48" t="n"/>
      <c r="C276" s="49" t="n"/>
      <c r="D276" s="169" t="n"/>
      <c r="E276" s="50">
        <f>IFERROR(VLOOKUP(B276,'Dados B3'!A:G,2,FALSE),"-")</f>
        <v/>
      </c>
      <c r="F276" s="51">
        <f>IF(H276=P$4,(C276*(1)),IF(H276=P$3,(C276*(-1)),IF(H276=P$2,(C276*(1)))))</f>
        <v/>
      </c>
      <c r="G276" s="176">
        <f>F276*D276</f>
        <v/>
      </c>
      <c r="H276" s="52" t="inlineStr">
        <is>
          <t>COMPRA</t>
        </is>
      </c>
      <c r="I276" s="177" t="n"/>
      <c r="J276" s="178">
        <f>IF(H276="VENDA",I276*F276*-1,0)</f>
        <v/>
      </c>
      <c r="K276" s="178">
        <f>IF(J276=0,0,J276+G276)</f>
        <v/>
      </c>
    </row>
    <row r="277">
      <c r="A277" s="47" t="n"/>
      <c r="B277" s="48" t="n"/>
      <c r="C277" s="49" t="n"/>
      <c r="D277" s="169" t="n"/>
      <c r="E277" s="50">
        <f>IFERROR(VLOOKUP(B277,'Dados B3'!A:G,2,FALSE),"-")</f>
        <v/>
      </c>
      <c r="F277" s="51">
        <f>IF(H277=P$4,(C277*(1)),IF(H277=P$3,(C277*(-1)),IF(H277=P$2,(C277*(1)))))</f>
        <v/>
      </c>
      <c r="G277" s="176">
        <f>F277*D277</f>
        <v/>
      </c>
      <c r="H277" s="52" t="inlineStr">
        <is>
          <t>COMPRA</t>
        </is>
      </c>
      <c r="I277" s="177" t="n"/>
      <c r="J277" s="178">
        <f>IF(H277="VENDA",I277*F277*-1,0)</f>
        <v/>
      </c>
      <c r="K277" s="178">
        <f>IF(J277=0,0,J277+G277)</f>
        <v/>
      </c>
    </row>
    <row r="278">
      <c r="A278" s="47" t="n"/>
      <c r="B278" s="48" t="n"/>
      <c r="C278" s="49" t="n"/>
      <c r="D278" s="169" t="n"/>
      <c r="E278" s="50">
        <f>IFERROR(VLOOKUP(B278,'Dados B3'!A:G,2,FALSE),"-")</f>
        <v/>
      </c>
      <c r="F278" s="51">
        <f>IF(H278=P$4,(C278*(1)),IF(H278=P$3,(C278*(-1)),IF(H278=P$2,(C278*(1)))))</f>
        <v/>
      </c>
      <c r="G278" s="176">
        <f>F278*D278</f>
        <v/>
      </c>
      <c r="H278" s="52" t="inlineStr">
        <is>
          <t>COMPRA</t>
        </is>
      </c>
      <c r="I278" s="177" t="n"/>
      <c r="J278" s="178">
        <f>IF(H278="VENDA",I278*F278*-1,0)</f>
        <v/>
      </c>
      <c r="K278" s="178">
        <f>IF(J278=0,0,J278+G278)</f>
        <v/>
      </c>
    </row>
    <row r="279">
      <c r="A279" s="47" t="n"/>
      <c r="B279" s="48" t="n"/>
      <c r="C279" s="49" t="n"/>
      <c r="D279" s="169" t="n"/>
      <c r="E279" s="50">
        <f>IFERROR(VLOOKUP(B279,'Dados B3'!A:G,2,FALSE),"-")</f>
        <v/>
      </c>
      <c r="F279" s="51">
        <f>IF(H279=P$4,(C279*(1)),IF(H279=P$3,(C279*(-1)),IF(H279=P$2,(C279*(1)))))</f>
        <v/>
      </c>
      <c r="G279" s="176">
        <f>F279*D279</f>
        <v/>
      </c>
      <c r="H279" s="52" t="inlineStr">
        <is>
          <t>COMPRA</t>
        </is>
      </c>
      <c r="I279" s="177" t="n"/>
      <c r="J279" s="178">
        <f>IF(H279="VENDA",I279*F279*-1,0)</f>
        <v/>
      </c>
      <c r="K279" s="178">
        <f>IF(J279=0,0,J279+G279)</f>
        <v/>
      </c>
    </row>
    <row r="280">
      <c r="A280" s="47" t="n"/>
      <c r="B280" s="48" t="n"/>
      <c r="C280" s="49" t="n"/>
      <c r="D280" s="169" t="n"/>
      <c r="E280" s="50">
        <f>IFERROR(VLOOKUP(B280,'Dados B3'!A:G,2,FALSE),"-")</f>
        <v/>
      </c>
      <c r="F280" s="51">
        <f>IF(H280=P$4,(C280*(1)),IF(H280=P$3,(C280*(-1)),IF(H280=P$2,(C280*(1)))))</f>
        <v/>
      </c>
      <c r="G280" s="176">
        <f>F280*D280</f>
        <v/>
      </c>
      <c r="H280" s="52" t="inlineStr">
        <is>
          <t>COMPRA</t>
        </is>
      </c>
      <c r="I280" s="177" t="n"/>
      <c r="J280" s="178">
        <f>IF(H280="VENDA",I280*F280*-1,0)</f>
        <v/>
      </c>
      <c r="K280" s="178">
        <f>IF(J280=0,0,J280+G280)</f>
        <v/>
      </c>
    </row>
    <row r="281">
      <c r="A281" s="47" t="n"/>
      <c r="B281" s="48" t="n"/>
      <c r="C281" s="49" t="n"/>
      <c r="D281" s="169" t="n"/>
      <c r="E281" s="50">
        <f>IFERROR(VLOOKUP(B281,'Dados B3'!A:G,2,FALSE),"-")</f>
        <v/>
      </c>
      <c r="F281" s="51">
        <f>IF(H281=P$4,(C281*(1)),IF(H281=P$3,(C281*(-1)),IF(H281=P$2,(C281*(1)))))</f>
        <v/>
      </c>
      <c r="G281" s="176">
        <f>F281*D281</f>
        <v/>
      </c>
      <c r="H281" s="52" t="inlineStr">
        <is>
          <t>COMPRA</t>
        </is>
      </c>
      <c r="I281" s="177" t="n"/>
      <c r="J281" s="178">
        <f>IF(H281="VENDA",I281*F281*-1,0)</f>
        <v/>
      </c>
      <c r="K281" s="178">
        <f>IF(J281=0,0,J281+G281)</f>
        <v/>
      </c>
    </row>
    <row r="282">
      <c r="A282" s="47" t="n"/>
      <c r="B282" s="48" t="n"/>
      <c r="C282" s="49" t="n"/>
      <c r="D282" s="169" t="n"/>
      <c r="E282" s="50">
        <f>IFERROR(VLOOKUP(B282,'Dados B3'!A:G,2,FALSE),"-")</f>
        <v/>
      </c>
      <c r="F282" s="51">
        <f>IF(H282=P$4,(C282*(1)),IF(H282=P$3,(C282*(-1)),IF(H282=P$2,(C282*(1)))))</f>
        <v/>
      </c>
      <c r="G282" s="176">
        <f>F282*D282</f>
        <v/>
      </c>
      <c r="H282" s="52" t="inlineStr">
        <is>
          <t>COMPRA</t>
        </is>
      </c>
      <c r="I282" s="177" t="n"/>
      <c r="J282" s="178">
        <f>IF(H282="VENDA",I282*F282*-1,0)</f>
        <v/>
      </c>
      <c r="K282" s="178">
        <f>IF(J282=0,0,J282+G282)</f>
        <v/>
      </c>
    </row>
    <row r="283">
      <c r="A283" s="47" t="n"/>
      <c r="B283" s="48" t="n"/>
      <c r="C283" s="49" t="n"/>
      <c r="D283" s="169" t="n"/>
      <c r="E283" s="50">
        <f>IFERROR(VLOOKUP(B283,'Dados B3'!A:G,2,FALSE),"-")</f>
        <v/>
      </c>
      <c r="F283" s="51">
        <f>IF(H283=P$4,(C283*(1)),IF(H283=P$3,(C283*(-1)),IF(H283=P$2,(C283*(1)))))</f>
        <v/>
      </c>
      <c r="G283" s="176">
        <f>F283*D283</f>
        <v/>
      </c>
      <c r="H283" s="52" t="inlineStr">
        <is>
          <t>COMPRA</t>
        </is>
      </c>
      <c r="I283" s="177" t="n"/>
      <c r="J283" s="178">
        <f>IF(H283="VENDA",I283*F283*-1,0)</f>
        <v/>
      </c>
      <c r="K283" s="178">
        <f>IF(J283=0,0,J283+G283)</f>
        <v/>
      </c>
    </row>
    <row r="284">
      <c r="A284" s="47" t="n"/>
      <c r="B284" s="48" t="n"/>
      <c r="C284" s="49" t="n"/>
      <c r="D284" s="169" t="n"/>
      <c r="E284" s="50">
        <f>IFERROR(VLOOKUP(B284,'Dados B3'!A:G,2,FALSE),"-")</f>
        <v/>
      </c>
      <c r="F284" s="51">
        <f>IF(H284=P$4,(C284*(1)),IF(H284=P$3,(C284*(-1)),IF(H284=P$2,(C284*(1)))))</f>
        <v/>
      </c>
      <c r="G284" s="176">
        <f>F284*D284</f>
        <v/>
      </c>
      <c r="H284" s="52" t="inlineStr">
        <is>
          <t>COMPRA</t>
        </is>
      </c>
      <c r="I284" s="177" t="n"/>
      <c r="J284" s="178">
        <f>IF(H284="VENDA",I284*F284*-1,0)</f>
        <v/>
      </c>
      <c r="K284" s="178">
        <f>IF(J284=0,0,J284+G284)</f>
        <v/>
      </c>
    </row>
    <row r="285">
      <c r="A285" s="47" t="n"/>
      <c r="B285" s="48" t="n"/>
      <c r="C285" s="49" t="n"/>
      <c r="D285" s="169" t="n"/>
      <c r="E285" s="50">
        <f>IFERROR(VLOOKUP(B285,'Dados B3'!A:G,2,FALSE),"-")</f>
        <v/>
      </c>
      <c r="F285" s="51">
        <f>IF(H285=P$4,(C285*(1)),IF(H285=P$3,(C285*(-1)),IF(H285=P$2,(C285*(1)))))</f>
        <v/>
      </c>
      <c r="G285" s="176">
        <f>F285*D285</f>
        <v/>
      </c>
      <c r="H285" s="52" t="inlineStr">
        <is>
          <t>COMPRA</t>
        </is>
      </c>
      <c r="I285" s="177" t="n"/>
      <c r="J285" s="178">
        <f>IF(H285="VENDA",I285*F285*-1,0)</f>
        <v/>
      </c>
      <c r="K285" s="178">
        <f>IF(J285=0,0,J285+G285)</f>
        <v/>
      </c>
    </row>
    <row r="286">
      <c r="A286" s="47" t="n"/>
      <c r="B286" s="48" t="n"/>
      <c r="C286" s="49" t="n"/>
      <c r="D286" s="169" t="n"/>
      <c r="E286" s="50">
        <f>IFERROR(VLOOKUP(B286,'Dados B3'!A:G,2,FALSE),"-")</f>
        <v/>
      </c>
      <c r="F286" s="51">
        <f>IF(H286=P$4,(C286*(1)),IF(H286=P$3,(C286*(-1)),IF(H286=P$2,(C286*(1)))))</f>
        <v/>
      </c>
      <c r="G286" s="176">
        <f>F286*D286</f>
        <v/>
      </c>
      <c r="H286" s="52" t="inlineStr">
        <is>
          <t>COMPRA</t>
        </is>
      </c>
      <c r="I286" s="177" t="n"/>
      <c r="J286" s="178">
        <f>IF(H286="VENDA",I286*F286*-1,0)</f>
        <v/>
      </c>
      <c r="K286" s="178">
        <f>IF(J286=0,0,J286+G286)</f>
        <v/>
      </c>
    </row>
    <row r="287">
      <c r="A287" s="47" t="n"/>
      <c r="B287" s="48" t="n"/>
      <c r="C287" s="49" t="n"/>
      <c r="D287" s="169" t="n"/>
      <c r="E287" s="50">
        <f>IFERROR(VLOOKUP(B287,'Dados B3'!A:G,2,FALSE),"-")</f>
        <v/>
      </c>
      <c r="F287" s="51">
        <f>IF(H287=P$4,(C287*(1)),IF(H287=P$3,(C287*(-1)),IF(H287=P$2,(C287*(1)))))</f>
        <v/>
      </c>
      <c r="G287" s="176">
        <f>F287*D287</f>
        <v/>
      </c>
      <c r="H287" s="52" t="inlineStr">
        <is>
          <t>COMPRA</t>
        </is>
      </c>
      <c r="I287" s="177" t="n"/>
      <c r="J287" s="178">
        <f>IF(H287="VENDA",I287*F287*-1,0)</f>
        <v/>
      </c>
      <c r="K287" s="178">
        <f>IF(J287=0,0,J287+G287)</f>
        <v/>
      </c>
    </row>
    <row r="288">
      <c r="A288" s="47" t="n"/>
      <c r="B288" s="48" t="n"/>
      <c r="C288" s="49" t="n"/>
      <c r="D288" s="169" t="n"/>
      <c r="E288" s="50">
        <f>IFERROR(VLOOKUP(B288,'Dados B3'!A:G,2,FALSE),"-")</f>
        <v/>
      </c>
      <c r="F288" s="51">
        <f>IF(H288=P$4,(C288*(1)),IF(H288=P$3,(C288*(-1)),IF(H288=P$2,(C288*(1)))))</f>
        <v/>
      </c>
      <c r="G288" s="176">
        <f>F288*D288</f>
        <v/>
      </c>
      <c r="H288" s="52" t="inlineStr">
        <is>
          <t>COMPRA</t>
        </is>
      </c>
      <c r="I288" s="177" t="n"/>
      <c r="J288" s="178">
        <f>IF(H288="VENDA",I288*F288*-1,0)</f>
        <v/>
      </c>
      <c r="K288" s="178">
        <f>IF(J288=0,0,J288+G288)</f>
        <v/>
      </c>
    </row>
    <row r="289">
      <c r="A289" s="47" t="n"/>
      <c r="B289" s="48" t="n"/>
      <c r="C289" s="49" t="n"/>
      <c r="D289" s="169" t="n"/>
      <c r="E289" s="50">
        <f>IFERROR(VLOOKUP(B289,'Dados B3'!A:G,2,FALSE),"-")</f>
        <v/>
      </c>
      <c r="F289" s="51">
        <f>IF(H289=P$4,(C289*(1)),IF(H289=P$3,(C289*(-1)),IF(H289=P$2,(C289*(1)))))</f>
        <v/>
      </c>
      <c r="G289" s="176">
        <f>F289*D289</f>
        <v/>
      </c>
      <c r="H289" s="52" t="inlineStr">
        <is>
          <t>COMPRA</t>
        </is>
      </c>
      <c r="I289" s="177" t="n"/>
      <c r="J289" s="178">
        <f>IF(H289="VENDA",I289*F289*-1,0)</f>
        <v/>
      </c>
      <c r="K289" s="178">
        <f>IF(J289=0,0,J289+G289)</f>
        <v/>
      </c>
    </row>
    <row r="290">
      <c r="A290" s="47" t="n"/>
      <c r="B290" s="48" t="n"/>
      <c r="C290" s="49" t="n"/>
      <c r="D290" s="169" t="n"/>
      <c r="E290" s="50">
        <f>IFERROR(VLOOKUP(B290,'Dados B3'!A:G,2,FALSE),"-")</f>
        <v/>
      </c>
      <c r="F290" s="51">
        <f>IF(H290=P$4,(C290*(1)),IF(H290=P$3,(C290*(-1)),IF(H290=P$2,(C290*(1)))))</f>
        <v/>
      </c>
      <c r="G290" s="176">
        <f>F290*D290</f>
        <v/>
      </c>
      <c r="H290" s="52" t="inlineStr">
        <is>
          <t>COMPRA</t>
        </is>
      </c>
      <c r="I290" s="177" t="n"/>
      <c r="J290" s="178">
        <f>IF(H290="VENDA",I290*F290*-1,0)</f>
        <v/>
      </c>
      <c r="K290" s="178">
        <f>IF(J290=0,0,J290+G290)</f>
        <v/>
      </c>
    </row>
    <row r="291">
      <c r="A291" s="47" t="n"/>
      <c r="B291" s="48" t="n"/>
      <c r="C291" s="49" t="n"/>
      <c r="D291" s="169" t="n"/>
      <c r="E291" s="50">
        <f>IFERROR(VLOOKUP(B291,'Dados B3'!A:G,2,FALSE),"-")</f>
        <v/>
      </c>
      <c r="F291" s="51">
        <f>IF(H291=P$4,(C291*(1)),IF(H291=P$3,(C291*(-1)),IF(H291=P$2,(C291*(1)))))</f>
        <v/>
      </c>
      <c r="G291" s="176">
        <f>F291*D291</f>
        <v/>
      </c>
      <c r="H291" s="52" t="inlineStr">
        <is>
          <t>COMPRA</t>
        </is>
      </c>
      <c r="I291" s="177" t="n"/>
      <c r="J291" s="178">
        <f>IF(H291="VENDA",I291*F291*-1,0)</f>
        <v/>
      </c>
      <c r="K291" s="178">
        <f>IF(J291=0,0,J291+G291)</f>
        <v/>
      </c>
    </row>
    <row r="292">
      <c r="A292" s="47" t="n"/>
      <c r="B292" s="48" t="n"/>
      <c r="C292" s="49" t="n"/>
      <c r="D292" s="169" t="n"/>
      <c r="E292" s="50">
        <f>IFERROR(VLOOKUP(B292,'Dados B3'!A:G,2,FALSE),"-")</f>
        <v/>
      </c>
      <c r="F292" s="51">
        <f>IF(H292=P$4,(C292*(1)),IF(H292=P$3,(C292*(-1)),IF(H292=P$2,(C292*(1)))))</f>
        <v/>
      </c>
      <c r="G292" s="176">
        <f>F292*D292</f>
        <v/>
      </c>
      <c r="H292" s="52" t="inlineStr">
        <is>
          <t>COMPRA</t>
        </is>
      </c>
      <c r="I292" s="177" t="n"/>
      <c r="J292" s="178">
        <f>IF(H292="VENDA",I292*F292*-1,0)</f>
        <v/>
      </c>
      <c r="K292" s="178">
        <f>IF(J292=0,0,J292+G292)</f>
        <v/>
      </c>
    </row>
    <row r="293">
      <c r="A293" s="47" t="n"/>
      <c r="B293" s="48" t="n"/>
      <c r="C293" s="49" t="n"/>
      <c r="D293" s="169" t="n"/>
      <c r="E293" s="50">
        <f>IFERROR(VLOOKUP(B293,'Dados B3'!A:G,2,FALSE),"-")</f>
        <v/>
      </c>
      <c r="F293" s="51">
        <f>IF(H293=P$4,(C293*(1)),IF(H293=P$3,(C293*(-1)),IF(H293=P$2,(C293*(1)))))</f>
        <v/>
      </c>
      <c r="G293" s="176">
        <f>F293*D293</f>
        <v/>
      </c>
      <c r="H293" s="52" t="inlineStr">
        <is>
          <t>COMPRA</t>
        </is>
      </c>
      <c r="I293" s="177" t="n"/>
      <c r="J293" s="178">
        <f>IF(H293="VENDA",I293*F293*-1,0)</f>
        <v/>
      </c>
      <c r="K293" s="178">
        <f>IF(J293=0,0,J293+G293)</f>
        <v/>
      </c>
    </row>
    <row r="294">
      <c r="A294" s="47" t="n"/>
      <c r="B294" s="48" t="n"/>
      <c r="C294" s="49" t="n"/>
      <c r="D294" s="169" t="n"/>
      <c r="E294" s="50">
        <f>IFERROR(VLOOKUP(B294,'Dados B3'!A:G,2,FALSE),"-")</f>
        <v/>
      </c>
      <c r="F294" s="51">
        <f>IF(H294=P$4,(C294*(1)),IF(H294=P$3,(C294*(-1)),IF(H294=P$2,(C294*(1)))))</f>
        <v/>
      </c>
      <c r="G294" s="176">
        <f>F294*D294</f>
        <v/>
      </c>
      <c r="H294" s="52" t="inlineStr">
        <is>
          <t>COMPRA</t>
        </is>
      </c>
      <c r="I294" s="177" t="n"/>
      <c r="J294" s="178">
        <f>IF(H294="VENDA",I294*F294*-1,0)</f>
        <v/>
      </c>
      <c r="K294" s="178">
        <f>IF(J294=0,0,J294+G294)</f>
        <v/>
      </c>
    </row>
    <row r="295">
      <c r="A295" s="47" t="n"/>
      <c r="B295" s="48" t="n"/>
      <c r="C295" s="49" t="n"/>
      <c r="D295" s="169" t="n"/>
      <c r="E295" s="50">
        <f>IFERROR(VLOOKUP(B295,'Dados B3'!A:G,2,FALSE),"-")</f>
        <v/>
      </c>
      <c r="F295" s="51">
        <f>IF(H295=P$4,(C295*(1)),IF(H295=P$3,(C295*(-1)),IF(H295=P$2,(C295*(1)))))</f>
        <v/>
      </c>
      <c r="G295" s="176">
        <f>F295*D295</f>
        <v/>
      </c>
      <c r="H295" s="52" t="inlineStr">
        <is>
          <t>COMPRA</t>
        </is>
      </c>
      <c r="I295" s="177" t="n"/>
      <c r="J295" s="178">
        <f>IF(H295="VENDA",I295*F295*-1,0)</f>
        <v/>
      </c>
      <c r="K295" s="178">
        <f>IF(J295=0,0,J295+G295)</f>
        <v/>
      </c>
    </row>
    <row r="296">
      <c r="A296" s="47" t="n"/>
      <c r="B296" s="48" t="n"/>
      <c r="C296" s="49" t="n"/>
      <c r="D296" s="169" t="n"/>
      <c r="E296" s="50">
        <f>IFERROR(VLOOKUP(B296,'Dados B3'!A:G,2,FALSE),"-")</f>
        <v/>
      </c>
      <c r="F296" s="51">
        <f>IF(H296=P$4,(C296*(1)),IF(H296=P$3,(C296*(-1)),IF(H296=P$2,(C296*(1)))))</f>
        <v/>
      </c>
      <c r="G296" s="176">
        <f>F296*D296</f>
        <v/>
      </c>
      <c r="H296" s="52" t="inlineStr">
        <is>
          <t>COMPRA</t>
        </is>
      </c>
      <c r="I296" s="177" t="n"/>
      <c r="J296" s="178">
        <f>IF(H296="VENDA",I296*F296*-1,0)</f>
        <v/>
      </c>
      <c r="K296" s="178">
        <f>IF(J296=0,0,J296+G296)</f>
        <v/>
      </c>
    </row>
    <row r="297">
      <c r="A297" s="47" t="n"/>
      <c r="B297" s="48" t="n"/>
      <c r="C297" s="49" t="n"/>
      <c r="D297" s="169" t="n"/>
      <c r="E297" s="50">
        <f>IFERROR(VLOOKUP(B297,'Dados B3'!A:G,2,FALSE),"-")</f>
        <v/>
      </c>
      <c r="F297" s="51">
        <f>IF(H297=P$4,(C297*(1)),IF(H297=P$3,(C297*(-1)),IF(H297=P$2,(C297*(1)))))</f>
        <v/>
      </c>
      <c r="G297" s="176">
        <f>F297*D297</f>
        <v/>
      </c>
      <c r="H297" s="52" t="inlineStr">
        <is>
          <t>COMPRA</t>
        </is>
      </c>
      <c r="I297" s="177" t="n"/>
      <c r="J297" s="178">
        <f>IF(H297="VENDA",I297*F297*-1,0)</f>
        <v/>
      </c>
      <c r="K297" s="178">
        <f>IF(J297=0,0,J297+G297)</f>
        <v/>
      </c>
    </row>
    <row r="298">
      <c r="A298" s="47" t="n"/>
      <c r="B298" s="48" t="n"/>
      <c r="C298" s="49" t="n"/>
      <c r="D298" s="169" t="n"/>
      <c r="E298" s="50">
        <f>IFERROR(VLOOKUP(B298,'Dados B3'!A:G,2,FALSE),"-")</f>
        <v/>
      </c>
      <c r="F298" s="51">
        <f>IF(H298=P$4,(C298*(1)),IF(H298=P$3,(C298*(-1)),IF(H298=P$2,(C298*(1)))))</f>
        <v/>
      </c>
      <c r="G298" s="176">
        <f>F298*D298</f>
        <v/>
      </c>
      <c r="H298" s="52" t="inlineStr">
        <is>
          <t>COMPRA</t>
        </is>
      </c>
      <c r="I298" s="177" t="n"/>
      <c r="J298" s="178">
        <f>IF(H298="VENDA",I298*F298*-1,0)</f>
        <v/>
      </c>
      <c r="K298" s="178">
        <f>IF(J298=0,0,J298+G298)</f>
        <v/>
      </c>
    </row>
    <row r="299">
      <c r="A299" s="47" t="n"/>
      <c r="B299" s="48" t="n"/>
      <c r="C299" s="49" t="n"/>
      <c r="D299" s="169" t="n"/>
      <c r="E299" s="50">
        <f>IFERROR(VLOOKUP(B299,'Dados B3'!A:G,2,FALSE),"-")</f>
        <v/>
      </c>
      <c r="F299" s="51">
        <f>IF(H299=P$4,(C299*(1)),IF(H299=P$3,(C299*(-1)),IF(H299=P$2,(C299*(1)))))</f>
        <v/>
      </c>
      <c r="G299" s="176">
        <f>F299*D299</f>
        <v/>
      </c>
      <c r="H299" s="52" t="inlineStr">
        <is>
          <t>COMPRA</t>
        </is>
      </c>
      <c r="I299" s="177" t="n"/>
      <c r="J299" s="178">
        <f>IF(H299="VENDA",I299*F299*-1,0)</f>
        <v/>
      </c>
      <c r="K299" s="178">
        <f>IF(J299=0,0,J299+G299)</f>
        <v/>
      </c>
    </row>
    <row r="300">
      <c r="A300" s="47" t="n"/>
      <c r="B300" s="48" t="n"/>
      <c r="C300" s="49" t="n"/>
      <c r="D300" s="169" t="n"/>
      <c r="E300" s="50">
        <f>IFERROR(VLOOKUP(B300,'Dados B3'!A:G,2,FALSE),"-")</f>
        <v/>
      </c>
      <c r="F300" s="51">
        <f>IF(H300=P$4,(C300*(1)),IF(H300=P$3,(C300*(-1)),IF(H300=P$2,(C300*(1)))))</f>
        <v/>
      </c>
      <c r="G300" s="176">
        <f>F300*D300</f>
        <v/>
      </c>
      <c r="H300" s="52" t="inlineStr">
        <is>
          <t>COMPRA</t>
        </is>
      </c>
      <c r="I300" s="177" t="n"/>
      <c r="J300" s="178">
        <f>IF(H300="VENDA",I300*F300*-1,0)</f>
        <v/>
      </c>
      <c r="K300" s="178">
        <f>IF(J300=0,0,J300+G300)</f>
        <v/>
      </c>
    </row>
    <row r="301">
      <c r="A301" s="47" t="n"/>
      <c r="B301" s="48" t="n"/>
      <c r="C301" s="49" t="n"/>
      <c r="D301" s="169" t="n"/>
      <c r="E301" s="50">
        <f>IFERROR(VLOOKUP(B301,'Dados B3'!A:G,2,FALSE),"-")</f>
        <v/>
      </c>
      <c r="F301" s="51">
        <f>IF(H301=P$4,(C301*(1)),IF(H301=P$3,(C301*(-1)),IF(H301=P$2,(C301*(1)))))</f>
        <v/>
      </c>
      <c r="G301" s="176">
        <f>F301*D301</f>
        <v/>
      </c>
      <c r="H301" s="52" t="inlineStr">
        <is>
          <t>COMPRA</t>
        </is>
      </c>
      <c r="I301" s="177" t="n"/>
      <c r="J301" s="178">
        <f>IF(H301="VENDA",I301*F301*-1,0)</f>
        <v/>
      </c>
      <c r="K301" s="178">
        <f>IF(J301=0,0,J301+G301)</f>
        <v/>
      </c>
    </row>
    <row r="302">
      <c r="A302" s="47" t="n"/>
      <c r="B302" s="48" t="n"/>
      <c r="C302" s="49" t="n"/>
      <c r="D302" s="169" t="n"/>
      <c r="E302" s="50">
        <f>IFERROR(VLOOKUP(B302,'Dados B3'!A:G,2,FALSE),"-")</f>
        <v/>
      </c>
      <c r="F302" s="51">
        <f>IF(H302=P$4,(C302*(1)),IF(H302=P$3,(C302*(-1)),IF(H302=P$2,(C302*(1)))))</f>
        <v/>
      </c>
      <c r="G302" s="176">
        <f>F302*D302</f>
        <v/>
      </c>
      <c r="H302" s="52" t="inlineStr">
        <is>
          <t>COMPRA</t>
        </is>
      </c>
      <c r="I302" s="177" t="n"/>
      <c r="J302" s="178">
        <f>IF(H302="VENDA",I302*F302*-1,0)</f>
        <v/>
      </c>
      <c r="K302" s="178">
        <f>IF(J302=0,0,J302+G302)</f>
        <v/>
      </c>
    </row>
    <row r="303">
      <c r="A303" s="47" t="n"/>
      <c r="B303" s="48" t="n"/>
      <c r="C303" s="49" t="n"/>
      <c r="D303" s="169" t="n"/>
      <c r="E303" s="50">
        <f>IFERROR(VLOOKUP(B303,'Dados B3'!A:G,2,FALSE),"-")</f>
        <v/>
      </c>
      <c r="F303" s="51">
        <f>IF(H303=P$4,(C303*(1)),IF(H303=P$3,(C303*(-1)),IF(H303=P$2,(C303*(1)))))</f>
        <v/>
      </c>
      <c r="G303" s="176">
        <f>F303*D303</f>
        <v/>
      </c>
      <c r="H303" s="52" t="inlineStr">
        <is>
          <t>COMPRA</t>
        </is>
      </c>
      <c r="I303" s="177" t="n"/>
      <c r="J303" s="178">
        <f>IF(H303="VENDA",I303*F303*-1,0)</f>
        <v/>
      </c>
      <c r="K303" s="178">
        <f>IF(J303=0,0,J303+G303)</f>
        <v/>
      </c>
    </row>
    <row r="304">
      <c r="A304" s="47" t="n"/>
      <c r="B304" s="48" t="n"/>
      <c r="C304" s="49" t="n"/>
      <c r="D304" s="169" t="n"/>
      <c r="E304" s="50">
        <f>IFERROR(VLOOKUP(B304,'Dados B3'!A:G,2,FALSE),"-")</f>
        <v/>
      </c>
      <c r="F304" s="51">
        <f>IF(H304=P$4,(C304*(1)),IF(H304=P$3,(C304*(-1)),IF(H304=P$2,(C304*(1)))))</f>
        <v/>
      </c>
      <c r="G304" s="176">
        <f>F304*D304</f>
        <v/>
      </c>
      <c r="H304" s="52" t="inlineStr">
        <is>
          <t>COMPRA</t>
        </is>
      </c>
      <c r="I304" s="177" t="n"/>
      <c r="J304" s="178">
        <f>IF(H304="VENDA",I304*F304*-1,0)</f>
        <v/>
      </c>
      <c r="K304" s="178">
        <f>IF(J304=0,0,J304+G304)</f>
        <v/>
      </c>
    </row>
    <row r="305">
      <c r="A305" s="47" t="n"/>
      <c r="B305" s="48" t="n"/>
      <c r="C305" s="49" t="n"/>
      <c r="D305" s="169" t="n"/>
      <c r="E305" s="50">
        <f>IFERROR(VLOOKUP(B305,'Dados B3'!A:G,2,FALSE),"-")</f>
        <v/>
      </c>
      <c r="F305" s="51">
        <f>IF(H305=P$4,(C305*(1)),IF(H305=P$3,(C305*(-1)),IF(H305=P$2,(C305*(1)))))</f>
        <v/>
      </c>
      <c r="G305" s="176">
        <f>F305*D305</f>
        <v/>
      </c>
      <c r="H305" s="52" t="inlineStr">
        <is>
          <t>COMPRA</t>
        </is>
      </c>
      <c r="I305" s="177" t="n"/>
      <c r="J305" s="178">
        <f>IF(H305="VENDA",I305*F305*-1,0)</f>
        <v/>
      </c>
      <c r="K305" s="178">
        <f>IF(J305=0,0,J305+G305)</f>
        <v/>
      </c>
    </row>
    <row r="306">
      <c r="A306" s="47" t="n"/>
      <c r="B306" s="48" t="n"/>
      <c r="C306" s="49" t="n"/>
      <c r="D306" s="169" t="n"/>
      <c r="E306" s="50">
        <f>IFERROR(VLOOKUP(B306,'Dados B3'!A:G,2,FALSE),"-")</f>
        <v/>
      </c>
      <c r="F306" s="51">
        <f>IF(H306=P$4,(C306*(1)),IF(H306=P$3,(C306*(-1)),IF(H306=P$2,(C306*(1)))))</f>
        <v/>
      </c>
      <c r="G306" s="176">
        <f>F306*D306</f>
        <v/>
      </c>
      <c r="H306" s="52" t="inlineStr">
        <is>
          <t>COMPRA</t>
        </is>
      </c>
      <c r="I306" s="177" t="n"/>
      <c r="J306" s="178">
        <f>IF(H306="VENDA",I306*F306*-1,0)</f>
        <v/>
      </c>
      <c r="K306" s="178">
        <f>IF(J306=0,0,J306+G306)</f>
        <v/>
      </c>
    </row>
    <row r="307">
      <c r="A307" s="47" t="n"/>
      <c r="B307" s="48" t="n"/>
      <c r="C307" s="49" t="n"/>
      <c r="D307" s="169" t="n"/>
      <c r="E307" s="50">
        <f>IFERROR(VLOOKUP(B307,'Dados B3'!A:G,2,FALSE),"-")</f>
        <v/>
      </c>
      <c r="F307" s="51">
        <f>IF(H307=P$4,(C307*(1)),IF(H307=P$3,(C307*(-1)),IF(H307=P$2,(C307*(1)))))</f>
        <v/>
      </c>
      <c r="G307" s="176">
        <f>F307*D307</f>
        <v/>
      </c>
      <c r="H307" s="52" t="inlineStr">
        <is>
          <t>COMPRA</t>
        </is>
      </c>
      <c r="I307" s="177" t="n"/>
      <c r="J307" s="178">
        <f>IF(H307="VENDA",I307*F307*-1,0)</f>
        <v/>
      </c>
      <c r="K307" s="178">
        <f>IF(J307=0,0,J307+G307)</f>
        <v/>
      </c>
    </row>
    <row r="308">
      <c r="A308" s="47" t="n"/>
      <c r="B308" s="48" t="n"/>
      <c r="C308" s="49" t="n"/>
      <c r="D308" s="169" t="n"/>
      <c r="E308" s="50">
        <f>IFERROR(VLOOKUP(B308,'Dados B3'!A:G,2,FALSE),"-")</f>
        <v/>
      </c>
      <c r="F308" s="51">
        <f>IF(H308=P$4,(C308*(1)),IF(H308=P$3,(C308*(-1)),IF(H308=P$2,(C308*(1)))))</f>
        <v/>
      </c>
      <c r="G308" s="176">
        <f>F308*D308</f>
        <v/>
      </c>
      <c r="H308" s="52" t="inlineStr">
        <is>
          <t>COMPRA</t>
        </is>
      </c>
      <c r="I308" s="177" t="n"/>
      <c r="J308" s="178">
        <f>IF(H308="VENDA",I308*F308*-1,0)</f>
        <v/>
      </c>
      <c r="K308" s="178">
        <f>IF(J308=0,0,J308+G308)</f>
        <v/>
      </c>
    </row>
    <row r="309">
      <c r="A309" s="47" t="n"/>
      <c r="B309" s="48" t="n"/>
      <c r="C309" s="49" t="n"/>
      <c r="D309" s="169" t="n"/>
      <c r="E309" s="50">
        <f>IFERROR(VLOOKUP(B309,'Dados B3'!A:G,2,FALSE),"-")</f>
        <v/>
      </c>
      <c r="F309" s="51">
        <f>IF(H309=P$4,(C309*(1)),IF(H309=P$3,(C309*(-1)),IF(H309=P$2,(C309*(1)))))</f>
        <v/>
      </c>
      <c r="G309" s="176">
        <f>F309*D309</f>
        <v/>
      </c>
      <c r="H309" s="52" t="inlineStr">
        <is>
          <t>COMPRA</t>
        </is>
      </c>
      <c r="I309" s="177" t="n"/>
      <c r="J309" s="178">
        <f>IF(H309="VENDA",I309*F309*-1,0)</f>
        <v/>
      </c>
      <c r="K309" s="178">
        <f>IF(J309=0,0,J309+G309)</f>
        <v/>
      </c>
    </row>
    <row r="310">
      <c r="A310" s="47" t="n"/>
      <c r="B310" s="48" t="n"/>
      <c r="C310" s="49" t="n"/>
      <c r="D310" s="169" t="n"/>
      <c r="E310" s="50">
        <f>IFERROR(VLOOKUP(B310,'Dados B3'!A:G,2,FALSE),"-")</f>
        <v/>
      </c>
      <c r="F310" s="51">
        <f>IF(H310=P$4,(C310*(1)),IF(H310=P$3,(C310*(-1)),IF(H310=P$2,(C310*(1)))))</f>
        <v/>
      </c>
      <c r="G310" s="176">
        <f>F310*D310</f>
        <v/>
      </c>
      <c r="H310" s="52" t="inlineStr">
        <is>
          <t>COMPRA</t>
        </is>
      </c>
      <c r="I310" s="177" t="n"/>
      <c r="J310" s="178">
        <f>IF(H310="VENDA",I310*F310*-1,0)</f>
        <v/>
      </c>
      <c r="K310" s="178">
        <f>IF(J310=0,0,J310+G310)</f>
        <v/>
      </c>
    </row>
    <row r="311">
      <c r="A311" s="47" t="n"/>
      <c r="B311" s="48" t="n"/>
      <c r="C311" s="49" t="n"/>
      <c r="D311" s="169" t="n"/>
      <c r="E311" s="50">
        <f>IFERROR(VLOOKUP(B311,'Dados B3'!A:G,2,FALSE),"-")</f>
        <v/>
      </c>
      <c r="F311" s="51">
        <f>IF(H311=P$4,(C311*(1)),IF(H311=P$3,(C311*(-1)),IF(H311=P$2,(C311*(1)))))</f>
        <v/>
      </c>
      <c r="G311" s="176">
        <f>F311*D311</f>
        <v/>
      </c>
      <c r="H311" s="52" t="inlineStr">
        <is>
          <t>COMPRA</t>
        </is>
      </c>
      <c r="I311" s="177" t="n"/>
      <c r="J311" s="178">
        <f>IF(H311="VENDA",I311*F311*-1,0)</f>
        <v/>
      </c>
      <c r="K311" s="178">
        <f>IF(J311=0,0,J311+G311)</f>
        <v/>
      </c>
    </row>
    <row r="312">
      <c r="A312" s="47" t="n"/>
      <c r="B312" s="48" t="n"/>
      <c r="C312" s="49" t="n"/>
      <c r="D312" s="169" t="n"/>
      <c r="E312" s="50">
        <f>IFERROR(VLOOKUP(B312,'Dados B3'!A:G,2,FALSE),"-")</f>
        <v/>
      </c>
      <c r="F312" s="51">
        <f>IF(H312=P$4,(C312*(1)),IF(H312=P$3,(C312*(-1)),IF(H312=P$2,(C312*(1)))))</f>
        <v/>
      </c>
      <c r="G312" s="176">
        <f>F312*D312</f>
        <v/>
      </c>
      <c r="H312" s="52" t="inlineStr">
        <is>
          <t>COMPRA</t>
        </is>
      </c>
      <c r="I312" s="177" t="n"/>
      <c r="J312" s="178">
        <f>IF(H312="VENDA",I312*F312*-1,0)</f>
        <v/>
      </c>
      <c r="K312" s="178">
        <f>IF(J312=0,0,J312+G312)</f>
        <v/>
      </c>
    </row>
    <row r="313">
      <c r="A313" s="47" t="n"/>
      <c r="B313" s="48" t="n"/>
      <c r="C313" s="49" t="n"/>
      <c r="D313" s="169" t="n"/>
      <c r="E313" s="50">
        <f>IFERROR(VLOOKUP(B313,'Dados B3'!A:G,2,FALSE),"-")</f>
        <v/>
      </c>
      <c r="F313" s="51">
        <f>IF(H313=P$4,(C313*(1)),IF(H313=P$3,(C313*(-1)),IF(H313=P$2,(C313*(1)))))</f>
        <v/>
      </c>
      <c r="G313" s="176">
        <f>F313*D313</f>
        <v/>
      </c>
      <c r="H313" s="52" t="inlineStr">
        <is>
          <t>COMPRA</t>
        </is>
      </c>
      <c r="I313" s="177" t="n"/>
      <c r="J313" s="178">
        <f>IF(H313="VENDA",I313*F313*-1,0)</f>
        <v/>
      </c>
      <c r="K313" s="178">
        <f>IF(J313=0,0,J313+G313)</f>
        <v/>
      </c>
    </row>
    <row r="314">
      <c r="A314" s="47" t="n"/>
      <c r="B314" s="48" t="n"/>
      <c r="C314" s="49" t="n"/>
      <c r="D314" s="169" t="n"/>
      <c r="E314" s="50">
        <f>IFERROR(VLOOKUP(B314,'Dados B3'!A:G,2,FALSE),"-")</f>
        <v/>
      </c>
      <c r="F314" s="51">
        <f>IF(H314=P$4,(C314*(1)),IF(H314=P$3,(C314*(-1)),IF(H314=P$2,(C314*(1)))))</f>
        <v/>
      </c>
      <c r="G314" s="176">
        <f>F314*D314</f>
        <v/>
      </c>
      <c r="H314" s="52" t="inlineStr">
        <is>
          <t>COMPRA</t>
        </is>
      </c>
      <c r="I314" s="177" t="n"/>
      <c r="J314" s="178">
        <f>IF(H314="VENDA",I314*F314*-1,0)</f>
        <v/>
      </c>
      <c r="K314" s="178">
        <f>IF(J314=0,0,J314+G314)</f>
        <v/>
      </c>
    </row>
    <row r="315">
      <c r="A315" s="47" t="n"/>
      <c r="B315" s="48" t="n"/>
      <c r="C315" s="49" t="n"/>
      <c r="D315" s="169" t="n"/>
      <c r="E315" s="50">
        <f>IFERROR(VLOOKUP(B315,'Dados B3'!A:G,2,FALSE),"-")</f>
        <v/>
      </c>
      <c r="F315" s="51">
        <f>IF(H315=P$4,(C315*(1)),IF(H315=P$3,(C315*(-1)),IF(H315=P$2,(C315*(1)))))</f>
        <v/>
      </c>
      <c r="G315" s="176">
        <f>F315*D315</f>
        <v/>
      </c>
      <c r="H315" s="52" t="inlineStr">
        <is>
          <t>COMPRA</t>
        </is>
      </c>
      <c r="I315" s="177" t="n"/>
      <c r="J315" s="178">
        <f>IF(H315="VENDA",I315*F315*-1,0)</f>
        <v/>
      </c>
      <c r="K315" s="178">
        <f>IF(J315=0,0,J315+G315)</f>
        <v/>
      </c>
    </row>
    <row r="316">
      <c r="A316" s="47" t="n"/>
      <c r="B316" s="48" t="n"/>
      <c r="C316" s="49" t="n"/>
      <c r="D316" s="169" t="n"/>
      <c r="E316" s="50">
        <f>IFERROR(VLOOKUP(B316,'Dados B3'!A:G,2,FALSE),"-")</f>
        <v/>
      </c>
      <c r="F316" s="51">
        <f>IF(H316=P$4,(C316*(1)),IF(H316=P$3,(C316*(-1)),IF(H316=P$2,(C316*(1)))))</f>
        <v/>
      </c>
      <c r="G316" s="176">
        <f>F316*D316</f>
        <v/>
      </c>
      <c r="H316" s="52" t="inlineStr">
        <is>
          <t>COMPRA</t>
        </is>
      </c>
      <c r="I316" s="177" t="n"/>
      <c r="J316" s="178">
        <f>IF(H316="VENDA",I316*F316*-1,0)</f>
        <v/>
      </c>
      <c r="K316" s="178">
        <f>IF(J316=0,0,J316+G316)</f>
        <v/>
      </c>
    </row>
    <row r="317">
      <c r="A317" s="47" t="n"/>
      <c r="B317" s="48" t="n"/>
      <c r="C317" s="49" t="n"/>
      <c r="D317" s="169" t="n"/>
      <c r="E317" s="50">
        <f>IFERROR(VLOOKUP(B317,'Dados B3'!A:G,2,FALSE),"-")</f>
        <v/>
      </c>
      <c r="F317" s="51">
        <f>IF(H317=P$4,(C317*(1)),IF(H317=P$3,(C317*(-1)),IF(H317=P$2,(C317*(1)))))</f>
        <v/>
      </c>
      <c r="G317" s="176">
        <f>F317*D317</f>
        <v/>
      </c>
      <c r="H317" s="52" t="inlineStr">
        <is>
          <t>COMPRA</t>
        </is>
      </c>
      <c r="I317" s="177" t="n"/>
      <c r="J317" s="178">
        <f>IF(H317="VENDA",I317*F317*-1,0)</f>
        <v/>
      </c>
      <c r="K317" s="178">
        <f>IF(J317=0,0,J317+G317)</f>
        <v/>
      </c>
    </row>
    <row r="318">
      <c r="A318" s="47" t="n"/>
      <c r="B318" s="48" t="n"/>
      <c r="C318" s="49" t="n"/>
      <c r="D318" s="169" t="n"/>
      <c r="E318" s="50">
        <f>IFERROR(VLOOKUP(B318,'Dados B3'!A:G,2,FALSE),"-")</f>
        <v/>
      </c>
      <c r="F318" s="51">
        <f>IF(H318=P$4,(C318*(1)),IF(H318=P$3,(C318*(-1)),IF(H318=P$2,(C318*(1)))))</f>
        <v/>
      </c>
      <c r="G318" s="176">
        <f>F318*D318</f>
        <v/>
      </c>
      <c r="H318" s="52" t="inlineStr">
        <is>
          <t>COMPRA</t>
        </is>
      </c>
      <c r="I318" s="177" t="n"/>
      <c r="J318" s="178">
        <f>IF(H318="VENDA",I318*F318*-1,0)</f>
        <v/>
      </c>
      <c r="K318" s="178">
        <f>IF(J318=0,0,J318+G318)</f>
        <v/>
      </c>
    </row>
    <row r="319">
      <c r="A319" s="47" t="n"/>
      <c r="B319" s="48" t="n"/>
      <c r="C319" s="49" t="n"/>
      <c r="D319" s="169" t="n"/>
      <c r="E319" s="50">
        <f>IFERROR(VLOOKUP(B319,'Dados B3'!A:G,2,FALSE),"-")</f>
        <v/>
      </c>
      <c r="F319" s="51">
        <f>IF(H319=P$4,(C319*(1)),IF(H319=P$3,(C319*(-1)),IF(H319=P$2,(C319*(1)))))</f>
        <v/>
      </c>
      <c r="G319" s="176">
        <f>F319*D319</f>
        <v/>
      </c>
      <c r="H319" s="52" t="inlineStr">
        <is>
          <t>COMPRA</t>
        </is>
      </c>
      <c r="I319" s="177" t="n"/>
      <c r="J319" s="178">
        <f>IF(H319="VENDA",I319*F319*-1,0)</f>
        <v/>
      </c>
      <c r="K319" s="178">
        <f>IF(J319=0,0,J319+G319)</f>
        <v/>
      </c>
    </row>
    <row r="320">
      <c r="A320" s="47" t="n"/>
      <c r="B320" s="48" t="n"/>
      <c r="C320" s="49" t="n"/>
      <c r="D320" s="169" t="n"/>
      <c r="E320" s="50">
        <f>IFERROR(VLOOKUP(B320,'Dados B3'!A:G,2,FALSE),"-")</f>
        <v/>
      </c>
      <c r="F320" s="51">
        <f>IF(H320=P$4,(C320*(1)),IF(H320=P$3,(C320*(-1)),IF(H320=P$2,(C320*(1)))))</f>
        <v/>
      </c>
      <c r="G320" s="176">
        <f>F320*D320</f>
        <v/>
      </c>
      <c r="H320" s="52" t="inlineStr">
        <is>
          <t>COMPRA</t>
        </is>
      </c>
      <c r="I320" s="177" t="n"/>
      <c r="J320" s="178">
        <f>IF(H320="VENDA",I320*F320*-1,0)</f>
        <v/>
      </c>
      <c r="K320" s="178">
        <f>IF(J320=0,0,J320+G320)</f>
        <v/>
      </c>
    </row>
    <row r="321">
      <c r="A321" s="47" t="n"/>
      <c r="B321" s="48" t="n"/>
      <c r="C321" s="49" t="n"/>
      <c r="D321" s="169" t="n"/>
      <c r="E321" s="50">
        <f>IFERROR(VLOOKUP(B321,'Dados B3'!A:G,2,FALSE),"-")</f>
        <v/>
      </c>
      <c r="F321" s="51">
        <f>IF(H321=P$4,(C321*(1)),IF(H321=P$3,(C321*(-1)),IF(H321=P$2,(C321*(1)))))</f>
        <v/>
      </c>
      <c r="G321" s="176">
        <f>F321*D321</f>
        <v/>
      </c>
      <c r="H321" s="52" t="inlineStr">
        <is>
          <t>COMPRA</t>
        </is>
      </c>
      <c r="I321" s="177" t="n"/>
      <c r="J321" s="178">
        <f>IF(H321="VENDA",I321*F321*-1,0)</f>
        <v/>
      </c>
      <c r="K321" s="178">
        <f>IF(J321=0,0,J321+G321)</f>
        <v/>
      </c>
    </row>
    <row r="322">
      <c r="A322" s="47" t="n"/>
      <c r="B322" s="48" t="n"/>
      <c r="C322" s="49" t="n"/>
      <c r="D322" s="169" t="n"/>
      <c r="E322" s="50">
        <f>IFERROR(VLOOKUP(B322,'Dados B3'!A:G,2,FALSE),"-")</f>
        <v/>
      </c>
      <c r="F322" s="51">
        <f>IF(H322=P$4,(C322*(1)),IF(H322=P$3,(C322*(-1)),IF(H322=P$2,(C322*(1)))))</f>
        <v/>
      </c>
      <c r="G322" s="176">
        <f>F322*D322</f>
        <v/>
      </c>
      <c r="H322" s="52" t="inlineStr">
        <is>
          <t>COMPRA</t>
        </is>
      </c>
      <c r="I322" s="177" t="n"/>
      <c r="J322" s="178">
        <f>IF(H322="VENDA",I322*F322*-1,0)</f>
        <v/>
      </c>
      <c r="K322" s="178">
        <f>IF(J322=0,0,J322+G322)</f>
        <v/>
      </c>
    </row>
    <row r="323">
      <c r="A323" s="47" t="n"/>
      <c r="B323" s="48" t="n"/>
      <c r="C323" s="49" t="n"/>
      <c r="D323" s="169" t="n"/>
      <c r="E323" s="50">
        <f>IFERROR(VLOOKUP(B323,'Dados B3'!A:G,2,FALSE),"-")</f>
        <v/>
      </c>
      <c r="F323" s="51">
        <f>IF(H323=P$4,(C323*(1)),IF(H323=P$3,(C323*(-1)),IF(H323=P$2,(C323*(1)))))</f>
        <v/>
      </c>
      <c r="G323" s="176">
        <f>F323*D323</f>
        <v/>
      </c>
      <c r="H323" s="52" t="inlineStr">
        <is>
          <t>COMPRA</t>
        </is>
      </c>
      <c r="I323" s="177" t="n"/>
      <c r="J323" s="178">
        <f>IF(H323="VENDA",I323*F323*-1,0)</f>
        <v/>
      </c>
      <c r="K323" s="178">
        <f>IF(J323=0,0,J323+G323)</f>
        <v/>
      </c>
    </row>
    <row r="324">
      <c r="A324" s="47" t="n"/>
      <c r="B324" s="48" t="n"/>
      <c r="C324" s="49" t="n"/>
      <c r="D324" s="169" t="n"/>
      <c r="E324" s="50">
        <f>IFERROR(VLOOKUP(B324,'Dados B3'!A:G,2,FALSE),"-")</f>
        <v/>
      </c>
      <c r="F324" s="51">
        <f>IF(H324=P$4,(C324*(1)),IF(H324=P$3,(C324*(-1)),IF(H324=P$2,(C324*(1)))))</f>
        <v/>
      </c>
      <c r="G324" s="176">
        <f>F324*D324</f>
        <v/>
      </c>
      <c r="H324" s="52" t="inlineStr">
        <is>
          <t>COMPRA</t>
        </is>
      </c>
      <c r="I324" s="177" t="n"/>
      <c r="J324" s="178">
        <f>IF(H324="VENDA",I324*F324*-1,0)</f>
        <v/>
      </c>
      <c r="K324" s="178">
        <f>IF(J324=0,0,J324+G324)</f>
        <v/>
      </c>
    </row>
    <row r="325">
      <c r="A325" s="47" t="n"/>
      <c r="B325" s="48" t="n"/>
      <c r="C325" s="49" t="n"/>
      <c r="D325" s="169" t="n"/>
      <c r="E325" s="50">
        <f>IFERROR(VLOOKUP(B325,'Dados B3'!A:G,2,FALSE),"-")</f>
        <v/>
      </c>
      <c r="F325" s="51">
        <f>IF(H325=P$4,(C325*(1)),IF(H325=P$3,(C325*(-1)),IF(H325=P$2,(C325*(1)))))</f>
        <v/>
      </c>
      <c r="G325" s="176">
        <f>F325*D325</f>
        <v/>
      </c>
      <c r="H325" s="52" t="inlineStr">
        <is>
          <t>COMPRA</t>
        </is>
      </c>
      <c r="I325" s="177" t="n"/>
      <c r="J325" s="178">
        <f>IF(H325="VENDA",I325*F325*-1,0)</f>
        <v/>
      </c>
      <c r="K325" s="178">
        <f>IF(J325=0,0,J325+G325)</f>
        <v/>
      </c>
    </row>
    <row r="326">
      <c r="A326" s="47" t="n"/>
      <c r="B326" s="48" t="n"/>
      <c r="C326" s="49" t="n"/>
      <c r="D326" s="169" t="n"/>
      <c r="E326" s="50">
        <f>IFERROR(VLOOKUP(B326,'Dados B3'!A:G,2,FALSE),"-")</f>
        <v/>
      </c>
      <c r="F326" s="51">
        <f>IF(H326=P$4,(C326*(1)),IF(H326=P$3,(C326*(-1)),IF(H326=P$2,(C326*(1)))))</f>
        <v/>
      </c>
      <c r="G326" s="176">
        <f>F326*D326</f>
        <v/>
      </c>
      <c r="H326" s="52" t="inlineStr">
        <is>
          <t>COMPRA</t>
        </is>
      </c>
      <c r="I326" s="177" t="n"/>
      <c r="J326" s="178">
        <f>IF(H326="VENDA",I326*F326*-1,0)</f>
        <v/>
      </c>
      <c r="K326" s="178">
        <f>IF(J326=0,0,J326+G326)</f>
        <v/>
      </c>
    </row>
    <row r="327">
      <c r="A327" s="47" t="n"/>
      <c r="B327" s="48" t="n"/>
      <c r="C327" s="49" t="n"/>
      <c r="D327" s="169" t="n"/>
      <c r="E327" s="50">
        <f>IFERROR(VLOOKUP(B327,'Dados B3'!A:G,2,FALSE),"-")</f>
        <v/>
      </c>
      <c r="F327" s="51">
        <f>IF(H327=P$4,(C327*(1)),IF(H327=P$3,(C327*(-1)),IF(H327=P$2,(C327*(1)))))</f>
        <v/>
      </c>
      <c r="G327" s="176">
        <f>F327*D327</f>
        <v/>
      </c>
      <c r="H327" s="52" t="inlineStr">
        <is>
          <t>COMPRA</t>
        </is>
      </c>
      <c r="I327" s="177" t="n"/>
      <c r="J327" s="178">
        <f>IF(H327="VENDA",I327*F327*-1,0)</f>
        <v/>
      </c>
      <c r="K327" s="178">
        <f>IF(J327=0,0,J327+G327)</f>
        <v/>
      </c>
    </row>
    <row r="328">
      <c r="A328" s="47" t="n"/>
      <c r="B328" s="48" t="n"/>
      <c r="C328" s="49" t="n"/>
      <c r="D328" s="169" t="n"/>
      <c r="E328" s="50">
        <f>IFERROR(VLOOKUP(B328,'Dados B3'!A:G,2,FALSE),"-")</f>
        <v/>
      </c>
      <c r="F328" s="51">
        <f>IF(H328=P$4,(C328*(1)),IF(H328=P$3,(C328*(-1)),IF(H328=P$2,(C328*(1)))))</f>
        <v/>
      </c>
      <c r="G328" s="176">
        <f>F328*D328</f>
        <v/>
      </c>
      <c r="H328" s="52" t="inlineStr">
        <is>
          <t>COMPRA</t>
        </is>
      </c>
      <c r="I328" s="177" t="n"/>
      <c r="J328" s="178">
        <f>IF(H328="VENDA",I328*F328*-1,0)</f>
        <v/>
      </c>
      <c r="K328" s="178">
        <f>IF(J328=0,0,J328+G328)</f>
        <v/>
      </c>
    </row>
    <row r="329">
      <c r="A329" s="47" t="n"/>
      <c r="B329" s="48" t="n"/>
      <c r="C329" s="49" t="n"/>
      <c r="D329" s="169" t="n"/>
      <c r="E329" s="50">
        <f>IFERROR(VLOOKUP(B329,'Dados B3'!A:G,2,FALSE),"-")</f>
        <v/>
      </c>
      <c r="F329" s="51">
        <f>IF(H329=P$4,(C329*(1)),IF(H329=P$3,(C329*(-1)),IF(H329=P$2,(C329*(1)))))</f>
        <v/>
      </c>
      <c r="G329" s="176">
        <f>F329*D329</f>
        <v/>
      </c>
      <c r="H329" s="52" t="inlineStr">
        <is>
          <t>COMPRA</t>
        </is>
      </c>
      <c r="I329" s="177" t="n"/>
      <c r="J329" s="178">
        <f>IF(H329="VENDA",I329*F329*-1,0)</f>
        <v/>
      </c>
      <c r="K329" s="178">
        <f>IF(J329=0,0,J329+G329)</f>
        <v/>
      </c>
    </row>
    <row r="330">
      <c r="A330" s="47" t="n"/>
      <c r="B330" s="48" t="n"/>
      <c r="C330" s="49" t="n"/>
      <c r="D330" s="169" t="n"/>
      <c r="E330" s="50">
        <f>IFERROR(VLOOKUP(B330,'Dados B3'!A:G,2,FALSE),"-")</f>
        <v/>
      </c>
      <c r="F330" s="51">
        <f>IF(H330=P$4,(C330*(1)),IF(H330=P$3,(C330*(-1)),IF(H330=P$2,(C330*(1)))))</f>
        <v/>
      </c>
      <c r="G330" s="176">
        <f>F330*D330</f>
        <v/>
      </c>
      <c r="H330" s="52" t="inlineStr">
        <is>
          <t>COMPRA</t>
        </is>
      </c>
      <c r="I330" s="177" t="n"/>
      <c r="J330" s="178">
        <f>IF(H330="VENDA",I330*F330*-1,0)</f>
        <v/>
      </c>
      <c r="K330" s="178">
        <f>IF(J330=0,0,J330+G330)</f>
        <v/>
      </c>
    </row>
    <row r="331">
      <c r="A331" s="47" t="n"/>
      <c r="B331" s="48" t="n"/>
      <c r="C331" s="49" t="n"/>
      <c r="D331" s="169" t="n"/>
      <c r="E331" s="50">
        <f>IFERROR(VLOOKUP(B331,'Dados B3'!A:G,2,FALSE),"-")</f>
        <v/>
      </c>
      <c r="F331" s="51">
        <f>IF(H331=P$4,(C331*(1)),IF(H331=P$3,(C331*(-1)),IF(H331=P$2,(C331*(1)))))</f>
        <v/>
      </c>
      <c r="G331" s="176">
        <f>F331*D331</f>
        <v/>
      </c>
      <c r="H331" s="52" t="inlineStr">
        <is>
          <t>COMPRA</t>
        </is>
      </c>
      <c r="I331" s="177" t="n"/>
      <c r="J331" s="178">
        <f>IF(H331="VENDA",I331*F331*-1,0)</f>
        <v/>
      </c>
      <c r="K331" s="178">
        <f>IF(J331=0,0,J331+G331)</f>
        <v/>
      </c>
    </row>
    <row r="332">
      <c r="A332" s="47" t="n"/>
      <c r="B332" s="48" t="n"/>
      <c r="C332" s="49" t="n"/>
      <c r="D332" s="169" t="n"/>
      <c r="E332" s="50">
        <f>IFERROR(VLOOKUP(B332,'Dados B3'!A:G,2,FALSE),"-")</f>
        <v/>
      </c>
      <c r="F332" s="51">
        <f>IF(H332=P$4,(C332*(1)),IF(H332=P$3,(C332*(-1)),IF(H332=P$2,(C332*(1)))))</f>
        <v/>
      </c>
      <c r="G332" s="176">
        <f>F332*D332</f>
        <v/>
      </c>
      <c r="H332" s="52" t="inlineStr">
        <is>
          <t>COMPRA</t>
        </is>
      </c>
      <c r="I332" s="177" t="n"/>
      <c r="J332" s="178">
        <f>IF(H332="VENDA",I332*F332*-1,0)</f>
        <v/>
      </c>
      <c r="K332" s="178">
        <f>IF(J332=0,0,J332+G332)</f>
        <v/>
      </c>
    </row>
    <row r="333">
      <c r="A333" s="47" t="n"/>
      <c r="B333" s="48" t="n"/>
      <c r="C333" s="49" t="n"/>
      <c r="D333" s="169" t="n"/>
      <c r="E333" s="50">
        <f>IFERROR(VLOOKUP(B333,'Dados B3'!A:G,2,FALSE),"-")</f>
        <v/>
      </c>
      <c r="F333" s="51">
        <f>IF(H333=P$4,(C333*(1)),IF(H333=P$3,(C333*(-1)),IF(H333=P$2,(C333*(1)))))</f>
        <v/>
      </c>
      <c r="G333" s="176">
        <f>F333*D333</f>
        <v/>
      </c>
      <c r="H333" s="52" t="inlineStr">
        <is>
          <t>COMPRA</t>
        </is>
      </c>
      <c r="I333" s="177" t="n"/>
      <c r="J333" s="178">
        <f>IF(H333="VENDA",I333*F333*-1,0)</f>
        <v/>
      </c>
      <c r="K333" s="178">
        <f>IF(J333=0,0,J333+G333)</f>
        <v/>
      </c>
    </row>
    <row r="334">
      <c r="A334" s="47" t="n"/>
      <c r="B334" s="48" t="n"/>
      <c r="C334" s="49" t="n"/>
      <c r="D334" s="169" t="n"/>
      <c r="E334" s="50">
        <f>IFERROR(VLOOKUP(B334,'Dados B3'!A:G,2,FALSE),"-")</f>
        <v/>
      </c>
      <c r="F334" s="51">
        <f>IF(H334=P$4,(C334*(1)),IF(H334=P$3,(C334*(-1)),IF(H334=P$2,(C334*(1)))))</f>
        <v/>
      </c>
      <c r="G334" s="176">
        <f>F334*D334</f>
        <v/>
      </c>
      <c r="H334" s="52" t="inlineStr">
        <is>
          <t>COMPRA</t>
        </is>
      </c>
      <c r="I334" s="177" t="n"/>
      <c r="J334" s="178">
        <f>IF(H334="VENDA",I334*F334*-1,0)</f>
        <v/>
      </c>
      <c r="K334" s="178">
        <f>IF(J334=0,0,J334+G334)</f>
        <v/>
      </c>
    </row>
    <row r="335">
      <c r="A335" s="47" t="n"/>
      <c r="B335" s="48" t="n"/>
      <c r="C335" s="49" t="n"/>
      <c r="D335" s="169" t="n"/>
      <c r="E335" s="50">
        <f>IFERROR(VLOOKUP(B335,'Dados B3'!A:G,2,FALSE),"-")</f>
        <v/>
      </c>
      <c r="F335" s="51">
        <f>IF(H335=P$4,(C335*(1)),IF(H335=P$3,(C335*(-1)),IF(H335=P$2,(C335*(1)))))</f>
        <v/>
      </c>
      <c r="G335" s="176">
        <f>F335*D335</f>
        <v/>
      </c>
      <c r="H335" s="52" t="inlineStr">
        <is>
          <t>COMPRA</t>
        </is>
      </c>
      <c r="I335" s="177" t="n"/>
      <c r="J335" s="178">
        <f>IF(H335="VENDA",I335*F335*-1,0)</f>
        <v/>
      </c>
      <c r="K335" s="178">
        <f>IF(J335=0,0,J335+G335)</f>
        <v/>
      </c>
    </row>
    <row r="336">
      <c r="A336" s="47" t="n"/>
      <c r="B336" s="48" t="n"/>
      <c r="C336" s="49" t="n"/>
      <c r="D336" s="169" t="n"/>
      <c r="E336" s="50">
        <f>IFERROR(VLOOKUP(B336,'Dados B3'!A:G,2,FALSE),"-")</f>
        <v/>
      </c>
      <c r="F336" s="51">
        <f>IF(H336=P$4,(C336*(1)),IF(H336=P$3,(C336*(-1)),IF(H336=P$2,(C336*(1)))))</f>
        <v/>
      </c>
      <c r="G336" s="176">
        <f>F336*D336</f>
        <v/>
      </c>
      <c r="H336" s="52" t="inlineStr">
        <is>
          <t>COMPRA</t>
        </is>
      </c>
      <c r="I336" s="177" t="n"/>
      <c r="J336" s="178">
        <f>IF(H336="VENDA",I336*F336*-1,0)</f>
        <v/>
      </c>
      <c r="K336" s="178">
        <f>IF(J336=0,0,J336+G336)</f>
        <v/>
      </c>
    </row>
    <row r="337">
      <c r="A337" s="47" t="n"/>
      <c r="B337" s="48" t="n"/>
      <c r="C337" s="49" t="n"/>
      <c r="D337" s="169" t="n"/>
      <c r="E337" s="50">
        <f>IFERROR(VLOOKUP(B337,'Dados B3'!A:G,2,FALSE),"-")</f>
        <v/>
      </c>
      <c r="F337" s="51">
        <f>IF(H337=P$4,(C337*(1)),IF(H337=P$3,(C337*(-1)),IF(H337=P$2,(C337*(1)))))</f>
        <v/>
      </c>
      <c r="G337" s="176">
        <f>F337*D337</f>
        <v/>
      </c>
      <c r="H337" s="52" t="inlineStr">
        <is>
          <t>COMPRA</t>
        </is>
      </c>
      <c r="I337" s="177" t="n"/>
      <c r="J337" s="178">
        <f>IF(H337="VENDA",I337*F337*-1,0)</f>
        <v/>
      </c>
      <c r="K337" s="178">
        <f>IF(J337=0,0,J337+G337)</f>
        <v/>
      </c>
    </row>
    <row r="338">
      <c r="A338" s="47" t="n"/>
      <c r="B338" s="48" t="n"/>
      <c r="C338" s="49" t="n"/>
      <c r="D338" s="169" t="n"/>
      <c r="E338" s="50">
        <f>IFERROR(VLOOKUP(B338,'Dados B3'!A:G,2,FALSE),"-")</f>
        <v/>
      </c>
      <c r="F338" s="51">
        <f>IF(H338=P$4,(C338*(1)),IF(H338=P$3,(C338*(-1)),IF(H338=P$2,(C338*(1)))))</f>
        <v/>
      </c>
      <c r="G338" s="176">
        <f>F338*D338</f>
        <v/>
      </c>
      <c r="H338" s="52" t="inlineStr">
        <is>
          <t>COMPRA</t>
        </is>
      </c>
      <c r="I338" s="177" t="n"/>
      <c r="J338" s="178">
        <f>IF(H338="VENDA",I338*F338*-1,0)</f>
        <v/>
      </c>
      <c r="K338" s="178">
        <f>IF(J338=0,0,J338+G338)</f>
        <v/>
      </c>
    </row>
    <row r="339">
      <c r="A339" s="47" t="n"/>
      <c r="B339" s="48" t="n"/>
      <c r="C339" s="49" t="n"/>
      <c r="D339" s="169" t="n"/>
      <c r="E339" s="50">
        <f>IFERROR(VLOOKUP(B339,'Dados B3'!A:G,2,FALSE),"-")</f>
        <v/>
      </c>
      <c r="F339" s="51">
        <f>IF(H339=P$4,(C339*(1)),IF(H339=P$3,(C339*(-1)),IF(H339=P$2,(C339*(1)))))</f>
        <v/>
      </c>
      <c r="G339" s="176">
        <f>F339*D339</f>
        <v/>
      </c>
      <c r="H339" s="52" t="inlineStr">
        <is>
          <t>COMPRA</t>
        </is>
      </c>
      <c r="I339" s="177" t="n"/>
      <c r="J339" s="178">
        <f>IF(H339="VENDA",I339*F339*-1,0)</f>
        <v/>
      </c>
      <c r="K339" s="178">
        <f>IF(J339=0,0,J339+G339)</f>
        <v/>
      </c>
    </row>
    <row r="340">
      <c r="A340" s="47" t="n"/>
      <c r="B340" s="48" t="n"/>
      <c r="C340" s="49" t="n"/>
      <c r="D340" s="169" t="n"/>
      <c r="E340" s="50">
        <f>IFERROR(VLOOKUP(B340,'Dados B3'!A:G,2,FALSE),"-")</f>
        <v/>
      </c>
      <c r="F340" s="51">
        <f>IF(H340=P$4,(C340*(1)),IF(H340=P$3,(C340*(-1)),IF(H340=P$2,(C340*(1)))))</f>
        <v/>
      </c>
      <c r="G340" s="176">
        <f>F340*D340</f>
        <v/>
      </c>
      <c r="H340" s="52" t="inlineStr">
        <is>
          <t>COMPRA</t>
        </is>
      </c>
      <c r="I340" s="177" t="n"/>
      <c r="J340" s="178">
        <f>IF(H340="VENDA",I340*F340*-1,0)</f>
        <v/>
      </c>
      <c r="K340" s="178">
        <f>IF(J340=0,0,J340+G340)</f>
        <v/>
      </c>
    </row>
    <row r="341">
      <c r="A341" s="47" t="n"/>
      <c r="B341" s="48" t="n"/>
      <c r="C341" s="49" t="n"/>
      <c r="D341" s="169" t="n"/>
      <c r="E341" s="50">
        <f>IFERROR(VLOOKUP(B341,'Dados B3'!A:G,2,FALSE),"-")</f>
        <v/>
      </c>
      <c r="F341" s="51">
        <f>IF(H341=P$4,(C341*(1)),IF(H341=P$3,(C341*(-1)),IF(H341=P$2,(C341*(1)))))</f>
        <v/>
      </c>
      <c r="G341" s="176">
        <f>F341*D341</f>
        <v/>
      </c>
      <c r="H341" s="52" t="inlineStr">
        <is>
          <t>COMPRA</t>
        </is>
      </c>
      <c r="I341" s="177" t="n"/>
      <c r="J341" s="178">
        <f>IF(H341="VENDA",I341*F341*-1,0)</f>
        <v/>
      </c>
      <c r="K341" s="178">
        <f>IF(J341=0,0,J341+G341)</f>
        <v/>
      </c>
    </row>
    <row r="342">
      <c r="A342" s="47" t="n"/>
      <c r="B342" s="48" t="n"/>
      <c r="C342" s="49" t="n"/>
      <c r="D342" s="169" t="n"/>
      <c r="E342" s="50">
        <f>IFERROR(VLOOKUP(B342,'Dados B3'!A:G,2,FALSE),"-")</f>
        <v/>
      </c>
      <c r="F342" s="51">
        <f>IF(H342=P$4,(C342*(1)),IF(H342=P$3,(C342*(-1)),IF(H342=P$2,(C342*(1)))))</f>
        <v/>
      </c>
      <c r="G342" s="176">
        <f>F342*D342</f>
        <v/>
      </c>
      <c r="H342" s="52" t="inlineStr">
        <is>
          <t>COMPRA</t>
        </is>
      </c>
      <c r="I342" s="177" t="n"/>
      <c r="J342" s="178">
        <f>IF(H342="VENDA",I342*F342*-1,0)</f>
        <v/>
      </c>
      <c r="K342" s="178">
        <f>IF(J342=0,0,J342+G342)</f>
        <v/>
      </c>
    </row>
    <row r="343">
      <c r="A343" s="47" t="n"/>
      <c r="B343" s="48" t="n"/>
      <c r="C343" s="49" t="n"/>
      <c r="D343" s="169" t="n"/>
      <c r="E343" s="50">
        <f>IFERROR(VLOOKUP(B343,'Dados B3'!A:G,2,FALSE),"-")</f>
        <v/>
      </c>
      <c r="F343" s="51">
        <f>IF(H343=P$4,(C343*(1)),IF(H343=P$3,(C343*(-1)),IF(H343=P$2,(C343*(1)))))</f>
        <v/>
      </c>
      <c r="G343" s="176">
        <f>F343*D343</f>
        <v/>
      </c>
      <c r="H343" s="52" t="inlineStr">
        <is>
          <t>COMPRA</t>
        </is>
      </c>
      <c r="I343" s="177" t="n"/>
      <c r="J343" s="178">
        <f>IF(H343="VENDA",I343*F343*-1,0)</f>
        <v/>
      </c>
      <c r="K343" s="178">
        <f>IF(J343=0,0,J343+G343)</f>
        <v/>
      </c>
    </row>
    <row r="344">
      <c r="A344" s="47" t="n"/>
      <c r="B344" s="48" t="n"/>
      <c r="C344" s="49" t="n"/>
      <c r="D344" s="169" t="n"/>
      <c r="E344" s="50">
        <f>IFERROR(VLOOKUP(B344,'Dados B3'!A:G,2,FALSE),"-")</f>
        <v/>
      </c>
      <c r="F344" s="51">
        <f>IF(H344=P$4,(C344*(1)),IF(H344=P$3,(C344*(-1)),IF(H344=P$2,(C344*(1)))))</f>
        <v/>
      </c>
      <c r="G344" s="176">
        <f>F344*D344</f>
        <v/>
      </c>
      <c r="H344" s="52" t="inlineStr">
        <is>
          <t>COMPRA</t>
        </is>
      </c>
      <c r="I344" s="177" t="n"/>
      <c r="J344" s="178">
        <f>IF(H344="VENDA",I344*F344*-1,0)</f>
        <v/>
      </c>
      <c r="K344" s="178">
        <f>IF(J344=0,0,J344+G344)</f>
        <v/>
      </c>
    </row>
    <row r="345">
      <c r="A345" s="47" t="n"/>
      <c r="B345" s="48" t="n"/>
      <c r="C345" s="49" t="n"/>
      <c r="D345" s="169" t="n"/>
      <c r="E345" s="50">
        <f>IFERROR(VLOOKUP(B345,'Dados B3'!A:G,2,FALSE),"-")</f>
        <v/>
      </c>
      <c r="F345" s="51">
        <f>IF(H345=P$4,(C345*(1)),IF(H345=P$3,(C345*(-1)),IF(H345=P$2,(C345*(1)))))</f>
        <v/>
      </c>
      <c r="G345" s="176">
        <f>F345*D345</f>
        <v/>
      </c>
      <c r="H345" s="52" t="inlineStr">
        <is>
          <t>COMPRA</t>
        </is>
      </c>
      <c r="I345" s="177" t="n"/>
      <c r="J345" s="178">
        <f>IF(H345="VENDA",I345*F345*-1,0)</f>
        <v/>
      </c>
      <c r="K345" s="178">
        <f>IF(J345=0,0,J345+G345)</f>
        <v/>
      </c>
    </row>
    <row r="346">
      <c r="A346" s="47" t="n"/>
      <c r="B346" s="48" t="n"/>
      <c r="C346" s="49" t="n"/>
      <c r="D346" s="169" t="n"/>
      <c r="E346" s="50">
        <f>IFERROR(VLOOKUP(B346,'Dados B3'!A:G,2,FALSE),"-")</f>
        <v/>
      </c>
      <c r="F346" s="51">
        <f>IF(H346=P$4,(C346*(1)),IF(H346=P$3,(C346*(-1)),IF(H346=P$2,(C346*(1)))))</f>
        <v/>
      </c>
      <c r="G346" s="176">
        <f>F346*D346</f>
        <v/>
      </c>
      <c r="H346" s="52" t="inlineStr">
        <is>
          <t>COMPRA</t>
        </is>
      </c>
      <c r="I346" s="177" t="n"/>
      <c r="J346" s="178">
        <f>IF(H346="VENDA",I346*F346*-1,0)</f>
        <v/>
      </c>
      <c r="K346" s="178">
        <f>IF(J346=0,0,J346+G346)</f>
        <v/>
      </c>
    </row>
    <row r="347">
      <c r="A347" s="47" t="n"/>
      <c r="B347" s="48" t="n"/>
      <c r="C347" s="49" t="n"/>
      <c r="D347" s="169" t="n"/>
      <c r="E347" s="50">
        <f>IFERROR(VLOOKUP(B347,'Dados B3'!A:G,2,FALSE),"-")</f>
        <v/>
      </c>
      <c r="F347" s="51">
        <f>IF(H347=P$4,(C347*(1)),IF(H347=P$3,(C347*(-1)),IF(H347=P$2,(C347*(1)))))</f>
        <v/>
      </c>
      <c r="G347" s="176">
        <f>F347*D347</f>
        <v/>
      </c>
      <c r="H347" s="52" t="inlineStr">
        <is>
          <t>COMPRA</t>
        </is>
      </c>
      <c r="I347" s="177" t="n"/>
      <c r="J347" s="178">
        <f>IF(H347="VENDA",I347*F347*-1,0)</f>
        <v/>
      </c>
      <c r="K347" s="178">
        <f>IF(J347=0,0,J347+G347)</f>
        <v/>
      </c>
    </row>
    <row r="348">
      <c r="A348" s="47" t="n"/>
      <c r="B348" s="48" t="n"/>
      <c r="C348" s="49" t="n"/>
      <c r="D348" s="169" t="n"/>
      <c r="E348" s="50">
        <f>IFERROR(VLOOKUP(B348,'Dados B3'!A:G,2,FALSE),"-")</f>
        <v/>
      </c>
      <c r="F348" s="51">
        <f>IF(H348=P$4,(C348*(1)),IF(H348=P$3,(C348*(-1)),IF(H348=P$2,(C348*(1)))))</f>
        <v/>
      </c>
      <c r="G348" s="176">
        <f>F348*D348</f>
        <v/>
      </c>
      <c r="H348" s="52" t="inlineStr">
        <is>
          <t>VENDA</t>
        </is>
      </c>
      <c r="I348" s="177" t="n">
        <v>30</v>
      </c>
      <c r="J348" s="178">
        <f>IF(H348="VENDA",I348*F348*-1,0)</f>
        <v/>
      </c>
      <c r="K348" s="178">
        <f>IF(J348=0,0,J348+G348)</f>
        <v/>
      </c>
      <c r="M348" s="4" t="inlineStr">
        <is>
          <t>** QDO FAZER VENDAS ABAIXO DE 20K, Declarar LUCRO na Ficha "RENDIMENTOS ISENTOS E NÃO TRIBUTÁVEIS" | CÓDIGO: 20 |  FAZER A SOMATÓRIA DO ANO TODO E INFORMAR VALOR TOTAL **</t>
        </is>
      </c>
    </row>
    <row r="349">
      <c r="A349" s="47" t="n"/>
      <c r="B349" s="48" t="n"/>
      <c r="C349" s="49" t="n"/>
      <c r="D349" s="169" t="n"/>
      <c r="E349" s="50">
        <f>IFERROR(VLOOKUP(B349,'Dados B3'!A:G,2,FALSE),"-")</f>
        <v/>
      </c>
      <c r="F349" s="51">
        <f>IF(H349=P$4,(C349*(1)),IF(H349=P$3,(C349*(-1)),IF(H349=P$2,(C349*(1)))))</f>
        <v/>
      </c>
      <c r="G349" s="176">
        <f>F349*D349</f>
        <v/>
      </c>
      <c r="H349" s="52" t="inlineStr">
        <is>
          <t>COMPRA</t>
        </is>
      </c>
      <c r="I349" s="177" t="n"/>
      <c r="J349" s="178">
        <f>IF(H349="VENDA",I349*F349*-1,0)</f>
        <v/>
      </c>
      <c r="K349" s="178">
        <f>IF(J349=0,0,J349+G349)</f>
        <v/>
      </c>
    </row>
    <row r="350">
      <c r="A350" s="47" t="n"/>
      <c r="B350" s="48" t="n"/>
      <c r="C350" s="49" t="n"/>
      <c r="D350" s="169" t="n"/>
      <c r="E350" s="50">
        <f>IFERROR(VLOOKUP(B350,'Dados B3'!A:G,2,FALSE),"-")</f>
        <v/>
      </c>
      <c r="F350" s="51">
        <f>IF(H350=P$4,(C350*(1)),IF(H350=P$3,(C350*(-1)),IF(H350=P$2,(C350*(1)))))</f>
        <v/>
      </c>
      <c r="G350" s="176">
        <f>F350*D350</f>
        <v/>
      </c>
      <c r="H350" s="52" t="inlineStr">
        <is>
          <t>COMPRA</t>
        </is>
      </c>
      <c r="I350" s="177" t="n"/>
      <c r="J350" s="178">
        <f>IF(H350="VENDA",I350*F350*-1,0)</f>
        <v/>
      </c>
      <c r="K350" s="178">
        <f>IF(J350=0,0,J350+G350)</f>
        <v/>
      </c>
    </row>
    <row r="351">
      <c r="A351" s="47" t="n"/>
      <c r="B351" s="48" t="n"/>
      <c r="C351" s="49" t="n"/>
      <c r="D351" s="169" t="n"/>
      <c r="E351" s="50">
        <f>IFERROR(VLOOKUP(B351,'Dados B3'!A:G,2,FALSE),"-")</f>
        <v/>
      </c>
      <c r="F351" s="51">
        <f>IF(H351=P$4,(C351*(1)),IF(H351=P$3,(C351*(-1)),IF(H351=P$2,(C351*(1)))))</f>
        <v/>
      </c>
      <c r="G351" s="176">
        <f>F351*D351</f>
        <v/>
      </c>
      <c r="H351" s="52" t="inlineStr">
        <is>
          <t>COMPRA</t>
        </is>
      </c>
      <c r="I351" s="177" t="n"/>
      <c r="J351" s="178">
        <f>IF(H351="VENDA",I351*F351*-1,0)</f>
        <v/>
      </c>
      <c r="K351" s="178">
        <f>IF(J351=0,0,J351+G351)</f>
        <v/>
      </c>
    </row>
    <row r="352">
      <c r="A352" s="47" t="n"/>
      <c r="B352" s="48" t="n"/>
      <c r="C352" s="49" t="n"/>
      <c r="D352" s="169" t="n"/>
      <c r="E352" s="50">
        <f>IFERROR(VLOOKUP(B352,'Dados B3'!A:G,2,FALSE),"-")</f>
        <v/>
      </c>
      <c r="F352" s="51">
        <f>IF(H352=P$4,(C352*(1)),IF(H352=P$3,(C352*(-1)),IF(H352=P$2,(C352*(1)))))</f>
        <v/>
      </c>
      <c r="G352" s="176">
        <f>F352*D352</f>
        <v/>
      </c>
      <c r="H352" s="52" t="inlineStr">
        <is>
          <t>COMPRA</t>
        </is>
      </c>
      <c r="I352" s="177" t="n"/>
      <c r="J352" s="178">
        <f>IF(H352="VENDA",I352*F352*-1,0)</f>
        <v/>
      </c>
      <c r="K352" s="178">
        <f>IF(J352=0,0,J352+G352)</f>
        <v/>
      </c>
    </row>
    <row r="353">
      <c r="A353" s="47" t="n"/>
      <c r="B353" s="48" t="n"/>
      <c r="C353" s="49" t="n"/>
      <c r="D353" s="169" t="n"/>
      <c r="E353" s="50">
        <f>IFERROR(VLOOKUP(B353,'Dados B3'!A:G,2,FALSE),"-")</f>
        <v/>
      </c>
      <c r="F353" s="51">
        <f>IF(H353=P$4,(C353*(1)),IF(H353=P$3,(C353*(-1)),IF(H353=P$2,(C353*(1)))))</f>
        <v/>
      </c>
      <c r="G353" s="176">
        <f>F353*D353</f>
        <v/>
      </c>
      <c r="H353" s="52" t="inlineStr">
        <is>
          <t>COMPRA</t>
        </is>
      </c>
      <c r="I353" s="177" t="n"/>
      <c r="J353" s="178">
        <f>IF(H353="VENDA",I353*F353*-1,0)</f>
        <v/>
      </c>
      <c r="K353" s="178">
        <f>IF(J353=0,0,J353+G353)</f>
        <v/>
      </c>
    </row>
    <row r="354">
      <c r="A354" s="47" t="n"/>
      <c r="B354" s="48" t="n"/>
      <c r="C354" s="49" t="n"/>
      <c r="D354" s="169" t="n"/>
      <c r="E354" s="50">
        <f>IFERROR(VLOOKUP(B354,'Dados B3'!A:G,2,FALSE),"-")</f>
        <v/>
      </c>
      <c r="F354" s="51">
        <f>IF(H354=P$4,(C354*(1)),IF(H354=P$3,(C354*(-1)),IF(H354=P$2,(C354*(1)))))</f>
        <v/>
      </c>
      <c r="G354" s="176">
        <f>F354*D354</f>
        <v/>
      </c>
      <c r="H354" s="52" t="inlineStr">
        <is>
          <t>COMPRA</t>
        </is>
      </c>
      <c r="I354" s="177" t="n"/>
      <c r="J354" s="178">
        <f>IF(H354="VENDA",I354*F354*-1,0)</f>
        <v/>
      </c>
      <c r="K354" s="178">
        <f>IF(J354=0,0,J354+G354)</f>
        <v/>
      </c>
    </row>
    <row r="355">
      <c r="A355" s="47" t="n"/>
      <c r="B355" s="48" t="n"/>
      <c r="C355" s="49" t="n"/>
      <c r="D355" s="169" t="n"/>
      <c r="E355" s="50">
        <f>IFERROR(VLOOKUP(B355,'Dados B3'!A:G,2,FALSE),"-")</f>
        <v/>
      </c>
      <c r="F355" s="51">
        <f>IF(H355=P$4,(C355*(1)),IF(H355=P$3,(C355*(-1)),IF(H355=P$2,(C355*(1)))))</f>
        <v/>
      </c>
      <c r="G355" s="176">
        <f>F355*D355</f>
        <v/>
      </c>
      <c r="H355" s="52" t="inlineStr">
        <is>
          <t>COMPRA</t>
        </is>
      </c>
      <c r="I355" s="177" t="n"/>
      <c r="J355" s="178">
        <f>IF(H355="VENDA",I355*F355*-1,0)</f>
        <v/>
      </c>
      <c r="K355" s="178">
        <f>IF(J355=0,0,J355+G355)</f>
        <v/>
      </c>
    </row>
    <row r="356">
      <c r="A356" s="47" t="n"/>
      <c r="B356" s="48" t="n"/>
      <c r="C356" s="49" t="n"/>
      <c r="D356" s="169" t="n"/>
      <c r="E356" s="50">
        <f>IFERROR(VLOOKUP(B356,'Dados B3'!A:G,2,FALSE),"-")</f>
        <v/>
      </c>
      <c r="F356" s="51">
        <f>IF(H356=P$4,(C356*(1)),IF(H356=P$3,(C356*(-1)),IF(H356=P$2,(C356*(1)))))</f>
        <v/>
      </c>
      <c r="G356" s="176">
        <f>F356*D356</f>
        <v/>
      </c>
      <c r="H356" s="52" t="inlineStr">
        <is>
          <t>COMPRA</t>
        </is>
      </c>
      <c r="I356" s="177" t="n"/>
      <c r="J356" s="178">
        <f>IF(H356="VENDA",I356*F356*-1,0)</f>
        <v/>
      </c>
      <c r="K356" s="178">
        <f>IF(J356=0,0,J356+G356)</f>
        <v/>
      </c>
    </row>
    <row r="357">
      <c r="A357" s="47" t="n"/>
      <c r="B357" s="48" t="n"/>
      <c r="C357" s="49" t="n"/>
      <c r="D357" s="169" t="n"/>
      <c r="E357" s="50">
        <f>IFERROR(VLOOKUP(B357,'Dados B3'!A:G,2,FALSE),"-")</f>
        <v/>
      </c>
      <c r="F357" s="51">
        <f>IF(H357=P$4,(C357*(1)),IF(H357=P$3,(C357*(-1)),IF(H357=P$2,(C357*(1)))))</f>
        <v/>
      </c>
      <c r="G357" s="176">
        <f>F357*D357</f>
        <v/>
      </c>
      <c r="H357" s="52" t="inlineStr">
        <is>
          <t>COMPRA</t>
        </is>
      </c>
      <c r="I357" s="177" t="n"/>
      <c r="J357" s="178">
        <f>IF(H357="VENDA",I357*F357*-1,0)</f>
        <v/>
      </c>
      <c r="K357" s="178">
        <f>IF(J357=0,0,J357+G357)</f>
        <v/>
      </c>
    </row>
    <row r="358">
      <c r="A358" s="47" t="n"/>
      <c r="B358" s="48" t="n"/>
      <c r="C358" s="49" t="n"/>
      <c r="D358" s="169" t="n"/>
      <c r="E358" s="50">
        <f>IFERROR(VLOOKUP(B358,'Dados B3'!A:G,2,FALSE),"-")</f>
        <v/>
      </c>
      <c r="F358" s="51">
        <f>IF(H358=P$4,(C358*(1)),IF(H358=P$3,(C358*(-1)),IF(H358=P$2,(C358*(1)))))</f>
        <v/>
      </c>
      <c r="G358" s="176">
        <f>F358*D358</f>
        <v/>
      </c>
      <c r="H358" s="52" t="inlineStr">
        <is>
          <t>COMPRA</t>
        </is>
      </c>
      <c r="I358" s="177" t="n"/>
      <c r="J358" s="178">
        <f>IF(H358="VENDA",I358*F358*-1,0)</f>
        <v/>
      </c>
      <c r="K358" s="178">
        <f>IF(J358=0,0,J358+G358)</f>
        <v/>
      </c>
    </row>
    <row r="359">
      <c r="A359" s="47" t="n"/>
      <c r="B359" s="48" t="n"/>
      <c r="C359" s="49" t="n"/>
      <c r="D359" s="169" t="n"/>
      <c r="E359" s="50">
        <f>IFERROR(VLOOKUP(B359,'Dados B3'!A:G,2,FALSE),"-")</f>
        <v/>
      </c>
      <c r="F359" s="51">
        <f>IF(H359=P$4,(C359*(1)),IF(H359=P$3,(C359*(-1)),IF(H359=P$2,(C359*(1)))))</f>
        <v/>
      </c>
      <c r="G359" s="176">
        <f>F359*D359</f>
        <v/>
      </c>
      <c r="H359" s="52" t="inlineStr">
        <is>
          <t>COMPRA</t>
        </is>
      </c>
      <c r="I359" s="177" t="n"/>
      <c r="J359" s="178">
        <f>IF(H359="VENDA",I359*F359*-1,0)</f>
        <v/>
      </c>
      <c r="K359" s="178">
        <f>IF(J359=0,0,J359+G359)</f>
        <v/>
      </c>
    </row>
    <row r="360">
      <c r="A360" s="47" t="n"/>
      <c r="B360" s="48" t="n"/>
      <c r="C360" s="49" t="n"/>
      <c r="D360" s="169" t="n"/>
      <c r="E360" s="50">
        <f>IFERROR(VLOOKUP(B360,'Dados B3'!A:G,2,FALSE),"-")</f>
        <v/>
      </c>
      <c r="F360" s="51">
        <f>IF(H360=P$4,(C360*(1)),IF(H360=P$3,(C360*(-1)),IF(H360=P$2,(C360*(1)))))</f>
        <v/>
      </c>
      <c r="G360" s="176">
        <f>F360*D360</f>
        <v/>
      </c>
      <c r="H360" s="52" t="inlineStr">
        <is>
          <t>COMPRA</t>
        </is>
      </c>
      <c r="I360" s="177" t="n"/>
      <c r="J360" s="178">
        <f>IF(H360="VENDA",I360*F360*-1,0)</f>
        <v/>
      </c>
      <c r="K360" s="178">
        <f>IF(J360=0,0,J360+G360)</f>
        <v/>
      </c>
    </row>
    <row r="361">
      <c r="A361" s="47" t="n"/>
      <c r="B361" s="48" t="n"/>
      <c r="C361" s="49" t="n"/>
      <c r="D361" s="169" t="n"/>
      <c r="E361" s="50">
        <f>IFERROR(VLOOKUP(B361,'Dados B3'!A:G,2,FALSE),"-")</f>
        <v/>
      </c>
      <c r="F361" s="51">
        <f>IF(H361=P$4,(C361*(1)),IF(H361=P$3,(C361*(-1)),IF(H361=P$2,(C361*(1)))))</f>
        <v/>
      </c>
      <c r="G361" s="176">
        <f>F361*D361</f>
        <v/>
      </c>
      <c r="H361" s="52" t="inlineStr">
        <is>
          <t>COMPRA</t>
        </is>
      </c>
      <c r="I361" s="177" t="n"/>
      <c r="J361" s="178">
        <f>IF(H361="VENDA",I361*F361*-1,0)</f>
        <v/>
      </c>
      <c r="K361" s="178">
        <f>IF(J361=0,0,J361+G361)</f>
        <v/>
      </c>
    </row>
    <row r="362">
      <c r="A362" s="47" t="n"/>
      <c r="B362" s="48" t="n"/>
      <c r="C362" s="49" t="n"/>
      <c r="D362" s="169" t="n"/>
      <c r="E362" s="50">
        <f>IFERROR(VLOOKUP(B362,'Dados B3'!A:G,2,FALSE),"-")</f>
        <v/>
      </c>
      <c r="F362" s="51">
        <f>IF(H362=P$4,(C362*(1)),IF(H362=P$3,(C362*(-1)),IF(H362=P$2,(C362*(1)))))</f>
        <v/>
      </c>
      <c r="G362" s="176">
        <f>F362*D362</f>
        <v/>
      </c>
      <c r="H362" s="52" t="inlineStr">
        <is>
          <t>COMPRA</t>
        </is>
      </c>
      <c r="I362" s="177" t="n"/>
      <c r="J362" s="178">
        <f>IF(H362="VENDA",I362*F362*-1,0)</f>
        <v/>
      </c>
      <c r="K362" s="178">
        <f>IF(J362=0,0,J362+G362)</f>
        <v/>
      </c>
    </row>
    <row r="363">
      <c r="A363" s="47" t="n"/>
      <c r="B363" s="48" t="n"/>
      <c r="C363" s="49" t="n"/>
      <c r="D363" s="169" t="n"/>
      <c r="E363" s="50">
        <f>IFERROR(VLOOKUP(B363,'Dados B3'!A:G,2,FALSE),"-")</f>
        <v/>
      </c>
      <c r="F363" s="51">
        <f>IF(H363=P$4,(C363*(1)),IF(H363=P$3,(C363*(-1)),IF(H363=P$2,(C363*(1)))))</f>
        <v/>
      </c>
      <c r="G363" s="176">
        <f>F363*D363</f>
        <v/>
      </c>
      <c r="H363" s="52" t="inlineStr">
        <is>
          <t>COMPRA</t>
        </is>
      </c>
      <c r="I363" s="177" t="n"/>
      <c r="J363" s="178">
        <f>IF(H363="VENDA",I363*F363*-1,0)</f>
        <v/>
      </c>
      <c r="K363" s="178">
        <f>IF(J363=0,0,J363+G363)</f>
        <v/>
      </c>
    </row>
    <row r="364">
      <c r="A364" s="47" t="n"/>
      <c r="B364" s="48" t="n"/>
      <c r="C364" s="49" t="n"/>
      <c r="D364" s="169" t="n"/>
      <c r="E364" s="50">
        <f>IFERROR(VLOOKUP(B364,'Dados B3'!A:G,2,FALSE),"-")</f>
        <v/>
      </c>
      <c r="F364" s="51">
        <f>IF(H364=P$4,(C364*(1)),IF(H364=P$3,(C364*(-1)),IF(H364=P$2,(C364*(1)))))</f>
        <v/>
      </c>
      <c r="G364" s="176">
        <f>F364*D364</f>
        <v/>
      </c>
      <c r="H364" s="52" t="inlineStr">
        <is>
          <t>COMPRA</t>
        </is>
      </c>
      <c r="I364" s="177" t="n"/>
      <c r="J364" s="178">
        <f>IF(H364="VENDA",I364*F364*-1,0)</f>
        <v/>
      </c>
      <c r="K364" s="178">
        <f>IF(J364=0,0,J364+G364)</f>
        <v/>
      </c>
    </row>
    <row r="365">
      <c r="A365" s="47" t="n"/>
      <c r="B365" s="48" t="n"/>
      <c r="C365" s="49" t="n"/>
      <c r="D365" s="169" t="n"/>
      <c r="E365" s="50">
        <f>IFERROR(VLOOKUP(B365,'Dados B3'!A:G,2,FALSE),"-")</f>
        <v/>
      </c>
      <c r="F365" s="51">
        <f>IF(H365=P$4,(C365*(1)),IF(H365=P$3,(C365*(-1)),IF(H365=P$2,(C365*(1)))))</f>
        <v/>
      </c>
      <c r="G365" s="176">
        <f>F365*D365</f>
        <v/>
      </c>
      <c r="H365" s="52" t="inlineStr">
        <is>
          <t>COMPRA</t>
        </is>
      </c>
      <c r="I365" s="177" t="n"/>
      <c r="J365" s="178">
        <f>IF(H365="VENDA",I365*F365*-1,0)</f>
        <v/>
      </c>
      <c r="K365" s="178">
        <f>IF(J365=0,0,J365+G365)</f>
        <v/>
      </c>
    </row>
    <row r="366">
      <c r="A366" s="47" t="n"/>
      <c r="B366" s="48" t="n"/>
      <c r="C366" s="49" t="n"/>
      <c r="D366" s="169" t="n"/>
      <c r="E366" s="50">
        <f>IFERROR(VLOOKUP(B366,'Dados B3'!A:G,2,FALSE),"-")</f>
        <v/>
      </c>
      <c r="F366" s="51">
        <f>IF(H366=P$4,(C366*(1)),IF(H366=P$3,(C366*(-1)),IF(H366=P$2,(C366*(1)))))</f>
        <v/>
      </c>
      <c r="G366" s="176">
        <f>F366*D366</f>
        <v/>
      </c>
      <c r="H366" s="52" t="inlineStr">
        <is>
          <t>COMPRA</t>
        </is>
      </c>
      <c r="I366" s="177" t="n"/>
      <c r="J366" s="178">
        <f>IF(H366="VENDA",I366*F366*-1,0)</f>
        <v/>
      </c>
      <c r="K366" s="178">
        <f>IF(J366=0,0,J366+G366)</f>
        <v/>
      </c>
    </row>
    <row r="367">
      <c r="A367" s="47" t="n"/>
      <c r="B367" s="48" t="n"/>
      <c r="C367" s="49" t="n"/>
      <c r="D367" s="169" t="n"/>
      <c r="E367" s="50">
        <f>IFERROR(VLOOKUP(B367,'Dados B3'!A:G,2,FALSE),"-")</f>
        <v/>
      </c>
      <c r="F367" s="51">
        <f>IF(H367=P$4,(C367*(1)),IF(H367=P$3,(C367*(-1)),IF(H367=P$2,(C367*(1)))))</f>
        <v/>
      </c>
      <c r="G367" s="176">
        <f>F367*D367</f>
        <v/>
      </c>
      <c r="H367" s="52" t="inlineStr">
        <is>
          <t>COMPRA</t>
        </is>
      </c>
      <c r="I367" s="177" t="n"/>
      <c r="J367" s="178">
        <f>IF(H367="VENDA",I367*F367*-1,0)</f>
        <v/>
      </c>
      <c r="K367" s="178">
        <f>IF(J367=0,0,J367+G367)</f>
        <v/>
      </c>
    </row>
    <row r="368">
      <c r="A368" s="47" t="n"/>
      <c r="B368" s="48" t="n"/>
      <c r="C368" s="49" t="n"/>
      <c r="D368" s="169" t="n"/>
      <c r="E368" s="50">
        <f>IFERROR(VLOOKUP(B368,'Dados B3'!A:G,2,FALSE),"-")</f>
        <v/>
      </c>
      <c r="F368" s="51">
        <f>IF(H368=P$4,(C368*(1)),IF(H368=P$3,(C368*(-1)),IF(H368=P$2,(C368*(1)))))</f>
        <v/>
      </c>
      <c r="G368" s="176">
        <f>F368*D368</f>
        <v/>
      </c>
      <c r="H368" s="52" t="inlineStr">
        <is>
          <t>COMPRA</t>
        </is>
      </c>
      <c r="I368" s="177" t="n"/>
      <c r="J368" s="178">
        <f>IF(H368="VENDA",I368*F368*-1,0)</f>
        <v/>
      </c>
      <c r="K368" s="178">
        <f>IF(J368=0,0,J368+G368)</f>
        <v/>
      </c>
    </row>
    <row r="369">
      <c r="A369" s="47" t="n"/>
      <c r="B369" s="48" t="n"/>
      <c r="C369" s="49" t="n"/>
      <c r="D369" s="169" t="n"/>
      <c r="E369" s="50">
        <f>IFERROR(VLOOKUP(B369,'Dados B3'!A:G,2,FALSE),"-")</f>
        <v/>
      </c>
      <c r="F369" s="51">
        <f>IF(H369=P$4,(C369*(1)),IF(H369=P$3,(C369*(-1)),IF(H369=P$2,(C369*(1)))))</f>
        <v/>
      </c>
      <c r="G369" s="176">
        <f>F369*D369</f>
        <v/>
      </c>
      <c r="H369" s="52" t="inlineStr">
        <is>
          <t>COMPRA</t>
        </is>
      </c>
      <c r="I369" s="177" t="n"/>
      <c r="J369" s="178">
        <f>IF(H369="VENDA",I369*F369*-1,0)</f>
        <v/>
      </c>
      <c r="K369" s="178">
        <f>IF(J369=0,0,J369+G369)</f>
        <v/>
      </c>
    </row>
    <row r="370">
      <c r="A370" s="47" t="n"/>
      <c r="B370" s="48" t="n"/>
      <c r="C370" s="49" t="n"/>
      <c r="D370" s="169" t="n"/>
      <c r="E370" s="50">
        <f>IFERROR(VLOOKUP(B370,'Dados B3'!A:G,2,FALSE),"-")</f>
        <v/>
      </c>
      <c r="F370" s="51">
        <f>IF(H370=P$4,(C370*(1)),IF(H370=P$3,(C370*(-1)),IF(H370=P$2,(C370*(1)))))</f>
        <v/>
      </c>
      <c r="G370" s="176">
        <f>F370*D370</f>
        <v/>
      </c>
      <c r="H370" s="52" t="inlineStr">
        <is>
          <t>COMPRA</t>
        </is>
      </c>
      <c r="I370" s="177" t="n"/>
      <c r="J370" s="178">
        <f>IF(H370="VENDA",I370*F370*-1,0)</f>
        <v/>
      </c>
      <c r="K370" s="178">
        <f>IF(J370=0,0,J370+G370)</f>
        <v/>
      </c>
    </row>
    <row r="371">
      <c r="A371" s="47" t="n"/>
      <c r="B371" s="48" t="n"/>
      <c r="C371" s="49" t="n"/>
      <c r="D371" s="169" t="n"/>
      <c r="E371" s="50">
        <f>IFERROR(VLOOKUP(B371,'Dados B3'!A:G,2,FALSE),"-")</f>
        <v/>
      </c>
      <c r="F371" s="51">
        <f>IF(H371=P$4,(C371*(1)),IF(H371=P$3,(C371*(-1)),IF(H371=P$2,(C371*(1)))))</f>
        <v/>
      </c>
      <c r="G371" s="176">
        <f>F371*D371</f>
        <v/>
      </c>
      <c r="H371" s="52" t="inlineStr">
        <is>
          <t>COMPRA</t>
        </is>
      </c>
      <c r="I371" s="177" t="n"/>
      <c r="J371" s="178">
        <f>IF(H371="VENDA",I371*F371*-1,0)</f>
        <v/>
      </c>
      <c r="K371" s="178">
        <f>IF(J371=0,0,J371+G371)</f>
        <v/>
      </c>
    </row>
    <row r="372">
      <c r="A372" s="47" t="n"/>
      <c r="B372" s="48" t="n"/>
      <c r="C372" s="49" t="n"/>
      <c r="D372" s="169" t="n"/>
      <c r="E372" s="50">
        <f>IFERROR(VLOOKUP(B372,'Dados B3'!A:G,2,FALSE),"-")</f>
        <v/>
      </c>
      <c r="F372" s="51">
        <f>IF(H372=P$4,(C372*(1)),IF(H372=P$3,(C372*(-1)),IF(H372=P$2,(C372*(1)))))</f>
        <v/>
      </c>
      <c r="G372" s="176">
        <f>F372*D372</f>
        <v/>
      </c>
      <c r="H372" s="52" t="inlineStr">
        <is>
          <t>COMPRA</t>
        </is>
      </c>
      <c r="I372" s="177" t="n"/>
      <c r="J372" s="178">
        <f>IF(H372="VENDA",I372*F372*-1,0)</f>
        <v/>
      </c>
      <c r="K372" s="178">
        <f>IF(J372=0,0,J372+G372)</f>
        <v/>
      </c>
    </row>
    <row r="373">
      <c r="A373" s="47" t="n"/>
      <c r="B373" s="48" t="n"/>
      <c r="C373" s="49" t="n"/>
      <c r="D373" s="169" t="n"/>
      <c r="E373" s="50">
        <f>IFERROR(VLOOKUP(B373,'Dados B3'!A:G,2,FALSE),"-")</f>
        <v/>
      </c>
      <c r="F373" s="51">
        <f>IF(H373=P$4,(C373*(1)),IF(H373=P$3,(C373*(-1)),IF(H373=P$2,(C373*(1)))))</f>
        <v/>
      </c>
      <c r="G373" s="176">
        <f>F373*D373</f>
        <v/>
      </c>
      <c r="H373" s="52" t="inlineStr">
        <is>
          <t>COMPRA</t>
        </is>
      </c>
      <c r="I373" s="177" t="n"/>
      <c r="J373" s="178">
        <f>IF(H373="VENDA",I373*F373*-1,0)</f>
        <v/>
      </c>
      <c r="K373" s="178">
        <f>IF(J373=0,0,J373+G373)</f>
        <v/>
      </c>
    </row>
    <row r="374">
      <c r="A374" s="47" t="n"/>
      <c r="B374" s="48" t="n"/>
      <c r="C374" s="49" t="n"/>
      <c r="D374" s="169" t="n"/>
      <c r="E374" s="50">
        <f>IFERROR(VLOOKUP(B374,'Dados B3'!A:G,2,FALSE),"-")</f>
        <v/>
      </c>
      <c r="F374" s="51">
        <f>IF(H374=P$4,(C374*(1)),IF(H374=P$3,(C374*(-1)),IF(H374=P$2,(C374*(1)))))</f>
        <v/>
      </c>
      <c r="G374" s="176">
        <f>F374*D374</f>
        <v/>
      </c>
      <c r="H374" s="52" t="inlineStr">
        <is>
          <t>COMPRA</t>
        </is>
      </c>
      <c r="I374" s="177" t="n"/>
      <c r="J374" s="178">
        <f>IF(H374="VENDA",I374*F374*-1,0)</f>
        <v/>
      </c>
      <c r="K374" s="178">
        <f>IF(J374=0,0,J374+G374)</f>
        <v/>
      </c>
    </row>
    <row r="375">
      <c r="A375" s="47" t="n"/>
      <c r="B375" s="48" t="n"/>
      <c r="C375" s="49" t="n"/>
      <c r="D375" s="169" t="n"/>
      <c r="E375" s="50">
        <f>IFERROR(VLOOKUP(B375,'Dados B3'!A:G,2,FALSE),"-")</f>
        <v/>
      </c>
      <c r="F375" s="51">
        <f>IF(H375=P$4,(C375*(1)),IF(H375=P$3,(C375*(-1)),IF(H375=P$2,(C375*(1)))))</f>
        <v/>
      </c>
      <c r="G375" s="176">
        <f>F375*D375</f>
        <v/>
      </c>
      <c r="H375" s="52" t="inlineStr">
        <is>
          <t>COMPRA</t>
        </is>
      </c>
      <c r="I375" s="177" t="n"/>
      <c r="J375" s="178">
        <f>IF(H375="VENDA",I375*F375*-1,0)</f>
        <v/>
      </c>
      <c r="K375" s="178">
        <f>IF(J375=0,0,J375+G375)</f>
        <v/>
      </c>
    </row>
    <row r="376">
      <c r="A376" s="47" t="n"/>
      <c r="B376" s="48" t="n"/>
      <c r="C376" s="49" t="n"/>
      <c r="D376" s="169" t="n"/>
      <c r="E376" s="50">
        <f>IFERROR(VLOOKUP(B376,'Dados B3'!A:G,2,FALSE),"-")</f>
        <v/>
      </c>
      <c r="F376" s="51">
        <f>IF(H376=P$4,(C376*(1)),IF(H376=P$3,(C376*(-1)),IF(H376=P$2,(C376*(1)))))</f>
        <v/>
      </c>
      <c r="G376" s="176">
        <f>F376*D376</f>
        <v/>
      </c>
      <c r="H376" s="52" t="inlineStr">
        <is>
          <t>COMPRA</t>
        </is>
      </c>
      <c r="I376" s="177" t="n"/>
      <c r="J376" s="178">
        <f>IF(H376="VENDA",I376*F376*-1,0)</f>
        <v/>
      </c>
      <c r="K376" s="178">
        <f>IF(J376=0,0,J376+G376)</f>
        <v/>
      </c>
    </row>
    <row r="377">
      <c r="A377" s="47" t="n"/>
      <c r="B377" s="48" t="n"/>
      <c r="C377" s="49" t="n"/>
      <c r="D377" s="169" t="n"/>
      <c r="E377" s="50">
        <f>IFERROR(VLOOKUP(B377,'Dados B3'!A:G,2,FALSE),"-")</f>
        <v/>
      </c>
      <c r="F377" s="51">
        <f>IF(H377=P$4,(C377*(1)),IF(H377=P$3,(C377*(-1)),IF(H377=P$2,(C377*(1)))))</f>
        <v/>
      </c>
      <c r="G377" s="176">
        <f>F377*D377</f>
        <v/>
      </c>
      <c r="H377" s="52" t="inlineStr">
        <is>
          <t>COMPRA</t>
        </is>
      </c>
      <c r="I377" s="177" t="n"/>
      <c r="J377" s="178">
        <f>IF(H377="VENDA",I377*F377*-1,0)</f>
        <v/>
      </c>
      <c r="K377" s="178">
        <f>IF(J377=0,0,J377+G377)</f>
        <v/>
      </c>
    </row>
    <row r="378">
      <c r="A378" s="47" t="n"/>
      <c r="B378" s="48" t="n"/>
      <c r="C378" s="49" t="n"/>
      <c r="D378" s="169" t="n"/>
      <c r="E378" s="50">
        <f>IFERROR(VLOOKUP(B378,'Dados B3'!A:G,2,FALSE),"-")</f>
        <v/>
      </c>
      <c r="F378" s="51">
        <f>IF(H378=P$4,(C378*(1)),IF(H378=P$3,(C378*(-1)),IF(H378=P$2,(C378*(1)))))</f>
        <v/>
      </c>
      <c r="G378" s="176">
        <f>F378*D378</f>
        <v/>
      </c>
      <c r="H378" s="52" t="inlineStr">
        <is>
          <t>COMPRA</t>
        </is>
      </c>
      <c r="I378" s="177" t="n"/>
      <c r="J378" s="178">
        <f>IF(H378="VENDA",I378*F378*-1,0)</f>
        <v/>
      </c>
      <c r="K378" s="178">
        <f>IF(J378=0,0,J378+G378)</f>
        <v/>
      </c>
    </row>
    <row r="379">
      <c r="A379" s="47" t="n"/>
      <c r="B379" s="48" t="n"/>
      <c r="C379" s="49" t="n"/>
      <c r="D379" s="169" t="n"/>
      <c r="E379" s="50">
        <f>IFERROR(VLOOKUP(B379,'Dados B3'!A:G,2,FALSE),"-")</f>
        <v/>
      </c>
      <c r="F379" s="51">
        <f>IF(H379=P$4,(C379*(1)),IF(H379=P$3,(C379*(-1)),IF(H379=P$2,(C379*(1)))))</f>
        <v/>
      </c>
      <c r="G379" s="176">
        <f>F379*D379</f>
        <v/>
      </c>
      <c r="H379" s="52" t="inlineStr">
        <is>
          <t>COMPRA</t>
        </is>
      </c>
      <c r="I379" s="177" t="n"/>
      <c r="J379" s="178">
        <f>IF(H379="VENDA",I379*F379*-1,0)</f>
        <v/>
      </c>
      <c r="K379" s="178">
        <f>IF(J379=0,0,J379+G379)</f>
        <v/>
      </c>
    </row>
    <row r="380">
      <c r="A380" s="47" t="n"/>
      <c r="B380" s="48" t="n"/>
      <c r="C380" s="49" t="n"/>
      <c r="D380" s="169" t="n"/>
      <c r="E380" s="50">
        <f>IFERROR(VLOOKUP(B380,'Dados B3'!A:G,2,FALSE),"-")</f>
        <v/>
      </c>
      <c r="F380" s="51">
        <f>IF(H380=P$4,(C380*(1)),IF(H380=P$3,(C380*(-1)),IF(H380=P$2,(C380*(1)))))</f>
        <v/>
      </c>
      <c r="G380" s="176">
        <f>F380*D380</f>
        <v/>
      </c>
      <c r="H380" s="52" t="inlineStr">
        <is>
          <t>COMPRA</t>
        </is>
      </c>
      <c r="I380" s="177" t="n"/>
      <c r="J380" s="178">
        <f>IF(H380="VENDA",I380*F380*-1,0)</f>
        <v/>
      </c>
      <c r="K380" s="178">
        <f>IF(J380=0,0,J380+G380)</f>
        <v/>
      </c>
    </row>
    <row r="381">
      <c r="A381" s="47" t="n"/>
      <c r="B381" s="48" t="n"/>
      <c r="C381" s="49" t="n"/>
      <c r="D381" s="169" t="n"/>
      <c r="E381" s="50">
        <f>IFERROR(VLOOKUP(B381,'Dados B3'!A:G,2,FALSE),"-")</f>
        <v/>
      </c>
      <c r="F381" s="51">
        <f>IF(H381=P$4,(C381*(1)),IF(H381=P$3,(C381*(-1)),IF(H381=P$2,(C381*(1)))))</f>
        <v/>
      </c>
      <c r="G381" s="176">
        <f>F381*D381</f>
        <v/>
      </c>
      <c r="H381" s="52" t="inlineStr">
        <is>
          <t>COMPRA</t>
        </is>
      </c>
      <c r="I381" s="177" t="n"/>
      <c r="J381" s="178">
        <f>IF(H381="VENDA",I381*F381*-1,0)</f>
        <v/>
      </c>
      <c r="K381" s="178">
        <f>IF(J381=0,0,J381+G381)</f>
        <v/>
      </c>
    </row>
    <row r="382">
      <c r="A382" s="47" t="n"/>
      <c r="B382" s="48" t="n"/>
      <c r="C382" s="49" t="n"/>
      <c r="D382" s="169" t="n"/>
      <c r="E382" s="50">
        <f>IFERROR(VLOOKUP(B382,'Dados B3'!A:G,2,FALSE),"-")</f>
        <v/>
      </c>
      <c r="F382" s="51">
        <f>IF(H382=P$4,(C382*(1)),IF(H382=P$3,(C382*(-1)),IF(H382=P$2,(C382*(1)))))</f>
        <v/>
      </c>
      <c r="G382" s="176">
        <f>F382*D382</f>
        <v/>
      </c>
      <c r="H382" s="52" t="inlineStr">
        <is>
          <t>VENDA</t>
        </is>
      </c>
      <c r="I382" s="177" t="n">
        <v>22.43</v>
      </c>
      <c r="J382" s="178">
        <f>IF(H382="VENDA",I382*F382*-1,0)</f>
        <v/>
      </c>
      <c r="K382" s="178">
        <f>IF(J382=0,0,J382+G382)</f>
        <v/>
      </c>
      <c r="M382" s="4" t="inlineStr">
        <is>
          <t>** QDO FAZER VENDAS ABAIXO DE 20K, Declarar LUCRO na Ficha "RENDIMENTOS ISENTOS E NÃO TRIBUTÁVEIS" | CÓDIGO: 20 |  FAZER A SOMATÓRIA DO ANO TODO E INFORMAR VALOR TOTAL **</t>
        </is>
      </c>
    </row>
    <row r="383">
      <c r="A383" s="47" t="n"/>
      <c r="B383" s="48" t="n"/>
      <c r="C383" s="49" t="n"/>
      <c r="D383" s="169" t="n"/>
      <c r="E383" s="50">
        <f>IFERROR(VLOOKUP(B383,'Dados B3'!A:G,2,FALSE),"-")</f>
        <v/>
      </c>
      <c r="F383" s="51">
        <f>IF(H383=P$4,(C383*(1)),IF(H383=P$3,(C383*(-1)),IF(H383=P$2,(C383*(1)))))</f>
        <v/>
      </c>
      <c r="G383" s="176">
        <f>F383*D383</f>
        <v/>
      </c>
      <c r="H383" s="52" t="inlineStr">
        <is>
          <t>COMPRA</t>
        </is>
      </c>
      <c r="I383" s="177" t="n"/>
      <c r="J383" s="178">
        <f>IF(H383="VENDA",I383*F383*-1,0)</f>
        <v/>
      </c>
      <c r="K383" s="178">
        <f>IF(J383=0,0,J383+G383)</f>
        <v/>
      </c>
    </row>
    <row r="384">
      <c r="A384" s="47" t="n"/>
      <c r="B384" s="48" t="n"/>
      <c r="C384" s="49" t="n"/>
      <c r="D384" s="169" t="n"/>
      <c r="E384" s="50">
        <f>IFERROR(VLOOKUP(B384,'Dados B3'!A:G,2,FALSE),"-")</f>
        <v/>
      </c>
      <c r="F384" s="51">
        <f>IF(H384=P$4,(C384*(1)),IF(H384=P$3,(C384*(-1)),IF(H384=P$2,(C384*(1)))))</f>
        <v/>
      </c>
      <c r="G384" s="176">
        <f>F384*D384</f>
        <v/>
      </c>
      <c r="H384" s="52" t="inlineStr">
        <is>
          <t>COMPRA</t>
        </is>
      </c>
      <c r="I384" s="177" t="n"/>
      <c r="J384" s="178">
        <f>IF(H384="VENDA",I384*F384*-1,0)</f>
        <v/>
      </c>
      <c r="K384" s="178">
        <f>IF(J384=0,0,J384+G384)</f>
        <v/>
      </c>
    </row>
    <row r="385">
      <c r="A385" s="47" t="n"/>
      <c r="B385" s="48" t="n"/>
      <c r="C385" s="49" t="n"/>
      <c r="D385" s="169" t="n"/>
      <c r="E385" s="50">
        <f>IFERROR(VLOOKUP(B385,'Dados B3'!A:G,2,FALSE),"-")</f>
        <v/>
      </c>
      <c r="F385" s="51">
        <f>IF(H385=P$4,(C385*(1)),IF(H385=P$3,(C385*(-1)),IF(H385=P$2,(C385*(1)))))</f>
        <v/>
      </c>
      <c r="G385" s="176">
        <f>F385*D385</f>
        <v/>
      </c>
      <c r="H385" s="52" t="inlineStr">
        <is>
          <t>COMPRA</t>
        </is>
      </c>
      <c r="I385" s="177" t="n"/>
      <c r="J385" s="178">
        <f>IF(H385="VENDA",I385*F385*-1,0)</f>
        <v/>
      </c>
      <c r="K385" s="178">
        <f>IF(J385=0,0,J385+G385)</f>
        <v/>
      </c>
    </row>
    <row r="386">
      <c r="A386" s="47" t="n"/>
      <c r="B386" s="48" t="n"/>
      <c r="C386" s="49" t="n"/>
      <c r="D386" s="169" t="n"/>
      <c r="E386" s="50">
        <f>IFERROR(VLOOKUP(B386,'Dados B3'!A:G,2,FALSE),"-")</f>
        <v/>
      </c>
      <c r="F386" s="51">
        <f>IF(H386=P$4,(C386*(1)),IF(H386=P$3,(C386*(-1)),IF(H386=P$2,(C386*(1)))))</f>
        <v/>
      </c>
      <c r="G386" s="176">
        <f>F386*D386</f>
        <v/>
      </c>
      <c r="H386" s="52" t="inlineStr">
        <is>
          <t>COMPRA</t>
        </is>
      </c>
      <c r="I386" s="177" t="n"/>
      <c r="J386" s="178">
        <f>IF(H386="VENDA",I386*F386*-1,0)</f>
        <v/>
      </c>
      <c r="K386" s="178">
        <f>IF(J386=0,0,J386+G386)</f>
        <v/>
      </c>
    </row>
    <row r="387">
      <c r="A387" s="47" t="n"/>
      <c r="B387" s="48" t="n"/>
      <c r="C387" s="49" t="n"/>
      <c r="D387" s="169" t="n"/>
      <c r="E387" s="50">
        <f>IFERROR(VLOOKUP(B387,'Dados B3'!A:G,2,FALSE),"-")</f>
        <v/>
      </c>
      <c r="F387" s="51">
        <f>IF(H387=P$4,(C387*(1)),IF(H387=P$3,(C387*(-1)),IF(H387=P$2,(C387*(1)))))</f>
        <v/>
      </c>
      <c r="G387" s="176">
        <f>F387*D387</f>
        <v/>
      </c>
      <c r="H387" s="52" t="inlineStr">
        <is>
          <t>COMPRA</t>
        </is>
      </c>
      <c r="I387" s="177" t="n"/>
      <c r="J387" s="178">
        <f>IF(H387="VENDA",I387*F387*-1,0)</f>
        <v/>
      </c>
      <c r="K387" s="178">
        <f>IF(J387=0,0,J387+G387)</f>
        <v/>
      </c>
    </row>
    <row r="388">
      <c r="A388" s="47" t="n"/>
      <c r="B388" s="48" t="n"/>
      <c r="C388" s="49" t="n"/>
      <c r="D388" s="169" t="n"/>
      <c r="E388" s="50">
        <f>IFERROR(VLOOKUP(B388,'Dados B3'!A:G,2,FALSE),"-")</f>
        <v/>
      </c>
      <c r="F388" s="51">
        <f>IF(H388=P$4,(C388*(1)),IF(H388=P$3,(C388*(-1)),IF(H388=P$2,(C388*(1)))))</f>
        <v/>
      </c>
      <c r="G388" s="176">
        <f>F388*D388</f>
        <v/>
      </c>
      <c r="H388" s="52" t="inlineStr">
        <is>
          <t>COMPRA</t>
        </is>
      </c>
      <c r="I388" s="177" t="n"/>
      <c r="J388" s="178">
        <f>IF(H388="VENDA",I388*F388*-1,0)</f>
        <v/>
      </c>
      <c r="K388" s="178">
        <f>IF(J388=0,0,J388+G388)</f>
        <v/>
      </c>
    </row>
    <row r="389">
      <c r="A389" s="47" t="n"/>
      <c r="B389" s="48" t="n"/>
      <c r="C389" s="49" t="n"/>
      <c r="D389" s="169" t="n"/>
      <c r="E389" s="50">
        <f>IFERROR(VLOOKUP(B389,'Dados B3'!A:G,2,FALSE),"-")</f>
        <v/>
      </c>
      <c r="F389" s="51">
        <f>IF(H389=P$4,(C389*(1)),IF(H389=P$3,(C389*(-1)),IF(H389=P$2,(C389*(1)))))</f>
        <v/>
      </c>
      <c r="G389" s="176">
        <f>F389*D389</f>
        <v/>
      </c>
      <c r="H389" s="52" t="inlineStr">
        <is>
          <t>COMPRA</t>
        </is>
      </c>
      <c r="I389" s="177" t="n"/>
      <c r="J389" s="178">
        <f>IF(H389="VENDA",I389*F389*-1,0)</f>
        <v/>
      </c>
      <c r="K389" s="178">
        <f>IF(J389=0,0,J389+G389)</f>
        <v/>
      </c>
    </row>
    <row r="390">
      <c r="A390" s="47" t="n"/>
      <c r="B390" s="48" t="n"/>
      <c r="C390" s="49" t="n"/>
      <c r="D390" s="169" t="n"/>
      <c r="E390" s="50">
        <f>IFERROR(VLOOKUP(B390,'Dados B3'!A:G,2,FALSE),"-")</f>
        <v/>
      </c>
      <c r="F390" s="51">
        <f>IF(H390=P$4,(C390*(1)),IF(H390=P$3,(C390*(-1)),IF(H390=P$2,(C390*(1)))))</f>
        <v/>
      </c>
      <c r="G390" s="176">
        <f>F390*D390</f>
        <v/>
      </c>
      <c r="H390" s="52" t="inlineStr">
        <is>
          <t>COMPRA</t>
        </is>
      </c>
      <c r="I390" s="177" t="n"/>
      <c r="J390" s="178">
        <f>IF(H390="VENDA",I390*F390*-1,0)</f>
        <v/>
      </c>
      <c r="K390" s="178">
        <f>IF(J390=0,0,J390+G390)</f>
        <v/>
      </c>
    </row>
    <row r="391">
      <c r="A391" s="47" t="n"/>
      <c r="B391" s="48" t="n"/>
      <c r="C391" s="49" t="n"/>
      <c r="D391" s="169" t="n"/>
      <c r="E391" s="50">
        <f>IFERROR(VLOOKUP(B391,'Dados B3'!A:G,2,FALSE),"-")</f>
        <v/>
      </c>
      <c r="F391" s="51">
        <f>IF(H391=P$4,(C391*(1)),IF(H391=P$3,(C391*(-1)),IF(H391=P$2,(C391*(1)))))</f>
        <v/>
      </c>
      <c r="G391" s="176">
        <f>F391*D391</f>
        <v/>
      </c>
      <c r="H391" s="52" t="inlineStr">
        <is>
          <t>COMPRA</t>
        </is>
      </c>
      <c r="I391" s="177" t="n"/>
      <c r="J391" s="178">
        <f>IF(H391="VENDA",I391*F391*-1,0)</f>
        <v/>
      </c>
      <c r="K391" s="178">
        <f>IF(J391=0,0,J391+G391)</f>
        <v/>
      </c>
    </row>
    <row r="392">
      <c r="A392" s="47" t="n"/>
      <c r="B392" s="48" t="n"/>
      <c r="C392" s="49" t="n"/>
      <c r="D392" s="169" t="n"/>
      <c r="E392" s="50">
        <f>IFERROR(VLOOKUP(B392,'Dados B3'!A:G,2,FALSE),"-")</f>
        <v/>
      </c>
      <c r="F392" s="51">
        <f>IF(H392=P$4,(C392*(1)),IF(H392=P$3,(C392*(-1)),IF(H392=P$2,(C392*(1)))))</f>
        <v/>
      </c>
      <c r="G392" s="176">
        <f>F392*D392</f>
        <v/>
      </c>
      <c r="H392" s="52" t="inlineStr">
        <is>
          <t>COMPRA</t>
        </is>
      </c>
      <c r="I392" s="177" t="n"/>
      <c r="J392" s="178">
        <f>IF(H392="VENDA",I392*F392*-1,0)</f>
        <v/>
      </c>
      <c r="K392" s="178">
        <f>IF(J392=0,0,J392+G392)</f>
        <v/>
      </c>
    </row>
    <row r="393">
      <c r="A393" s="47" t="n"/>
      <c r="B393" s="48" t="n"/>
      <c r="C393" s="49" t="n"/>
      <c r="D393" s="169" t="n"/>
      <c r="E393" s="50">
        <f>IFERROR(VLOOKUP(B393,'Dados B3'!A:G,2,FALSE),"-")</f>
        <v/>
      </c>
      <c r="F393" s="51">
        <f>IF(H393=P$4,(C393*(1)),IF(H393=P$3,(C393*(-1)),IF(H393=P$2,(C393*(1)))))</f>
        <v/>
      </c>
      <c r="G393" s="176">
        <f>F393*D393</f>
        <v/>
      </c>
      <c r="H393" s="52" t="inlineStr">
        <is>
          <t>COMPRA</t>
        </is>
      </c>
      <c r="I393" s="177" t="n"/>
      <c r="J393" s="178">
        <f>IF(H393="VENDA",I393*F393*-1,0)</f>
        <v/>
      </c>
      <c r="K393" s="178">
        <f>IF(J393=0,0,J393+G393)</f>
        <v/>
      </c>
    </row>
    <row r="394">
      <c r="A394" s="47" t="n"/>
      <c r="B394" s="48" t="n"/>
      <c r="C394" s="49" t="n"/>
      <c r="D394" s="169" t="n"/>
      <c r="E394" s="50">
        <f>IFERROR(VLOOKUP(B394,'Dados B3'!A:G,2,FALSE),"-")</f>
        <v/>
      </c>
      <c r="F394" s="51">
        <f>IF(H394=P$4,(C394*(1)),IF(H394=P$3,(C394*(-1)),IF(H394=P$2,(C394*(1)))))</f>
        <v/>
      </c>
      <c r="G394" s="176">
        <f>F394*D394</f>
        <v/>
      </c>
      <c r="H394" s="52" t="inlineStr">
        <is>
          <t>COMPRA</t>
        </is>
      </c>
      <c r="I394" s="177" t="n"/>
      <c r="J394" s="178">
        <f>IF(H394="VENDA",I394*F394*-1,0)</f>
        <v/>
      </c>
      <c r="K394" s="178">
        <f>IF(J394=0,0,J394+G394)</f>
        <v/>
      </c>
    </row>
    <row r="395">
      <c r="A395" s="47" t="n"/>
      <c r="B395" s="48" t="n"/>
      <c r="C395" s="49" t="n"/>
      <c r="D395" s="169" t="n"/>
      <c r="E395" s="50">
        <f>IFERROR(VLOOKUP(B395,'Dados B3'!A:G,2,FALSE),"-")</f>
        <v/>
      </c>
      <c r="F395" s="51">
        <f>IF(H395=P$4,(C395*(1)),IF(H395=P$3,(C395*(-1)),IF(H395=P$2,(C395*(1)))))</f>
        <v/>
      </c>
      <c r="G395" s="176">
        <f>F395*D395</f>
        <v/>
      </c>
      <c r="H395" s="52" t="inlineStr">
        <is>
          <t>COMPRA</t>
        </is>
      </c>
      <c r="I395" s="177" t="n"/>
      <c r="J395" s="178">
        <f>IF(H395="VENDA",I395*F395*-1,0)</f>
        <v/>
      </c>
      <c r="K395" s="178">
        <f>IF(J395=0,0,J395+G395)</f>
        <v/>
      </c>
    </row>
    <row r="396">
      <c r="A396" s="47" t="n"/>
      <c r="B396" s="48" t="n"/>
      <c r="C396" s="49" t="n"/>
      <c r="D396" s="169" t="n"/>
      <c r="E396" s="50">
        <f>IFERROR(VLOOKUP(B396,'Dados B3'!A:G,2,FALSE),"-")</f>
        <v/>
      </c>
      <c r="F396" s="51">
        <f>IF(H396=P$4,(C396*(1)),IF(H396=P$3,(C396*(-1)),IF(H396=P$2,(C396*(1)))))</f>
        <v/>
      </c>
      <c r="G396" s="176">
        <f>F396*D396</f>
        <v/>
      </c>
      <c r="H396" s="52" t="inlineStr">
        <is>
          <t>COMPRA</t>
        </is>
      </c>
      <c r="I396" s="177" t="n"/>
      <c r="J396" s="178">
        <f>IF(H396="VENDA",I396*F396*-1,0)</f>
        <v/>
      </c>
      <c r="K396" s="178">
        <f>IF(J396=0,0,J396+G396)</f>
        <v/>
      </c>
    </row>
    <row r="397">
      <c r="A397" s="47" t="n"/>
      <c r="B397" s="48" t="n"/>
      <c r="C397" s="49" t="n"/>
      <c r="D397" s="169" t="n"/>
      <c r="E397" s="50">
        <f>IFERROR(VLOOKUP(B397,'Dados B3'!A:G,2,FALSE),"-")</f>
        <v/>
      </c>
      <c r="F397" s="51">
        <f>IF(H397=P$4,(C397*(1)),IF(H397=P$3,(C397*(-1)),IF(H397=P$2,(C397*(1)))))</f>
        <v/>
      </c>
      <c r="G397" s="176">
        <f>F397*D397</f>
        <v/>
      </c>
      <c r="H397" s="52" t="inlineStr">
        <is>
          <t>COMPRA</t>
        </is>
      </c>
      <c r="I397" s="177" t="n"/>
      <c r="J397" s="178">
        <f>IF(H397="VENDA",I397*F397*-1,0)</f>
        <v/>
      </c>
      <c r="K397" s="178">
        <f>IF(J397=0,0,J397+G397)</f>
        <v/>
      </c>
    </row>
    <row r="398">
      <c r="A398" s="47" t="n"/>
      <c r="B398" s="48" t="n"/>
      <c r="C398" s="49" t="n"/>
      <c r="D398" s="169" t="n"/>
      <c r="E398" s="50">
        <f>IFERROR(VLOOKUP(B398,'Dados B3'!A:G,2,FALSE),"-")</f>
        <v/>
      </c>
      <c r="F398" s="51">
        <f>IF(H398=P$4,(C398*(1)),IF(H398=P$3,(C398*(-1)),IF(H398=P$2,(C398*(1)))))</f>
        <v/>
      </c>
      <c r="G398" s="176">
        <f>F398*D398</f>
        <v/>
      </c>
      <c r="H398" s="52" t="inlineStr">
        <is>
          <t>COMPRA</t>
        </is>
      </c>
      <c r="I398" s="177" t="n"/>
      <c r="J398" s="178">
        <f>IF(H398="VENDA",I398*F398*-1,0)</f>
        <v/>
      </c>
      <c r="K398" s="178">
        <f>IF(J398=0,0,J398+G398)</f>
        <v/>
      </c>
    </row>
    <row r="399">
      <c r="A399" s="47" t="n"/>
      <c r="B399" s="48" t="n"/>
      <c r="C399" s="49" t="n"/>
      <c r="D399" s="169" t="n"/>
      <c r="E399" s="50">
        <f>IFERROR(VLOOKUP(B399,'Dados B3'!A:G,2,FALSE),"-")</f>
        <v/>
      </c>
      <c r="F399" s="51">
        <f>IF(H399=P$4,(C399*(1)),IF(H399=P$3,(C399*(-1)),IF(H399=P$2,(C399*(1)))))</f>
        <v/>
      </c>
      <c r="G399" s="176">
        <f>F399*D399</f>
        <v/>
      </c>
      <c r="H399" s="52" t="inlineStr">
        <is>
          <t>COMPRA</t>
        </is>
      </c>
      <c r="I399" s="177" t="n"/>
      <c r="J399" s="178">
        <f>IF(H399="VENDA",I399*F399*-1,0)</f>
        <v/>
      </c>
      <c r="K399" s="178">
        <f>IF(J399=0,0,J399+G399)</f>
        <v/>
      </c>
    </row>
    <row r="400">
      <c r="A400" s="47" t="n"/>
      <c r="B400" s="48" t="n"/>
      <c r="C400" s="49" t="n"/>
      <c r="D400" s="169" t="n"/>
      <c r="E400" s="50">
        <f>IFERROR(VLOOKUP(B400,'Dados B3'!A:G,2,FALSE),"-")</f>
        <v/>
      </c>
      <c r="F400" s="51">
        <f>IF(H400=P$4,(C400*(1)),IF(H400=P$3,(C400*(-1)),IF(H400=P$2,(C400*(1)))))</f>
        <v/>
      </c>
      <c r="G400" s="176">
        <f>F400*D400</f>
        <v/>
      </c>
      <c r="H400" s="52" t="inlineStr">
        <is>
          <t>COMPRA</t>
        </is>
      </c>
      <c r="I400" s="177" t="n"/>
      <c r="J400" s="178">
        <f>IF(H400="VENDA",I400*F400*-1,0)</f>
        <v/>
      </c>
      <c r="K400" s="178">
        <f>IF(J400=0,0,J400+G400)</f>
        <v/>
      </c>
    </row>
    <row r="401">
      <c r="A401" s="47" t="n"/>
      <c r="B401" s="48" t="n"/>
      <c r="C401" s="49" t="n"/>
      <c r="D401" s="169" t="n"/>
      <c r="E401" s="50">
        <f>IFERROR(VLOOKUP(B401,'Dados B3'!A:G,2,FALSE),"-")</f>
        <v/>
      </c>
      <c r="F401" s="51">
        <f>IF(H401=P$4,(C401*(1)),IF(H401=P$3,(C401*(-1)),IF(H401=P$2,(C401*(1)))))</f>
        <v/>
      </c>
      <c r="G401" s="176">
        <f>F401*D401</f>
        <v/>
      </c>
      <c r="H401" s="52" t="inlineStr">
        <is>
          <t>COMPRA</t>
        </is>
      </c>
      <c r="I401" s="177" t="n"/>
      <c r="J401" s="178">
        <f>IF(H401="VENDA",I401*F401*-1,0)</f>
        <v/>
      </c>
      <c r="K401" s="178">
        <f>IF(J401=0,0,J401+G401)</f>
        <v/>
      </c>
    </row>
    <row r="402">
      <c r="A402" s="47" t="n"/>
      <c r="B402" s="48" t="n"/>
      <c r="C402" s="49" t="n"/>
      <c r="D402" s="169" t="n"/>
      <c r="E402" s="50">
        <f>IFERROR(VLOOKUP(B402,'Dados B3'!A:G,2,FALSE),"-")</f>
        <v/>
      </c>
      <c r="F402" s="51">
        <f>IF(H402=P$4,(C402*(1)),IF(H402=P$3,(C402*(-1)),IF(H402=P$2,(C402*(1)))))</f>
        <v/>
      </c>
      <c r="G402" s="176">
        <f>F402*D402</f>
        <v/>
      </c>
      <c r="H402" s="52" t="inlineStr">
        <is>
          <t>COMPRA</t>
        </is>
      </c>
      <c r="I402" s="177" t="n"/>
      <c r="J402" s="178">
        <f>IF(H402="VENDA",I402*F402*-1,0)</f>
        <v/>
      </c>
      <c r="K402" s="178">
        <f>IF(J402=0,0,J402+G402)</f>
        <v/>
      </c>
    </row>
    <row r="403">
      <c r="A403" s="47" t="n"/>
      <c r="B403" s="48" t="n"/>
      <c r="C403" s="49" t="n"/>
      <c r="D403" s="169" t="n"/>
      <c r="E403" s="50">
        <f>IFERROR(VLOOKUP(B403,'Dados B3'!A:G,2,FALSE),"-")</f>
        <v/>
      </c>
      <c r="F403" s="51">
        <f>IF(H403=P$4,(C403*(1)),IF(H403=P$3,(C403*(-1)),IF(H403=P$2,(C403*(1)))))</f>
        <v/>
      </c>
      <c r="G403" s="176">
        <f>F403*D403</f>
        <v/>
      </c>
      <c r="H403" s="52" t="inlineStr">
        <is>
          <t>COMPRA</t>
        </is>
      </c>
      <c r="I403" s="177" t="n"/>
      <c r="J403" s="178">
        <f>IF(H403="VENDA",I403*F403*-1,0)</f>
        <v/>
      </c>
      <c r="K403" s="178">
        <f>IF(J403=0,0,J403+G403)</f>
        <v/>
      </c>
    </row>
    <row r="404">
      <c r="A404" s="47" t="n"/>
      <c r="B404" s="48" t="n"/>
      <c r="C404" s="49" t="n"/>
      <c r="D404" s="169" t="n"/>
      <c r="E404" s="50">
        <f>IFERROR(VLOOKUP(B404,'Dados B3'!A:G,2,FALSE),"-")</f>
        <v/>
      </c>
      <c r="F404" s="51">
        <f>IF(H404=P$4,(C404*(1)),IF(H404=P$3,(C404*(-1)),IF(H404=P$2,(C404*(1)))))</f>
        <v/>
      </c>
      <c r="G404" s="176">
        <f>F404*D404</f>
        <v/>
      </c>
      <c r="H404" s="52" t="inlineStr">
        <is>
          <t>COMPRA</t>
        </is>
      </c>
      <c r="I404" s="177" t="n"/>
      <c r="J404" s="178">
        <f>IF(H404="VENDA",I404*F404*-1,0)</f>
        <v/>
      </c>
      <c r="K404" s="178">
        <f>IF(J404=0,0,J404+G404)</f>
        <v/>
      </c>
    </row>
    <row r="405">
      <c r="A405" s="47" t="n"/>
      <c r="B405" s="48" t="n"/>
      <c r="C405" s="49" t="n"/>
      <c r="D405" s="169" t="n"/>
      <c r="E405" s="50">
        <f>IFERROR(VLOOKUP(B405,'Dados B3'!A:G,2,FALSE),"-")</f>
        <v/>
      </c>
      <c r="F405" s="51">
        <f>IF(H405=P$4,(C405*(1)),IF(H405=P$3,(C405*(-1)),IF(H405=P$2,(C405*(1)))))</f>
        <v/>
      </c>
      <c r="G405" s="176">
        <f>F405*D405</f>
        <v/>
      </c>
      <c r="H405" s="52" t="inlineStr">
        <is>
          <t>COMPRA</t>
        </is>
      </c>
      <c r="I405" s="177" t="n"/>
      <c r="J405" s="178">
        <f>IF(H405="VENDA",I405*F405*-1,0)</f>
        <v/>
      </c>
      <c r="K405" s="178">
        <f>IF(J405=0,0,J405+G405)</f>
        <v/>
      </c>
    </row>
    <row r="406">
      <c r="A406" s="47" t="n"/>
      <c r="B406" s="48" t="n"/>
      <c r="C406" s="49" t="n"/>
      <c r="D406" s="169" t="n"/>
      <c r="E406" s="50">
        <f>IFERROR(VLOOKUP(B406,'Dados B3'!A:G,2,FALSE),"-")</f>
        <v/>
      </c>
      <c r="F406" s="51">
        <f>IF(H406=P$4,(C406*(1)),IF(H406=P$3,(C406*(-1)),IF(H406=P$2,(C406*(1)))))</f>
        <v/>
      </c>
      <c r="G406" s="176">
        <f>F406*D406</f>
        <v/>
      </c>
      <c r="H406" s="52" t="inlineStr">
        <is>
          <t>COMPRA</t>
        </is>
      </c>
      <c r="I406" s="177" t="n"/>
      <c r="J406" s="178">
        <f>IF(H406="VENDA",I406*F406*-1,0)</f>
        <v/>
      </c>
      <c r="K406" s="178">
        <f>IF(J406=0,0,J406+G406)</f>
        <v/>
      </c>
    </row>
    <row r="407">
      <c r="A407" s="47" t="n"/>
      <c r="B407" s="48" t="n"/>
      <c r="C407" s="49" t="n"/>
      <c r="D407" s="169" t="n"/>
      <c r="E407" s="50">
        <f>IFERROR(VLOOKUP(B407,'Dados B3'!A:G,2,FALSE),"-")</f>
        <v/>
      </c>
      <c r="F407" s="51">
        <f>IF(H407=P$4,(C407*(1)),IF(H407=P$3,(C407*(-1)),IF(H407=P$2,(C407*(1)))))</f>
        <v/>
      </c>
      <c r="G407" s="176">
        <f>F407*D407</f>
        <v/>
      </c>
      <c r="H407" s="52" t="inlineStr">
        <is>
          <t>COMPRA</t>
        </is>
      </c>
      <c r="I407" s="177" t="n"/>
      <c r="J407" s="178">
        <f>IF(H407="VENDA",I407*F407*-1,0)</f>
        <v/>
      </c>
      <c r="K407" s="178">
        <f>IF(J407=0,0,J407+G407)</f>
        <v/>
      </c>
    </row>
    <row r="408">
      <c r="A408" s="47" t="n"/>
      <c r="B408" s="48" t="n"/>
      <c r="C408" s="49" t="n"/>
      <c r="D408" s="169" t="n"/>
      <c r="E408" s="50">
        <f>IFERROR(VLOOKUP(B408,'Dados B3'!A:G,2,FALSE),"-")</f>
        <v/>
      </c>
      <c r="F408" s="51">
        <f>IF(H408=P$4,(C408*(1)),IF(H408=P$3,(C408*(-1)),IF(H408=P$2,(C408*(1)))))</f>
        <v/>
      </c>
      <c r="G408" s="176">
        <f>F408*D408</f>
        <v/>
      </c>
      <c r="H408" s="52" t="inlineStr">
        <is>
          <t>COMPRA</t>
        </is>
      </c>
      <c r="I408" s="177" t="n"/>
      <c r="J408" s="178">
        <f>IF(H408="VENDA",I408*F408*-1,0)</f>
        <v/>
      </c>
      <c r="K408" s="178">
        <f>IF(J408=0,0,J408+G408)</f>
        <v/>
      </c>
    </row>
    <row r="409">
      <c r="A409" s="47" t="n"/>
      <c r="B409" s="48" t="n"/>
      <c r="C409" s="49" t="n"/>
      <c r="D409" s="169" t="n"/>
      <c r="E409" s="50">
        <f>IFERROR(VLOOKUP(B409,'Dados B3'!A:G,2,FALSE),"-")</f>
        <v/>
      </c>
      <c r="F409" s="51">
        <f>IF(H409=P$4,(C409*(1)),IF(H409=P$3,(C409*(-1)),IF(H409=P$2,(C409*(1)))))</f>
        <v/>
      </c>
      <c r="G409" s="176">
        <f>F409*D409</f>
        <v/>
      </c>
      <c r="H409" s="52" t="inlineStr">
        <is>
          <t>COMPRA</t>
        </is>
      </c>
      <c r="I409" s="177" t="n"/>
      <c r="J409" s="178">
        <f>IF(H409="VENDA",I409*F409*-1,0)</f>
        <v/>
      </c>
      <c r="K409" s="178">
        <f>IF(J409=0,0,J409+G409)</f>
        <v/>
      </c>
    </row>
    <row r="410">
      <c r="A410" s="47" t="n"/>
      <c r="B410" s="48" t="n"/>
      <c r="C410" s="49" t="n"/>
      <c r="D410" s="169" t="n"/>
      <c r="E410" s="50">
        <f>IFERROR(VLOOKUP(B410,'Dados B3'!A:G,2,FALSE),"-")</f>
        <v/>
      </c>
      <c r="F410" s="51">
        <f>IF(H410=P$4,(C410*(1)),IF(H410=P$3,(C410*(-1)),IF(H410=P$2,(C410*(1)))))</f>
        <v/>
      </c>
      <c r="G410" s="176">
        <f>F410*D410</f>
        <v/>
      </c>
      <c r="H410" s="52" t="inlineStr">
        <is>
          <t>COMPRA</t>
        </is>
      </c>
      <c r="I410" s="177" t="n"/>
      <c r="J410" s="178">
        <f>IF(H410="VENDA",I410*F410*-1,0)</f>
        <v/>
      </c>
      <c r="K410" s="178">
        <f>IF(J410=0,0,J410+G410)</f>
        <v/>
      </c>
    </row>
    <row r="411">
      <c r="A411" s="47" t="n"/>
      <c r="B411" s="48" t="n"/>
      <c r="C411" s="49" t="n"/>
      <c r="D411" s="169" t="n"/>
      <c r="E411" s="50">
        <f>IFERROR(VLOOKUP(B411,'Dados B3'!A:G,2,FALSE),"-")</f>
        <v/>
      </c>
      <c r="F411" s="51">
        <f>IF(H411=P$4,(C411*(1)),IF(H411=P$3,(C411*(-1)),IF(H411=P$2,(C411*(1)))))</f>
        <v/>
      </c>
      <c r="G411" s="176">
        <f>F411*D411</f>
        <v/>
      </c>
      <c r="H411" s="52" t="inlineStr">
        <is>
          <t>COMPRA</t>
        </is>
      </c>
      <c r="I411" s="177" t="n"/>
      <c r="J411" s="178">
        <f>IF(H411="VENDA",I411*F411*-1,0)</f>
        <v/>
      </c>
      <c r="K411" s="178">
        <f>IF(J411=0,0,J411+G411)</f>
        <v/>
      </c>
    </row>
    <row r="412">
      <c r="A412" s="47" t="n"/>
      <c r="B412" s="48" t="n"/>
      <c r="C412" s="49" t="n"/>
      <c r="D412" s="169" t="n"/>
      <c r="E412" s="50">
        <f>IFERROR(VLOOKUP(B412,'Dados B3'!A:G,2,FALSE),"-")</f>
        <v/>
      </c>
      <c r="F412" s="51">
        <f>IF(H412=P$4,(C412*(1)),IF(H412=P$3,(C412*(-1)),IF(H412=P$2,(C412*(1)))))</f>
        <v/>
      </c>
      <c r="G412" s="176">
        <f>F412*D412</f>
        <v/>
      </c>
      <c r="H412" s="52" t="inlineStr">
        <is>
          <t>COMPRA</t>
        </is>
      </c>
      <c r="I412" s="177" t="n"/>
      <c r="J412" s="178">
        <f>IF(H412="VENDA",I412*F412*-1,0)</f>
        <v/>
      </c>
      <c r="K412" s="178">
        <f>IF(J412=0,0,J412+G412)</f>
        <v/>
      </c>
    </row>
    <row r="413">
      <c r="A413" s="47" t="n"/>
      <c r="B413" s="48" t="n"/>
      <c r="C413" s="49" t="n"/>
      <c r="D413" s="169" t="n"/>
      <c r="E413" s="50">
        <f>IFERROR(VLOOKUP(B413,'Dados B3'!A:G,2,FALSE),"-")</f>
        <v/>
      </c>
      <c r="F413" s="51">
        <f>IF(H413=P$4,(C413*(1)),IF(H413=P$3,(C413*(-1)),IF(H413=P$2,(C413*(1)))))</f>
        <v/>
      </c>
      <c r="G413" s="176">
        <f>F413*D413</f>
        <v/>
      </c>
      <c r="H413" s="52" t="inlineStr">
        <is>
          <t>COMPRA</t>
        </is>
      </c>
      <c r="I413" s="177" t="n"/>
      <c r="J413" s="178">
        <f>IF(H413="VENDA",I413*F413*-1,0)</f>
        <v/>
      </c>
      <c r="K413" s="178">
        <f>IF(J413=0,0,J413+G413)</f>
        <v/>
      </c>
    </row>
    <row r="414">
      <c r="A414" s="47" t="n"/>
      <c r="B414" s="48" t="n"/>
      <c r="C414" s="49" t="n"/>
      <c r="D414" s="169" t="n"/>
      <c r="E414" s="50">
        <f>IFERROR(VLOOKUP(B414,'Dados B3'!A:G,2,FALSE),"-")</f>
        <v/>
      </c>
      <c r="F414" s="51">
        <f>IF(H414=P$4,(C414*(1)),IF(H414=P$3,(C414*(-1)),IF(H414=P$2,(C414*(1)))))</f>
        <v/>
      </c>
      <c r="G414" s="176">
        <f>F414*D414</f>
        <v/>
      </c>
      <c r="H414" s="52" t="inlineStr">
        <is>
          <t>COMPRA</t>
        </is>
      </c>
      <c r="I414" s="177" t="n"/>
      <c r="J414" s="178">
        <f>IF(H414="VENDA",I414*F414*-1,0)</f>
        <v/>
      </c>
      <c r="K414" s="178">
        <f>IF(J414=0,0,J414+G414)</f>
        <v/>
      </c>
    </row>
    <row r="415">
      <c r="A415" s="47" t="n"/>
      <c r="B415" s="48" t="n"/>
      <c r="C415" s="49" t="n"/>
      <c r="D415" s="169" t="n"/>
      <c r="E415" s="50">
        <f>IFERROR(VLOOKUP(B415,'Dados B3'!A:G,2,FALSE),"-")</f>
        <v/>
      </c>
      <c r="F415" s="51">
        <f>IF(H415=P$4,(C415*(1)),IF(H415=P$3,(C415*(-1)),IF(H415=P$2,(C415*(1)))))</f>
        <v/>
      </c>
      <c r="G415" s="176">
        <f>F415*D415</f>
        <v/>
      </c>
      <c r="H415" s="52" t="inlineStr">
        <is>
          <t>COMPRA</t>
        </is>
      </c>
      <c r="I415" s="177" t="n"/>
      <c r="J415" s="178">
        <f>IF(H415="VENDA",I415*F415*-1,0)</f>
        <v/>
      </c>
      <c r="K415" s="178">
        <f>IF(J415=0,0,J415+G415)</f>
        <v/>
      </c>
    </row>
    <row r="416">
      <c r="A416" s="47" t="n"/>
      <c r="B416" s="48" t="n"/>
      <c r="C416" s="49" t="n"/>
      <c r="D416" s="169" t="n"/>
      <c r="E416" s="50">
        <f>IFERROR(VLOOKUP(B416,'Dados B3'!A:G,2,FALSE),"-")</f>
        <v/>
      </c>
      <c r="F416" s="51">
        <f>IF(H416=P$4,(C416*(1)),IF(H416=P$3,(C416*(-1)),IF(H416=P$2,(C416*(1)))))</f>
        <v/>
      </c>
      <c r="G416" s="176">
        <f>F416*D416</f>
        <v/>
      </c>
      <c r="H416" s="52" t="inlineStr">
        <is>
          <t>COMPRA</t>
        </is>
      </c>
      <c r="I416" s="177" t="n"/>
      <c r="J416" s="178">
        <f>IF(H416="VENDA",I416*F416*-1,0)</f>
        <v/>
      </c>
      <c r="K416" s="178">
        <f>IF(J416=0,0,J416+G416)</f>
        <v/>
      </c>
    </row>
    <row r="417">
      <c r="A417" s="47" t="n"/>
      <c r="B417" s="48" t="n"/>
      <c r="C417" s="49" t="n"/>
      <c r="D417" s="169" t="n"/>
      <c r="E417" s="50">
        <f>IFERROR(VLOOKUP(B417,'Dados B3'!A:G,2,FALSE),"-")</f>
        <v/>
      </c>
      <c r="F417" s="51">
        <f>IF(H417=P$4,(C417*(1)),IF(H417=P$3,(C417*(-1)),IF(H417=P$2,(C417*(1)))))</f>
        <v/>
      </c>
      <c r="G417" s="176">
        <f>F417*D417</f>
        <v/>
      </c>
      <c r="H417" s="52" t="inlineStr">
        <is>
          <t>COMPRA</t>
        </is>
      </c>
      <c r="I417" s="177" t="n"/>
      <c r="J417" s="178">
        <f>IF(H417="VENDA",I417*F417*-1,0)</f>
        <v/>
      </c>
      <c r="K417" s="178">
        <f>IF(J417=0,0,J417+G417)</f>
        <v/>
      </c>
    </row>
    <row r="418">
      <c r="A418" s="47" t="n"/>
      <c r="B418" s="48" t="n"/>
      <c r="C418" s="49" t="n"/>
      <c r="D418" s="169" t="n"/>
      <c r="E418" s="50">
        <f>IFERROR(VLOOKUP(B418,'Dados B3'!A:G,2,FALSE),"-")</f>
        <v/>
      </c>
      <c r="F418" s="51">
        <f>IF(H418=P$4,(C418*(1)),IF(H418=P$3,(C418*(-1)),IF(H418=P$2,(C418*(1)))))</f>
        <v/>
      </c>
      <c r="G418" s="176">
        <f>F418*D418</f>
        <v/>
      </c>
      <c r="H418" s="52" t="inlineStr">
        <is>
          <t>COMPRA</t>
        </is>
      </c>
      <c r="I418" s="177" t="n"/>
      <c r="J418" s="178">
        <f>IF(H418="VENDA",I418*F418*-1,0)</f>
        <v/>
      </c>
      <c r="K418" s="178">
        <f>IF(J418=0,0,J418+G418)</f>
        <v/>
      </c>
    </row>
    <row r="419">
      <c r="A419" s="47" t="n"/>
      <c r="B419" s="48" t="n"/>
      <c r="C419" s="49" t="n"/>
      <c r="D419" s="169" t="n"/>
      <c r="E419" s="50">
        <f>IFERROR(VLOOKUP(B419,'Dados B3'!A:G,2,FALSE),"-")</f>
        <v/>
      </c>
      <c r="F419" s="51">
        <f>IF(H419=P$4,(C419*(1)),IF(H419=P$3,(C419*(-1)),IF(H419=P$2,(C419*(1)))))</f>
        <v/>
      </c>
      <c r="G419" s="176">
        <f>F419*D419</f>
        <v/>
      </c>
      <c r="H419" s="52" t="inlineStr">
        <is>
          <t>COMPRA</t>
        </is>
      </c>
      <c r="I419" s="177" t="n"/>
      <c r="J419" s="178">
        <f>IF(H419="VENDA",I419*F419*-1,0)</f>
        <v/>
      </c>
      <c r="K419" s="178">
        <f>IF(J419=0,0,J419+G419)</f>
        <v/>
      </c>
    </row>
    <row r="420">
      <c r="A420" s="47" t="n"/>
      <c r="B420" s="48" t="n"/>
      <c r="C420" s="49" t="n"/>
      <c r="D420" s="169" t="n"/>
      <c r="E420" s="50">
        <f>IFERROR(VLOOKUP(B420,'Dados B3'!A:G,2,FALSE),"-")</f>
        <v/>
      </c>
      <c r="F420" s="51">
        <f>IF(H420=P$4,(C420*(1)),IF(H420=P$3,(C420*(-1)),IF(H420=P$2,(C420*(1)))))</f>
        <v/>
      </c>
      <c r="G420" s="176">
        <f>F420*D420</f>
        <v/>
      </c>
      <c r="H420" s="52" t="inlineStr">
        <is>
          <t>COMPRA</t>
        </is>
      </c>
      <c r="I420" s="177" t="n"/>
      <c r="J420" s="178">
        <f>IF(H420="VENDA",I420*F420*-1,0)</f>
        <v/>
      </c>
      <c r="K420" s="178">
        <f>IF(J420=0,0,J420+G420)</f>
        <v/>
      </c>
    </row>
    <row r="421">
      <c r="A421" s="47" t="n"/>
      <c r="B421" s="48" t="n"/>
      <c r="C421" s="49" t="n"/>
      <c r="D421" s="169" t="n"/>
      <c r="E421" s="50">
        <f>IFERROR(VLOOKUP(B421,'Dados B3'!A:G,2,FALSE),"-")</f>
        <v/>
      </c>
      <c r="F421" s="51">
        <f>IF(H421=P$4,(C421*(1)),IF(H421=P$3,(C421*(-1)),IF(H421=P$2,(C421*(1)))))</f>
        <v/>
      </c>
      <c r="G421" s="176">
        <f>F421*D421</f>
        <v/>
      </c>
      <c r="H421" s="52" t="inlineStr">
        <is>
          <t>COMPRA</t>
        </is>
      </c>
      <c r="I421" s="177" t="n"/>
      <c r="J421" s="178">
        <f>IF(H421="VENDA",I421*F421*-1,0)</f>
        <v/>
      </c>
      <c r="K421" s="178">
        <f>IF(J421=0,0,J421+G421)</f>
        <v/>
      </c>
    </row>
    <row r="422">
      <c r="A422" s="47" t="n"/>
      <c r="B422" s="48" t="n"/>
      <c r="C422" s="49" t="n"/>
      <c r="D422" s="169" t="n"/>
      <c r="E422" s="50">
        <f>IFERROR(VLOOKUP(B422,'Dados B3'!A:G,2,FALSE),"-")</f>
        <v/>
      </c>
      <c r="F422" s="51">
        <f>IF(H422=P$4,(C422*(1)),IF(H422=P$3,(C422*(-1)),IF(H422=P$2,(C422*(1)))))</f>
        <v/>
      </c>
      <c r="G422" s="176">
        <f>F422*D422</f>
        <v/>
      </c>
      <c r="H422" s="52" t="inlineStr">
        <is>
          <t>COMPRA</t>
        </is>
      </c>
      <c r="I422" s="177" t="n"/>
      <c r="J422" s="178">
        <f>IF(H422="VENDA",I422*F422*-1,0)</f>
        <v/>
      </c>
      <c r="K422" s="178">
        <f>IF(J422=0,0,J422+G422)</f>
        <v/>
      </c>
    </row>
    <row r="423">
      <c r="A423" s="47" t="n"/>
      <c r="B423" s="48" t="n"/>
      <c r="C423" s="49" t="n"/>
      <c r="D423" s="169" t="n"/>
      <c r="E423" s="50">
        <f>IFERROR(VLOOKUP(B423,'Dados B3'!A:G,2,FALSE),"-")</f>
        <v/>
      </c>
      <c r="F423" s="51">
        <f>IF(H423=P$4,(C423*(1)),IF(H423=P$3,(C423*(-1)),IF(H423=P$2,(C423*(1)))))</f>
        <v/>
      </c>
      <c r="G423" s="176">
        <f>F423*D423</f>
        <v/>
      </c>
      <c r="H423" s="52" t="inlineStr">
        <is>
          <t>COMPRA</t>
        </is>
      </c>
      <c r="I423" s="177" t="n"/>
      <c r="J423" s="178">
        <f>IF(H423="VENDA",I423*F423*-1,0)</f>
        <v/>
      </c>
      <c r="K423" s="178">
        <f>IF(J423=0,0,J423+G423)</f>
        <v/>
      </c>
    </row>
    <row r="424">
      <c r="A424" s="47" t="n"/>
      <c r="B424" s="48" t="n"/>
      <c r="C424" s="49" t="n"/>
      <c r="D424" s="169" t="n"/>
      <c r="E424" s="50">
        <f>IFERROR(VLOOKUP(B424,'Dados B3'!A:G,2,FALSE),"-")</f>
        <v/>
      </c>
      <c r="F424" s="51">
        <f>IF(H424=P$4,(C424*(1)),IF(H424=P$3,(C424*(-1)),IF(H424=P$2,(C424*(1)))))</f>
        <v/>
      </c>
      <c r="G424" s="176">
        <f>F424*D424</f>
        <v/>
      </c>
      <c r="H424" s="52" t="inlineStr">
        <is>
          <t>COMPRA</t>
        </is>
      </c>
      <c r="I424" s="177" t="n"/>
      <c r="J424" s="178">
        <f>IF(H424="VENDA",I424*F424*-1,0)</f>
        <v/>
      </c>
      <c r="K424" s="178">
        <f>IF(J424=0,0,J424+G424)</f>
        <v/>
      </c>
    </row>
    <row r="425">
      <c r="A425" s="47" t="n"/>
      <c r="B425" s="48" t="n"/>
      <c r="C425" s="49" t="n"/>
      <c r="D425" s="169" t="n"/>
      <c r="E425" s="50">
        <f>IFERROR(VLOOKUP(B425,'Dados B3'!A:G,2,FALSE),"-")</f>
        <v/>
      </c>
      <c r="F425" s="51">
        <f>IF(H425=P$4,(C425*(1)),IF(H425=P$3,(C425*(-1)),IF(H425=P$2,(C425*(1)))))</f>
        <v/>
      </c>
      <c r="G425" s="176">
        <f>F425*D425</f>
        <v/>
      </c>
      <c r="H425" s="52" t="inlineStr">
        <is>
          <t>COMPRA</t>
        </is>
      </c>
      <c r="I425" s="177" t="n"/>
      <c r="J425" s="178">
        <f>IF(H425="VENDA",I425*F425*-1,0)</f>
        <v/>
      </c>
      <c r="K425" s="178">
        <f>IF(J425=0,0,J425+G425)</f>
        <v/>
      </c>
    </row>
    <row r="426">
      <c r="A426" s="47" t="n"/>
      <c r="B426" s="48" t="n"/>
      <c r="C426" s="49" t="n"/>
      <c r="D426" s="169" t="n"/>
      <c r="E426" s="50">
        <f>IFERROR(VLOOKUP(B426,'Dados B3'!A:G,2,FALSE),"-")</f>
        <v/>
      </c>
      <c r="F426" s="51">
        <f>IF(H426=P$4,(C426*(1)),IF(H426=P$3,(C426*(-1)),IF(H426=P$2,(C426*(1)))))</f>
        <v/>
      </c>
      <c r="G426" s="176">
        <f>F426*D426</f>
        <v/>
      </c>
      <c r="H426" s="52" t="inlineStr">
        <is>
          <t>COMPRA</t>
        </is>
      </c>
      <c r="I426" s="177" t="n"/>
      <c r="J426" s="178">
        <f>IF(H426="VENDA",I426*F426*-1,0)</f>
        <v/>
      </c>
      <c r="K426" s="178">
        <f>IF(J426=0,0,J426+G426)</f>
        <v/>
      </c>
    </row>
    <row r="427">
      <c r="A427" s="47" t="n"/>
      <c r="B427" s="48" t="n"/>
      <c r="C427" s="49" t="n"/>
      <c r="D427" s="169" t="n"/>
      <c r="E427" s="50">
        <f>IFERROR(VLOOKUP(B427,'Dados B3'!A:G,2,FALSE),"-")</f>
        <v/>
      </c>
      <c r="F427" s="51">
        <f>IF(H427=P$4,(C427*(1)),IF(H427=P$3,(C427*(-1)),IF(H427=P$2,(C427*(1)))))</f>
        <v/>
      </c>
      <c r="G427" s="176">
        <f>F427*D427</f>
        <v/>
      </c>
      <c r="H427" s="52" t="inlineStr">
        <is>
          <t>COMPRA</t>
        </is>
      </c>
      <c r="I427" s="177" t="n"/>
      <c r="J427" s="178">
        <f>IF(H427="VENDA",I427*F427*-1,0)</f>
        <v/>
      </c>
      <c r="K427" s="178">
        <f>IF(J427=0,0,J427+G427)</f>
        <v/>
      </c>
    </row>
    <row r="428">
      <c r="A428" s="47" t="n"/>
      <c r="B428" s="48" t="n"/>
      <c r="C428" s="49" t="n"/>
      <c r="D428" s="169" t="n"/>
      <c r="E428" s="50">
        <f>IFERROR(VLOOKUP(B428,'Dados B3'!A:G,2,FALSE),"-")</f>
        <v/>
      </c>
      <c r="F428" s="51">
        <f>IF(H428=P$4,(C428*(1)),IF(H428=P$3,(C428*(-1)),IF(H428=P$2,(C428*(1)))))</f>
        <v/>
      </c>
      <c r="G428" s="176">
        <f>F428*D428</f>
        <v/>
      </c>
      <c r="H428" s="52" t="inlineStr">
        <is>
          <t>COMPRA</t>
        </is>
      </c>
      <c r="I428" s="177" t="n"/>
      <c r="J428" s="178">
        <f>IF(H428="VENDA",I428*F428*-1,0)</f>
        <v/>
      </c>
      <c r="K428" s="178">
        <f>IF(J428=0,0,J428+G428)</f>
        <v/>
      </c>
    </row>
    <row r="429">
      <c r="A429" s="47" t="n"/>
      <c r="B429" s="48" t="n"/>
      <c r="C429" s="49" t="n"/>
      <c r="D429" s="169" t="n"/>
      <c r="E429" s="50">
        <f>IFERROR(VLOOKUP(B429,'Dados B3'!A:G,2,FALSE),"-")</f>
        <v/>
      </c>
      <c r="F429" s="51">
        <f>IF(H429=P$4,(C429*(1)),IF(H429=P$3,(C429*(-1)),IF(H429=P$2,(C429*(1)))))</f>
        <v/>
      </c>
      <c r="G429" s="176">
        <f>F429*D429</f>
        <v/>
      </c>
      <c r="H429" s="52" t="inlineStr">
        <is>
          <t>VENDA</t>
        </is>
      </c>
      <c r="I429" s="177" t="n">
        <v>2.85</v>
      </c>
      <c r="J429" s="178">
        <f>IF(H429="VENDA",I429*F429*-1,0)</f>
        <v/>
      </c>
      <c r="K429" s="178">
        <f>IF(J429=0,0,J429+G429)</f>
        <v/>
      </c>
      <c r="M429" s="4" t="inlineStr">
        <is>
          <t>venda de subscrição</t>
        </is>
      </c>
      <c r="N429" s="4" t="inlineStr">
        <is>
          <t>** QDO FAZER VENDAS ABAIXO DE 20K, Declarar LUCRO na Ficha "RENDIMENTOS ISENTOS E NÃO TRIBUTÁVEIS" | CÓDIGO: 20 |  FAZER A SOMATÓRIA DO ANO TODO E INFORMAR VALOR TOTAL **</t>
        </is>
      </c>
    </row>
    <row r="430">
      <c r="A430" s="47" t="n"/>
      <c r="B430" s="48" t="n"/>
      <c r="C430" s="49" t="n"/>
      <c r="D430" s="169" t="n"/>
      <c r="E430" s="50">
        <f>IFERROR(VLOOKUP(B430,'Dados B3'!A:G,2,FALSE),"-")</f>
        <v/>
      </c>
      <c r="F430" s="51">
        <f>IF(H430=P$4,(C430*(1)),IF(H430=P$3,(C430*(-1)),IF(H430=P$2,(C430*(1)))))</f>
        <v/>
      </c>
      <c r="G430" s="176">
        <f>F430*D430</f>
        <v/>
      </c>
      <c r="H430" s="52" t="inlineStr">
        <is>
          <t>COMPRA</t>
        </is>
      </c>
      <c r="I430" s="177" t="n"/>
      <c r="J430" s="178">
        <f>IF(H430="VENDA",I430*F430*-1,0)</f>
        <v/>
      </c>
      <c r="K430" s="178">
        <f>IF(J430=0,0,J430+G430)</f>
        <v/>
      </c>
    </row>
    <row r="431">
      <c r="A431" s="47" t="n"/>
      <c r="B431" s="48" t="n"/>
      <c r="C431" s="49" t="n"/>
      <c r="D431" s="169" t="n"/>
      <c r="E431" s="50">
        <f>IFERROR(VLOOKUP(B431,'Dados B3'!A:G,2,FALSE),"-")</f>
        <v/>
      </c>
      <c r="F431" s="51">
        <f>IF(H431=P$4,(C431*(1)),IF(H431=P$3,(C431*(-1)),IF(H431=P$2,(C431*(1)))))</f>
        <v/>
      </c>
      <c r="G431" s="176">
        <f>F431*D431</f>
        <v/>
      </c>
      <c r="H431" s="52" t="inlineStr">
        <is>
          <t>COMPRA</t>
        </is>
      </c>
      <c r="I431" s="177" t="n"/>
      <c r="J431" s="178">
        <f>IF(H431="VENDA",I431*F431*-1,0)</f>
        <v/>
      </c>
      <c r="K431" s="178">
        <f>IF(J431=0,0,J431+G431)</f>
        <v/>
      </c>
    </row>
    <row r="432">
      <c r="A432" s="47" t="n"/>
      <c r="B432" s="48" t="n"/>
      <c r="C432" s="49" t="n"/>
      <c r="D432" s="169" t="n"/>
      <c r="E432" s="50">
        <f>IFERROR(VLOOKUP(B432,'Dados B3'!A:G,2,FALSE),"-")</f>
        <v/>
      </c>
      <c r="F432" s="51">
        <f>IF(H432=P$4,(C432*(1)),IF(H432=P$3,(C432*(-1)),IF(H432=P$2,(C432*(1)))))</f>
        <v/>
      </c>
      <c r="G432" s="176">
        <f>F432*D432</f>
        <v/>
      </c>
      <c r="H432" s="52" t="inlineStr">
        <is>
          <t>COMPRA</t>
        </is>
      </c>
      <c r="I432" s="177" t="n"/>
      <c r="J432" s="178">
        <f>IF(H432="VENDA",I432*F432*-1,0)</f>
        <v/>
      </c>
      <c r="K432" s="178">
        <f>IF(J432=0,0,J432+G432)</f>
        <v/>
      </c>
    </row>
    <row r="433">
      <c r="A433" s="47" t="n"/>
      <c r="B433" s="48" t="n"/>
      <c r="C433" s="49" t="n"/>
      <c r="D433" s="169" t="n"/>
      <c r="E433" s="50">
        <f>IFERROR(VLOOKUP(B433,'Dados B3'!A:G,2,FALSE),"-")</f>
        <v/>
      </c>
      <c r="F433" s="51">
        <f>IF(H433=P$4,(C433*(1)),IF(H433=P$3,(C433*(-1)),IF(H433=P$2,(C433*(1)))))</f>
        <v/>
      </c>
      <c r="G433" s="176">
        <f>F433*D433</f>
        <v/>
      </c>
      <c r="H433" s="52" t="inlineStr">
        <is>
          <t>COMPRA</t>
        </is>
      </c>
      <c r="I433" s="177" t="n"/>
      <c r="J433" s="178">
        <f>IF(H433="VENDA",I433*F433*-1,0)</f>
        <v/>
      </c>
      <c r="K433" s="178">
        <f>IF(J433=0,0,J433+G433)</f>
        <v/>
      </c>
    </row>
    <row r="434">
      <c r="A434" s="47" t="n"/>
      <c r="B434" s="48" t="n"/>
      <c r="C434" s="49" t="n"/>
      <c r="D434" s="169" t="n"/>
      <c r="E434" s="50">
        <f>IFERROR(VLOOKUP(B434,'Dados B3'!A:G,2,FALSE),"-")</f>
        <v/>
      </c>
      <c r="F434" s="51">
        <f>IF(H434=P$4,(C434*(1)),IF(H434=P$3,(C434*(-1)),IF(H434=P$2,(C434*(1)))))</f>
        <v/>
      </c>
      <c r="G434" s="176">
        <f>F434*D434</f>
        <v/>
      </c>
      <c r="H434" s="52" t="inlineStr">
        <is>
          <t>COMPRA</t>
        </is>
      </c>
      <c r="I434" s="177" t="n"/>
      <c r="J434" s="178">
        <f>IF(H434="VENDA",I434*F434*-1,0)</f>
        <v/>
      </c>
      <c r="K434" s="178">
        <f>IF(J434=0,0,J434+G434)</f>
        <v/>
      </c>
    </row>
    <row r="435">
      <c r="A435" s="47" t="n"/>
      <c r="B435" s="48" t="n"/>
      <c r="C435" s="49" t="n"/>
      <c r="D435" s="169" t="n"/>
      <c r="E435" s="50">
        <f>IFERROR(VLOOKUP(B435,'Dados B3'!A:G,2,FALSE),"-")</f>
        <v/>
      </c>
      <c r="F435" s="51">
        <f>IF(H435=P$4,(C435*(1)),IF(H435=P$3,(C435*(-1)),IF(H435=P$2,(C435*(1)))))</f>
        <v/>
      </c>
      <c r="G435" s="176">
        <f>F435*D435</f>
        <v/>
      </c>
      <c r="H435" s="52" t="inlineStr">
        <is>
          <t>COMPRA</t>
        </is>
      </c>
      <c r="I435" s="177" t="n"/>
      <c r="J435" s="178">
        <f>IF(H435="VENDA",I435*F435*-1,0)</f>
        <v/>
      </c>
      <c r="K435" s="178">
        <f>IF(J435=0,0,J435+G435)</f>
        <v/>
      </c>
    </row>
    <row r="436">
      <c r="A436" s="47" t="n"/>
      <c r="B436" s="48" t="n"/>
      <c r="C436" s="49" t="n"/>
      <c r="D436" s="169" t="n"/>
      <c r="E436" s="50">
        <f>IFERROR(VLOOKUP(B436,'Dados B3'!A:G,2,FALSE),"-")</f>
        <v/>
      </c>
      <c r="F436" s="51">
        <f>IF(H436=P$4,(C436*(1)),IF(H436=P$3,(C436*(-1)),IF(H436=P$2,(C436*(1)))))</f>
        <v/>
      </c>
      <c r="G436" s="176">
        <f>F436*D436</f>
        <v/>
      </c>
      <c r="H436" s="52" t="inlineStr">
        <is>
          <t>COMPRA</t>
        </is>
      </c>
      <c r="I436" s="177" t="n"/>
      <c r="J436" s="178">
        <f>IF(H436="VENDA",I436*F436*-1,0)</f>
        <v/>
      </c>
      <c r="K436" s="178">
        <f>IF(J436=0,0,J436+G436)</f>
        <v/>
      </c>
    </row>
    <row r="437">
      <c r="A437" s="47" t="n"/>
      <c r="B437" s="48" t="n"/>
      <c r="C437" s="49" t="n"/>
      <c r="D437" s="169" t="n"/>
      <c r="E437" s="50">
        <f>IFERROR(VLOOKUP(B437,'Dados B3'!A:G,2,FALSE),"-")</f>
        <v/>
      </c>
      <c r="F437" s="51">
        <f>IF(H437=P$4,(C437*(1)),IF(H437=P$3,(C437*(-1)),IF(H437=P$2,(C437*(1)))))</f>
        <v/>
      </c>
      <c r="G437" s="176">
        <f>F437*D437</f>
        <v/>
      </c>
      <c r="H437" s="52" t="inlineStr">
        <is>
          <t>COMPRA</t>
        </is>
      </c>
      <c r="I437" s="177" t="n"/>
      <c r="J437" s="178">
        <f>IF(H437="VENDA",I437*F437*-1,0)</f>
        <v/>
      </c>
      <c r="K437" s="178">
        <f>IF(J437=0,0,J437+G437)</f>
        <v/>
      </c>
    </row>
    <row r="438">
      <c r="A438" s="47" t="n"/>
      <c r="B438" s="48" t="n"/>
      <c r="C438" s="49" t="n"/>
      <c r="D438" s="169" t="n"/>
      <c r="E438" s="50">
        <f>IFERROR(VLOOKUP(B438,'Dados B3'!A:G,2,FALSE),"-")</f>
        <v/>
      </c>
      <c r="F438" s="51">
        <f>IF(H438=P$4,(C438*(1)),IF(H438=P$3,(C438*(-1)),IF(H438=P$2,(C438*(1)))))</f>
        <v/>
      </c>
      <c r="G438" s="176">
        <f>F438*D438</f>
        <v/>
      </c>
      <c r="H438" s="52" t="inlineStr">
        <is>
          <t>COMPRA</t>
        </is>
      </c>
      <c r="I438" s="177" t="n"/>
      <c r="J438" s="178">
        <f>IF(H438="VENDA",I438*F438*-1,0)</f>
        <v/>
      </c>
      <c r="K438" s="178">
        <f>IF(J438=0,0,J438+G438)</f>
        <v/>
      </c>
    </row>
    <row r="439">
      <c r="A439" s="47" t="n"/>
      <c r="B439" s="48" t="n"/>
      <c r="C439" s="49" t="n"/>
      <c r="D439" s="169" t="n"/>
      <c r="E439" s="50">
        <f>IFERROR(VLOOKUP(B439,'Dados B3'!A:G,2,FALSE),"-")</f>
        <v/>
      </c>
      <c r="F439" s="51">
        <f>IF(H439=P$4,(C439*(1)),IF(H439=P$3,(C439*(-1)),IF(H439=P$2,(C439*(1)))))</f>
        <v/>
      </c>
      <c r="G439" s="176">
        <f>F439*D439</f>
        <v/>
      </c>
      <c r="H439" s="52" t="inlineStr">
        <is>
          <t>COMPRA</t>
        </is>
      </c>
      <c r="I439" s="177" t="n"/>
      <c r="J439" s="178">
        <f>IF(H439="VENDA",I439*F439*-1,0)</f>
        <v/>
      </c>
      <c r="K439" s="178">
        <f>IF(J439=0,0,J439+G439)</f>
        <v/>
      </c>
    </row>
    <row r="440">
      <c r="A440" s="47" t="n"/>
      <c r="B440" s="48" t="n"/>
      <c r="C440" s="49" t="n"/>
      <c r="D440" s="169" t="n"/>
      <c r="E440" s="50">
        <f>IFERROR(VLOOKUP(B440,'Dados B3'!A:G,2,FALSE),"-")</f>
        <v/>
      </c>
      <c r="F440" s="51">
        <f>IF(H440=P$4,(C440*(1)),IF(H440=P$3,(C440*(-1)),IF(H440=P$2,(C440*(1)))))</f>
        <v/>
      </c>
      <c r="G440" s="176">
        <f>F440*D440</f>
        <v/>
      </c>
      <c r="H440" s="52" t="inlineStr">
        <is>
          <t>COMPRA</t>
        </is>
      </c>
      <c r="I440" s="177" t="n"/>
      <c r="J440" s="178">
        <f>IF(H440="VENDA",I440*F440*-1,0)</f>
        <v/>
      </c>
      <c r="K440" s="178">
        <f>IF(J440=0,0,J440+G440)</f>
        <v/>
      </c>
    </row>
    <row r="441">
      <c r="A441" s="47" t="n"/>
      <c r="B441" s="48" t="n"/>
      <c r="C441" s="49" t="n"/>
      <c r="D441" s="169" t="n"/>
      <c r="E441" s="50">
        <f>IFERROR(VLOOKUP(B441,'Dados B3'!A:G,2,FALSE),"-")</f>
        <v/>
      </c>
      <c r="F441" s="51">
        <f>IF(H441=P$4,(C441*(1)),IF(H441=P$3,(C441*(-1)),IF(H441=P$2,(C441*(1)))))</f>
        <v/>
      </c>
      <c r="G441" s="176">
        <f>F441*D441</f>
        <v/>
      </c>
      <c r="H441" s="52" t="inlineStr">
        <is>
          <t>COMPRA</t>
        </is>
      </c>
      <c r="I441" s="177" t="n"/>
      <c r="J441" s="178">
        <f>IF(H441="VENDA",I441*F441*-1,0)</f>
        <v/>
      </c>
      <c r="K441" s="178">
        <f>IF(J441=0,0,J441+G441)</f>
        <v/>
      </c>
    </row>
    <row r="442">
      <c r="A442" s="47" t="n"/>
      <c r="B442" s="48" t="n"/>
      <c r="C442" s="49" t="n"/>
      <c r="D442" s="169" t="n"/>
      <c r="E442" s="50">
        <f>IFERROR(VLOOKUP(B442,'Dados B3'!A:G,2,FALSE),"-")</f>
        <v/>
      </c>
      <c r="F442" s="51">
        <f>IF(H442=P$4,(C442*(1)),IF(H442=P$3,(C442*(-1)),IF(H442=P$2,(C442*(1)))))</f>
        <v/>
      </c>
      <c r="G442" s="176">
        <f>F442*D442</f>
        <v/>
      </c>
      <c r="H442" s="52" t="inlineStr">
        <is>
          <t>COMPRA</t>
        </is>
      </c>
      <c r="I442" s="177" t="n"/>
      <c r="J442" s="178">
        <f>IF(H442="VENDA",I442*F442*-1,0)</f>
        <v/>
      </c>
      <c r="K442" s="178">
        <f>IF(J442=0,0,J442+G442)</f>
        <v/>
      </c>
    </row>
    <row r="443">
      <c r="A443" s="47" t="n"/>
      <c r="B443" s="48" t="n"/>
      <c r="C443" s="49" t="n"/>
      <c r="D443" s="169" t="n"/>
      <c r="E443" s="50">
        <f>IFERROR(VLOOKUP(B443,'Dados B3'!A:G,2,FALSE),"-")</f>
        <v/>
      </c>
      <c r="F443" s="51">
        <f>IF(H443=P$4,(C443*(1)),IF(H443=P$3,(C443*(-1)),IF(H443=P$2,(C443*(1)))))</f>
        <v/>
      </c>
      <c r="G443" s="176">
        <f>F443*D443</f>
        <v/>
      </c>
      <c r="H443" s="52" t="inlineStr">
        <is>
          <t>COMPRA</t>
        </is>
      </c>
      <c r="I443" s="177" t="n"/>
      <c r="J443" s="178">
        <f>IF(H443="VENDA",I443*F443*-1,0)</f>
        <v/>
      </c>
      <c r="K443" s="178">
        <f>IF(J443=0,0,J443+G443)</f>
        <v/>
      </c>
    </row>
    <row r="444">
      <c r="A444" s="47" t="n"/>
      <c r="B444" s="48" t="n"/>
      <c r="C444" s="49" t="n"/>
      <c r="D444" s="169" t="n"/>
      <c r="E444" s="50">
        <f>IFERROR(VLOOKUP(B444,'Dados B3'!A:G,2,FALSE),"-")</f>
        <v/>
      </c>
      <c r="F444" s="51">
        <f>IF(H444=P$4,(C444*(1)),IF(H444=P$3,(C444*(-1)),IF(H444=P$2,(C444*(1)))))</f>
        <v/>
      </c>
      <c r="G444" s="176">
        <f>F444*D444</f>
        <v/>
      </c>
      <c r="H444" s="52" t="inlineStr">
        <is>
          <t>COMPRA</t>
        </is>
      </c>
      <c r="I444" s="177" t="n"/>
      <c r="J444" s="178">
        <f>IF(H444="VENDA",I444*F444*-1,0)</f>
        <v/>
      </c>
      <c r="K444" s="178">
        <f>IF(J444=0,0,J444+G444)</f>
        <v/>
      </c>
    </row>
    <row r="445">
      <c r="A445" s="47" t="n"/>
      <c r="B445" s="48" t="n"/>
      <c r="C445" s="49" t="n"/>
      <c r="D445" s="169" t="n"/>
      <c r="E445" s="50">
        <f>IFERROR(VLOOKUP(B445,'Dados B3'!A:G,2,FALSE),"-")</f>
        <v/>
      </c>
      <c r="F445" s="51">
        <f>IF(H445=P$4,(C445*(1)),IF(H445=P$3,(C445*(-1)),IF(H445=P$2,(C445*(1)))))</f>
        <v/>
      </c>
      <c r="G445" s="176">
        <f>F445*D445</f>
        <v/>
      </c>
      <c r="H445" s="52" t="inlineStr">
        <is>
          <t>COMPRA</t>
        </is>
      </c>
      <c r="I445" s="177" t="n"/>
      <c r="J445" s="178">
        <f>IF(H445="VENDA",I445*F445*-1,0)</f>
        <v/>
      </c>
      <c r="K445" s="178">
        <f>IF(J445=0,0,J445+G445)</f>
        <v/>
      </c>
    </row>
    <row r="446">
      <c r="A446" s="47" t="n"/>
      <c r="B446" s="48" t="n"/>
      <c r="C446" s="49" t="n"/>
      <c r="D446" s="169" t="n"/>
      <c r="E446" s="50">
        <f>IFERROR(VLOOKUP(B446,'Dados B3'!A:G,2,FALSE),"-")</f>
        <v/>
      </c>
      <c r="F446" s="51">
        <f>IF(H446=P$4,(C446*(1)),IF(H446=P$3,(C446*(-1)),IF(H446=P$2,(C446*(1)))))</f>
        <v/>
      </c>
      <c r="G446" s="176">
        <f>F446*D446</f>
        <v/>
      </c>
      <c r="H446" s="52" t="inlineStr">
        <is>
          <t>COMPRA</t>
        </is>
      </c>
      <c r="I446" s="177" t="n"/>
      <c r="J446" s="178">
        <f>IF(H446="VENDA",I446*F446*-1,0)</f>
        <v/>
      </c>
      <c r="K446" s="178">
        <f>IF(J446=0,0,J446+G446)</f>
        <v/>
      </c>
    </row>
    <row r="447">
      <c r="A447" s="47" t="n"/>
      <c r="B447" s="48" t="n"/>
      <c r="C447" s="49" t="n"/>
      <c r="D447" s="169" t="n"/>
      <c r="E447" s="50">
        <f>IFERROR(VLOOKUP(B447,'Dados B3'!A:G,2,FALSE),"-")</f>
        <v/>
      </c>
      <c r="F447" s="51">
        <f>IF(H447=P$4,(C447*(1)),IF(H447=P$3,(C447*(-1)),IF(H447=P$2,(C447*(1)))))</f>
        <v/>
      </c>
      <c r="G447" s="176">
        <f>F447*D447</f>
        <v/>
      </c>
      <c r="H447" s="52" t="inlineStr">
        <is>
          <t>COMPRA</t>
        </is>
      </c>
      <c r="I447" s="177" t="n"/>
      <c r="J447" s="178">
        <f>IF(H447="VENDA",I447*F447*-1,0)</f>
        <v/>
      </c>
      <c r="K447" s="178">
        <f>IF(J447=0,0,J447+G447)</f>
        <v/>
      </c>
    </row>
    <row r="448">
      <c r="A448" s="47" t="n"/>
      <c r="B448" s="48" t="n"/>
      <c r="C448" s="49" t="n"/>
      <c r="D448" s="169" t="n"/>
      <c r="E448" s="50">
        <f>IFERROR(VLOOKUP(B448,'Dados B3'!A:G,2,FALSE),"-")</f>
        <v/>
      </c>
      <c r="F448" s="51">
        <f>IF(H448=P$4,(C448*(1)),IF(H448=P$3,(C448*(-1)),IF(H448=P$2,(C448*(1)))))</f>
        <v/>
      </c>
      <c r="G448" s="176">
        <f>F448*D448</f>
        <v/>
      </c>
      <c r="H448" s="52" t="inlineStr">
        <is>
          <t>COMPRA</t>
        </is>
      </c>
      <c r="I448" s="177" t="n"/>
      <c r="J448" s="178">
        <f>IF(H448="VENDA",I448*F448*-1,0)</f>
        <v/>
      </c>
      <c r="K448" s="178">
        <f>IF(J448=0,0,J448+G448)</f>
        <v/>
      </c>
    </row>
    <row r="449">
      <c r="A449" s="47" t="n"/>
      <c r="B449" s="48" t="n"/>
      <c r="C449" s="49" t="n"/>
      <c r="D449" s="169" t="n"/>
      <c r="E449" s="50">
        <f>IFERROR(VLOOKUP(B449,'Dados B3'!A:G,2,FALSE),"-")</f>
        <v/>
      </c>
      <c r="F449" s="51">
        <f>IF(H449=P$4,(C449*(1)),IF(H449=P$3,(C449*(-1)),IF(H449=P$2,(C449*(1)))))</f>
        <v/>
      </c>
      <c r="G449" s="176">
        <f>F449*D449</f>
        <v/>
      </c>
      <c r="H449" s="52" t="inlineStr">
        <is>
          <t>COMPRA</t>
        </is>
      </c>
      <c r="I449" s="177" t="n"/>
      <c r="J449" s="178">
        <f>IF(H449="VENDA",I449*F449*-1,0)</f>
        <v/>
      </c>
      <c r="K449" s="178">
        <f>IF(J449=0,0,J449+G449)</f>
        <v/>
      </c>
    </row>
    <row r="450">
      <c r="A450" s="47" t="n"/>
      <c r="B450" s="48" t="n"/>
      <c r="C450" s="49" t="n"/>
      <c r="D450" s="169" t="n"/>
      <c r="E450" s="50">
        <f>IFERROR(VLOOKUP(B450,'Dados B3'!A:G,2,FALSE),"-")</f>
        <v/>
      </c>
      <c r="F450" s="51">
        <f>IF(H450=P$4,(C450*(1)),IF(H450=P$3,(C450*(-1)),IF(H450=P$2,(C450*(1)))))</f>
        <v/>
      </c>
      <c r="G450" s="176">
        <f>F450*D450</f>
        <v/>
      </c>
      <c r="H450" s="52" t="inlineStr">
        <is>
          <t>COMPRA</t>
        </is>
      </c>
      <c r="I450" s="177" t="n"/>
      <c r="J450" s="178">
        <f>IF(H450="VENDA",I450*F450*-1,0)</f>
        <v/>
      </c>
      <c r="K450" s="178">
        <f>IF(J450=0,0,J450+G450)</f>
        <v/>
      </c>
    </row>
    <row r="451">
      <c r="A451" s="47" t="n"/>
      <c r="B451" s="48" t="n"/>
      <c r="C451" s="49" t="n"/>
      <c r="D451" s="169" t="n"/>
      <c r="E451" s="50">
        <f>IFERROR(VLOOKUP(B451,'Dados B3'!A:G,2,FALSE),"-")</f>
        <v/>
      </c>
      <c r="F451" s="51">
        <f>IF(H451=P$4,(C451*(1)),IF(H451=P$3,(C451*(-1)),IF(H451=P$2,(C451*(1)))))</f>
        <v/>
      </c>
      <c r="G451" s="176">
        <f>F451*D451</f>
        <v/>
      </c>
      <c r="H451" s="52" t="inlineStr">
        <is>
          <t>COMPRA</t>
        </is>
      </c>
      <c r="I451" s="177" t="n"/>
      <c r="J451" s="178">
        <f>IF(H451="VENDA",I451*F451*-1,0)</f>
        <v/>
      </c>
      <c r="K451" s="178">
        <f>IF(J451=0,0,J451+G451)</f>
        <v/>
      </c>
    </row>
    <row r="452">
      <c r="A452" s="47" t="n"/>
      <c r="B452" s="48" t="n"/>
      <c r="C452" s="49" t="n"/>
      <c r="D452" s="169" t="n"/>
      <c r="E452" s="50">
        <f>IFERROR(VLOOKUP(B452,'Dados B3'!A:G,2,FALSE),"-")</f>
        <v/>
      </c>
      <c r="F452" s="51">
        <f>IF(H452=P$4,(C452*(1)),IF(H452=P$3,(C452*(-1)),IF(H452=P$2,(C452*(1)))))</f>
        <v/>
      </c>
      <c r="G452" s="176">
        <f>F452*D452</f>
        <v/>
      </c>
      <c r="H452" s="52" t="inlineStr">
        <is>
          <t>COMPRA</t>
        </is>
      </c>
      <c r="I452" s="177" t="n"/>
      <c r="J452" s="178">
        <f>IF(H452="VENDA",I452*F452*-1,0)</f>
        <v/>
      </c>
      <c r="K452" s="178">
        <f>IF(J452=0,0,J452+G452)</f>
        <v/>
      </c>
    </row>
    <row r="453">
      <c r="A453" s="47" t="n"/>
      <c r="B453" s="48" t="n"/>
      <c r="C453" s="49" t="n"/>
      <c r="D453" s="169" t="n"/>
      <c r="E453" s="50">
        <f>IFERROR(VLOOKUP(B453,'Dados B3'!A:G,2,FALSE),"-")</f>
        <v/>
      </c>
      <c r="F453" s="51">
        <f>IF(H453=P$4,(C453*(1)),IF(H453=P$3,(C453*(-1)),IF(H453=P$2,(C453*(1)))))</f>
        <v/>
      </c>
      <c r="G453" s="176">
        <f>F453*D453</f>
        <v/>
      </c>
      <c r="H453" s="52" t="inlineStr">
        <is>
          <t>COMPRA</t>
        </is>
      </c>
      <c r="I453" s="177" t="n"/>
      <c r="J453" s="178">
        <f>IF(H453="VENDA",I453*F453*-1,0)</f>
        <v/>
      </c>
      <c r="K453" s="178">
        <f>IF(J453=0,0,J453+G453)</f>
        <v/>
      </c>
    </row>
    <row r="454">
      <c r="A454" s="47" t="n"/>
      <c r="B454" s="48" t="n"/>
      <c r="C454" s="49" t="n"/>
      <c r="D454" s="169" t="n"/>
      <c r="E454" s="50">
        <f>IFERROR(VLOOKUP(B454,'Dados B3'!A:G,2,FALSE),"-")</f>
        <v/>
      </c>
      <c r="F454" s="51">
        <f>IF(H454=P$4,(C454*(1)),IF(H454=P$3,(C454*(-1)),IF(H454=P$2,(C454*(1)))))</f>
        <v/>
      </c>
      <c r="G454" s="176">
        <f>F454*D454</f>
        <v/>
      </c>
      <c r="H454" s="52" t="inlineStr">
        <is>
          <t>COMPRA</t>
        </is>
      </c>
      <c r="I454" s="177" t="n"/>
      <c r="J454" s="178">
        <f>IF(H454="VENDA",I454*F454*-1,0)</f>
        <v/>
      </c>
      <c r="K454" s="178">
        <f>IF(J454=0,0,J454+G454)</f>
        <v/>
      </c>
    </row>
    <row r="455">
      <c r="A455" s="47" t="n"/>
      <c r="B455" s="48" t="n"/>
      <c r="C455" s="49" t="n"/>
      <c r="D455" s="169" t="n"/>
      <c r="E455" s="50">
        <f>IFERROR(VLOOKUP(B455,'Dados B3'!A:G,2,FALSE),"-")</f>
        <v/>
      </c>
      <c r="F455" s="51">
        <f>IF(H455=P$4,(C455*(1)),IF(H455=P$3,(C455*(-1)),IF(H455=P$2,(C455*(1)))))</f>
        <v/>
      </c>
      <c r="G455" s="176">
        <f>F455*D455</f>
        <v/>
      </c>
      <c r="H455" s="52" t="inlineStr">
        <is>
          <t>COMPRA</t>
        </is>
      </c>
      <c r="I455" s="177" t="n"/>
      <c r="J455" s="178">
        <f>IF(H455="VENDA",I455*F455*-1,0)</f>
        <v/>
      </c>
      <c r="K455" s="178">
        <f>IF(J455=0,0,J455+G455)</f>
        <v/>
      </c>
    </row>
    <row r="456">
      <c r="A456" s="47" t="n"/>
      <c r="B456" s="48" t="n"/>
      <c r="C456" s="49" t="n"/>
      <c r="D456" s="169" t="n"/>
      <c r="E456" s="50">
        <f>IFERROR(VLOOKUP(B456,'Dados B3'!A:G,2,FALSE),"-")</f>
        <v/>
      </c>
      <c r="F456" s="51">
        <f>IF(H456=P$4,(C456*(1)),IF(H456=P$3,(C456*(-1)),IF(H456=P$2,(C456*(1)))))</f>
        <v/>
      </c>
      <c r="G456" s="176">
        <f>F456*D456</f>
        <v/>
      </c>
      <c r="H456" s="52" t="inlineStr">
        <is>
          <t>COMPRA</t>
        </is>
      </c>
      <c r="I456" s="177" t="n"/>
      <c r="J456" s="178">
        <f>IF(H456="VENDA",I456*F456*-1,0)</f>
        <v/>
      </c>
      <c r="K456" s="178">
        <f>IF(J456=0,0,J456+G456)</f>
        <v/>
      </c>
    </row>
    <row r="457">
      <c r="A457" s="47" t="n"/>
      <c r="B457" s="48" t="n"/>
      <c r="C457" s="49" t="n"/>
      <c r="D457" s="169" t="n"/>
      <c r="E457" s="50">
        <f>IFERROR(VLOOKUP(B457,'Dados B3'!A:G,2,FALSE),"-")</f>
        <v/>
      </c>
      <c r="F457" s="51">
        <f>IF(H457=P$4,(C457*(1)),IF(H457=P$3,(C457*(-1)),IF(H457=P$2,(C457*(1)))))</f>
        <v/>
      </c>
      <c r="G457" s="176">
        <f>F457*D457</f>
        <v/>
      </c>
      <c r="H457" s="52" t="inlineStr">
        <is>
          <t>COMPRA</t>
        </is>
      </c>
      <c r="I457" s="177" t="n"/>
      <c r="J457" s="178">
        <f>IF(H457="VENDA",I457*F457*-1,0)</f>
        <v/>
      </c>
      <c r="K457" s="178">
        <f>IF(J457=0,0,J457+G457)</f>
        <v/>
      </c>
    </row>
    <row r="458">
      <c r="A458" s="47" t="n"/>
      <c r="B458" s="48" t="n"/>
      <c r="C458" s="49" t="n"/>
      <c r="D458" s="169" t="n"/>
      <c r="E458" s="50">
        <f>IFERROR(VLOOKUP(B458,'Dados B3'!A:G,2,FALSE),"-")</f>
        <v/>
      </c>
      <c r="F458" s="51">
        <f>IF(H458=P$4,(C458*(1)),IF(H458=P$3,(C458*(-1)),IF(H458=P$2,(C458*(1)))))</f>
        <v/>
      </c>
      <c r="G458" s="176">
        <f>F458*D458</f>
        <v/>
      </c>
      <c r="H458" s="52" t="inlineStr">
        <is>
          <t>COMPRA</t>
        </is>
      </c>
      <c r="I458" s="177" t="n"/>
      <c r="J458" s="178">
        <f>IF(H458="VENDA",I458*F458*-1,0)</f>
        <v/>
      </c>
      <c r="K458" s="178">
        <f>IF(J458=0,0,J458+G458)</f>
        <v/>
      </c>
    </row>
    <row r="459">
      <c r="A459" s="47" t="n"/>
      <c r="B459" s="48" t="n"/>
      <c r="C459" s="49" t="n"/>
      <c r="D459" s="169" t="n"/>
      <c r="E459" s="50">
        <f>IFERROR(VLOOKUP(B459,'Dados B3'!A:G,2,FALSE),"-")</f>
        <v/>
      </c>
      <c r="F459" s="51">
        <f>IF(H459=P$4,(C459*(1)),IF(H459=P$3,(C459*(-1)),IF(H459=P$2,(C459*(1)))))</f>
        <v/>
      </c>
      <c r="G459" s="176">
        <f>F459*D459</f>
        <v/>
      </c>
      <c r="H459" s="52" t="inlineStr">
        <is>
          <t>COMPRA</t>
        </is>
      </c>
      <c r="I459" s="177" t="n"/>
      <c r="J459" s="178">
        <f>IF(H459="VENDA",I459*F459*-1,0)</f>
        <v/>
      </c>
      <c r="K459" s="178">
        <f>IF(J459=0,0,J459+G459)</f>
        <v/>
      </c>
    </row>
    <row r="460">
      <c r="A460" s="47" t="n"/>
      <c r="B460" s="48" t="n"/>
      <c r="C460" s="49" t="n"/>
      <c r="D460" s="169" t="n"/>
      <c r="E460" s="50">
        <f>IFERROR(VLOOKUP(B460,'Dados B3'!A:G,2,FALSE),"-")</f>
        <v/>
      </c>
      <c r="F460" s="51">
        <f>IF(H460=P$4,(C460*(1)),IF(H460=P$3,(C460*(-1)),IF(H460=P$2,(C460*(1)))))</f>
        <v/>
      </c>
      <c r="G460" s="176">
        <f>F460*D460</f>
        <v/>
      </c>
      <c r="H460" s="52" t="inlineStr">
        <is>
          <t>COMPRA</t>
        </is>
      </c>
      <c r="I460" s="177" t="n"/>
      <c r="J460" s="178">
        <f>IF(H460="VENDA",I460*F460*-1,0)</f>
        <v/>
      </c>
      <c r="K460" s="178">
        <f>IF(J460=0,0,J460+G460)</f>
        <v/>
      </c>
    </row>
    <row r="461">
      <c r="A461" s="47" t="n"/>
      <c r="B461" s="48" t="n"/>
      <c r="C461" s="49" t="n"/>
      <c r="D461" s="169" t="n"/>
      <c r="E461" s="50">
        <f>IFERROR(VLOOKUP(B461,'Dados B3'!A:G,2,FALSE),"-")</f>
        <v/>
      </c>
      <c r="F461" s="51">
        <f>IF(H461=P$4,(C461*(1)),IF(H461=P$3,(C461*(-1)),IF(H461=P$2,(C461*(1)))))</f>
        <v/>
      </c>
      <c r="G461" s="176">
        <f>F461*D461</f>
        <v/>
      </c>
      <c r="H461" s="52" t="inlineStr">
        <is>
          <t>COMPRA</t>
        </is>
      </c>
      <c r="I461" s="177" t="n"/>
      <c r="J461" s="178">
        <f>IF(H461="VENDA",I461*F461*-1,0)</f>
        <v/>
      </c>
      <c r="K461" s="178">
        <f>IF(J461=0,0,J461+G461)</f>
        <v/>
      </c>
    </row>
    <row r="462">
      <c r="A462" s="47" t="n"/>
      <c r="B462" s="48" t="n"/>
      <c r="C462" s="49" t="n"/>
      <c r="D462" s="169" t="n"/>
      <c r="E462" s="50">
        <f>IFERROR(VLOOKUP(B462,'Dados B3'!A:G,2,FALSE),"-")</f>
        <v/>
      </c>
      <c r="F462" s="51">
        <f>IF(H462=P$4,(C462*(1)),IF(H462=P$3,(C462*(-1)),IF(H462=P$2,(C462*(1)))))</f>
        <v/>
      </c>
      <c r="G462" s="176">
        <f>F462*D462</f>
        <v/>
      </c>
      <c r="H462" s="52" t="inlineStr">
        <is>
          <t>COMPRA</t>
        </is>
      </c>
      <c r="I462" s="177" t="n"/>
      <c r="J462" s="178">
        <f>IF(H462="VENDA",I462*F462*-1,0)</f>
        <v/>
      </c>
      <c r="K462" s="178">
        <f>IF(J462=0,0,J462+G462)</f>
        <v/>
      </c>
    </row>
    <row r="463">
      <c r="A463" s="47" t="n"/>
      <c r="B463" s="48" t="n"/>
      <c r="C463" s="49" t="n"/>
      <c r="D463" s="169" t="n"/>
      <c r="E463" s="50">
        <f>IFERROR(VLOOKUP(B463,'Dados B3'!A:G,2,FALSE),"-")</f>
        <v/>
      </c>
      <c r="F463" s="51">
        <f>IF(H463=P$4,(C463*(1)),IF(H463=P$3,(C463*(-1)),IF(H463=P$2,(C463*(1)))))</f>
        <v/>
      </c>
      <c r="G463" s="176">
        <f>F463*D463</f>
        <v/>
      </c>
      <c r="H463" s="52" t="inlineStr">
        <is>
          <t>COMPRA</t>
        </is>
      </c>
      <c r="I463" s="177" t="n"/>
      <c r="J463" s="178">
        <f>IF(H463="VENDA",I463*F463*-1,0)</f>
        <v/>
      </c>
      <c r="K463" s="178">
        <f>IF(J463=0,0,J463+G463)</f>
        <v/>
      </c>
    </row>
    <row r="464">
      <c r="A464" s="47" t="n"/>
      <c r="B464" s="48" t="n"/>
      <c r="C464" s="49" t="n"/>
      <c r="D464" s="169" t="n"/>
      <c r="E464" s="50">
        <f>IFERROR(VLOOKUP(B464,'Dados B3'!A:G,2,FALSE),"-")</f>
        <v/>
      </c>
      <c r="F464" s="51">
        <f>IF(H464=P$4,(C464*(1)),IF(H464=P$3,(C464*(-1)),IF(H464=P$2,(C464*(1)))))</f>
        <v/>
      </c>
      <c r="G464" s="176">
        <f>F464*D464</f>
        <v/>
      </c>
      <c r="H464" s="52" t="inlineStr">
        <is>
          <t>COMPRA</t>
        </is>
      </c>
      <c r="I464" s="177" t="n"/>
      <c r="J464" s="178">
        <f>IF(H464="VENDA",I464*F464*-1,0)</f>
        <v/>
      </c>
      <c r="K464" s="178">
        <f>IF(J464=0,0,J464+G464)</f>
        <v/>
      </c>
    </row>
    <row r="465">
      <c r="A465" s="47" t="n"/>
      <c r="B465" s="48" t="n"/>
      <c r="C465" s="49" t="n"/>
      <c r="D465" s="169" t="n"/>
      <c r="E465" s="50">
        <f>IFERROR(VLOOKUP(B465,'Dados B3'!A:G,2,FALSE),"-")</f>
        <v/>
      </c>
      <c r="F465" s="51">
        <f>IF(H465=P$4,(C465*(1)),IF(H465=P$3,(C465*(-1)),IF(H465=P$2,(C465*(1)))))</f>
        <v/>
      </c>
      <c r="G465" s="176">
        <f>F465*D465</f>
        <v/>
      </c>
      <c r="H465" s="52" t="inlineStr">
        <is>
          <t>COMPRA</t>
        </is>
      </c>
      <c r="I465" s="177" t="n"/>
      <c r="J465" s="178">
        <f>IF(H465="VENDA",I465*F465*-1,0)</f>
        <v/>
      </c>
      <c r="K465" s="178">
        <f>IF(J465=0,0,J465+G465)</f>
        <v/>
      </c>
    </row>
    <row r="466">
      <c r="A466" s="47" t="n"/>
      <c r="B466" s="48" t="n"/>
      <c r="C466" s="49" t="n"/>
      <c r="D466" s="169" t="n"/>
      <c r="E466" s="50">
        <f>IFERROR(VLOOKUP(B466,'Dados B3'!A:G,2,FALSE),"-")</f>
        <v/>
      </c>
      <c r="F466" s="51">
        <f>IF(H466=P$4,(C466*(1)),IF(H466=P$3,(C466*(-1)),IF(H466=P$2,(C466*(1)))))</f>
        <v/>
      </c>
      <c r="G466" s="176">
        <f>F466*D466</f>
        <v/>
      </c>
      <c r="H466" s="52" t="inlineStr">
        <is>
          <t>COMPRA</t>
        </is>
      </c>
      <c r="I466" s="177" t="n"/>
      <c r="J466" s="178">
        <f>IF(H466="VENDA",I466*F466*-1,0)</f>
        <v/>
      </c>
      <c r="K466" s="178">
        <f>IF(J466=0,0,J466+G466)</f>
        <v/>
      </c>
    </row>
    <row r="467">
      <c r="A467" s="47" t="n"/>
      <c r="B467" s="48" t="n"/>
      <c r="C467" s="49" t="n"/>
      <c r="D467" s="169" t="n"/>
      <c r="E467" s="50">
        <f>IFERROR(VLOOKUP(B467,'Dados B3'!A:G,2,FALSE),"-")</f>
        <v/>
      </c>
      <c r="F467" s="51">
        <f>IF(H467=P$4,(C467*(1)),IF(H467=P$3,(C467*(-1)),IF(H467=P$2,(C467*(1)))))</f>
        <v/>
      </c>
      <c r="G467" s="176">
        <f>F467*D467</f>
        <v/>
      </c>
      <c r="H467" s="52" t="inlineStr">
        <is>
          <t>COMPRA</t>
        </is>
      </c>
      <c r="I467" s="177" t="n"/>
      <c r="J467" s="178">
        <f>IF(H467="VENDA",I467*F467*-1,0)</f>
        <v/>
      </c>
      <c r="K467" s="178">
        <f>IF(J467=0,0,J467+G467)</f>
        <v/>
      </c>
    </row>
    <row r="468">
      <c r="A468" s="47" t="n"/>
      <c r="B468" s="48" t="n"/>
      <c r="C468" s="49" t="n"/>
      <c r="D468" s="169" t="n"/>
      <c r="E468" s="50">
        <f>IFERROR(VLOOKUP(B468,'Dados B3'!A:G,2,FALSE),"-")</f>
        <v/>
      </c>
      <c r="F468" s="51">
        <f>IF(H468=P$4,(C468*(1)),IF(H468=P$3,(C468*(-1)),IF(H468=P$2,(C468*(1)))))</f>
        <v/>
      </c>
      <c r="G468" s="176">
        <f>F468*D468</f>
        <v/>
      </c>
      <c r="H468" s="52" t="inlineStr">
        <is>
          <t>COMPRA</t>
        </is>
      </c>
      <c r="I468" s="177" t="n"/>
      <c r="J468" s="178">
        <f>IF(H468="VENDA",I468*F468*-1,0)</f>
        <v/>
      </c>
      <c r="K468" s="178">
        <f>IF(J468=0,0,J468+G468)</f>
        <v/>
      </c>
    </row>
    <row r="469">
      <c r="A469" s="47" t="n"/>
      <c r="B469" s="48" t="n"/>
      <c r="C469" s="49" t="n"/>
      <c r="D469" s="169" t="n"/>
      <c r="E469" s="50">
        <f>IFERROR(VLOOKUP(B469,'Dados B3'!A:G,2,FALSE),"-")</f>
        <v/>
      </c>
      <c r="F469" s="51">
        <f>IF(H469=P$4,(C469*(1)),IF(H469=P$3,(C469*(-1)),IF(H469=P$2,(C469*(1)))))</f>
        <v/>
      </c>
      <c r="G469" s="176">
        <f>F469*D469</f>
        <v/>
      </c>
      <c r="H469" s="52" t="inlineStr">
        <is>
          <t>COMPRA</t>
        </is>
      </c>
      <c r="I469" s="177" t="n"/>
      <c r="J469" s="178">
        <f>IF(H469="VENDA",I469*F469*-1,0)</f>
        <v/>
      </c>
      <c r="K469" s="178">
        <f>IF(J469=0,0,J469+G469)</f>
        <v/>
      </c>
    </row>
    <row r="470">
      <c r="A470" s="47" t="n"/>
      <c r="B470" s="48" t="n"/>
      <c r="C470" s="49" t="n"/>
      <c r="D470" s="169" t="n"/>
      <c r="E470" s="50">
        <f>IFERROR(VLOOKUP(B470,'Dados B3'!A:G,2,FALSE),"-")</f>
        <v/>
      </c>
      <c r="F470" s="51">
        <f>IF(H470=P$4,(C470*(1)),IF(H470=P$3,(C470*(-1)),IF(H470=P$2,(C470*(1)))))</f>
        <v/>
      </c>
      <c r="G470" s="176">
        <f>F470*D470</f>
        <v/>
      </c>
      <c r="H470" s="52" t="inlineStr">
        <is>
          <t>COMPRA</t>
        </is>
      </c>
      <c r="I470" s="177" t="n"/>
      <c r="J470" s="178">
        <f>IF(H470="VENDA",I470*F470*-1,0)</f>
        <v/>
      </c>
      <c r="K470" s="178">
        <f>IF(J470=0,0,J470+G470)</f>
        <v/>
      </c>
    </row>
    <row r="471">
      <c r="A471" s="47" t="n"/>
      <c r="B471" s="48" t="n"/>
      <c r="C471" s="49" t="n"/>
      <c r="D471" s="169" t="n"/>
      <c r="E471" s="50">
        <f>IFERROR(VLOOKUP(B471,'Dados B3'!A:G,2,FALSE),"-")</f>
        <v/>
      </c>
      <c r="F471" s="51">
        <f>IF(H471=P$4,(C471*(1)),IF(H471=P$3,(C471*(-1)),IF(H471=P$2,(C471*(1)))))</f>
        <v/>
      </c>
      <c r="G471" s="176">
        <f>F471*D471</f>
        <v/>
      </c>
      <c r="H471" s="52" t="inlineStr">
        <is>
          <t>COMPRA</t>
        </is>
      </c>
      <c r="I471" s="177" t="n"/>
      <c r="J471" s="178">
        <f>IF(H471="VENDA",I471*F471*-1,0)</f>
        <v/>
      </c>
      <c r="K471" s="178">
        <f>IF(J471=0,0,J471+G471)</f>
        <v/>
      </c>
    </row>
    <row r="472">
      <c r="A472" s="47" t="n"/>
      <c r="B472" s="48" t="n"/>
      <c r="C472" s="49" t="n"/>
      <c r="D472" s="169" t="n"/>
      <c r="E472" s="50">
        <f>IFERROR(VLOOKUP(B472,'Dados B3'!A:G,2,FALSE),"-")</f>
        <v/>
      </c>
      <c r="F472" s="51">
        <f>IF(H472=P$4,(C472*(1)),IF(H472=P$3,(C472*(-1)),IF(H472=P$2,(C472*(1)))))</f>
        <v/>
      </c>
      <c r="G472" s="176">
        <f>F472*D472</f>
        <v/>
      </c>
      <c r="H472" s="52" t="inlineStr">
        <is>
          <t>COMPRA</t>
        </is>
      </c>
      <c r="I472" s="177" t="n"/>
      <c r="J472" s="178">
        <f>IF(H472="VENDA",I472*F472*-1,0)</f>
        <v/>
      </c>
      <c r="K472" s="178">
        <f>IF(J472=0,0,J472+G472)</f>
        <v/>
      </c>
    </row>
    <row r="473">
      <c r="A473" s="47" t="n"/>
      <c r="B473" s="48" t="n"/>
      <c r="C473" s="49" t="n"/>
      <c r="D473" s="169" t="n"/>
      <c r="E473" s="50">
        <f>IFERROR(VLOOKUP(B473,'Dados B3'!A:G,2,FALSE),"-")</f>
        <v/>
      </c>
      <c r="F473" s="51">
        <f>IF(H473=P$4,(C473*(1)),IF(H473=P$3,(C473*(-1)),IF(H473=P$2,(C473*(1)))))</f>
        <v/>
      </c>
      <c r="G473" s="176">
        <f>F473*D473</f>
        <v/>
      </c>
      <c r="H473" s="52" t="inlineStr">
        <is>
          <t>COMPRA</t>
        </is>
      </c>
      <c r="I473" s="177" t="n"/>
      <c r="J473" s="178">
        <f>IF(H473="VENDA",I473*F473*-1,0)</f>
        <v/>
      </c>
      <c r="K473" s="178">
        <f>IF(J473=0,0,J473+G473)</f>
        <v/>
      </c>
    </row>
    <row r="474">
      <c r="A474" s="47" t="n"/>
      <c r="B474" s="48" t="n"/>
      <c r="C474" s="49" t="n"/>
      <c r="D474" s="169" t="n"/>
      <c r="E474" s="50">
        <f>IFERROR(VLOOKUP(B474,'Dados B3'!A:G,2,FALSE),"-")</f>
        <v/>
      </c>
      <c r="F474" s="51">
        <f>IF(H474=P$4,(C474*(1)),IF(H474=P$3,(C474*(-1)),IF(H474=P$2,(C474*(1)))))</f>
        <v/>
      </c>
      <c r="G474" s="176">
        <f>F474*D474</f>
        <v/>
      </c>
      <c r="H474" s="52" t="inlineStr">
        <is>
          <t>COMPRA</t>
        </is>
      </c>
      <c r="I474" s="177" t="n"/>
      <c r="J474" s="178">
        <f>IF(H474="VENDA",I474*F474*-1,0)</f>
        <v/>
      </c>
      <c r="K474" s="178">
        <f>IF(J474=0,0,J474+G474)</f>
        <v/>
      </c>
    </row>
    <row r="475">
      <c r="A475" s="47" t="n"/>
      <c r="B475" s="48" t="n"/>
      <c r="C475" s="49" t="n"/>
      <c r="D475" s="169" t="n"/>
      <c r="E475" s="50">
        <f>IFERROR(VLOOKUP(B475,'Dados B3'!A:G,2,FALSE),"-")</f>
        <v/>
      </c>
      <c r="F475" s="51">
        <f>IF(H475=P$4,(C475*(1)),IF(H475=P$3,(C475*(-1)),IF(H475=P$2,(C475*(1)))))</f>
        <v/>
      </c>
      <c r="G475" s="176">
        <f>F475*D475</f>
        <v/>
      </c>
      <c r="H475" s="52" t="inlineStr">
        <is>
          <t>COMPRA</t>
        </is>
      </c>
      <c r="I475" s="177" t="n"/>
      <c r="J475" s="178">
        <f>IF(H475="VENDA",I475*F475*-1,0)</f>
        <v/>
      </c>
      <c r="K475" s="178">
        <f>IF(J475=0,0,J475+G475)</f>
        <v/>
      </c>
    </row>
    <row r="476">
      <c r="A476" s="47" t="n"/>
      <c r="B476" s="48" t="n"/>
      <c r="C476" s="49" t="n"/>
      <c r="D476" s="169" t="n"/>
      <c r="E476" s="50">
        <f>IFERROR(VLOOKUP(B476,'Dados B3'!A:G,2,FALSE),"-")</f>
        <v/>
      </c>
      <c r="F476" s="51">
        <f>IF(H476=P$4,(C476*(1)),IF(H476=P$3,(C476*(-1)),IF(H476=P$2,(C476*(1)))))</f>
        <v/>
      </c>
      <c r="G476" s="176">
        <f>F476*D476</f>
        <v/>
      </c>
      <c r="H476" s="52" t="inlineStr">
        <is>
          <t>COMPRA</t>
        </is>
      </c>
      <c r="I476" s="177" t="n"/>
      <c r="J476" s="178">
        <f>IF(H476="VENDA",I476*F476*-1,0)</f>
        <v/>
      </c>
      <c r="K476" s="178">
        <f>IF(J476=0,0,J476+G476)</f>
        <v/>
      </c>
    </row>
    <row r="477">
      <c r="A477" s="47" t="n"/>
      <c r="B477" s="48" t="n"/>
      <c r="C477" s="49" t="n"/>
      <c r="D477" s="169" t="n"/>
      <c r="E477" s="50">
        <f>IFERROR(VLOOKUP(B477,'Dados B3'!A:G,2,FALSE),"-")</f>
        <v/>
      </c>
      <c r="F477" s="51">
        <f>IF(H477=P$4,(C477*(1)),IF(H477=P$3,(C477*(-1)),IF(H477=P$2,(C477*(1)))))</f>
        <v/>
      </c>
      <c r="G477" s="176">
        <f>F477*D477</f>
        <v/>
      </c>
      <c r="H477" s="52" t="inlineStr">
        <is>
          <t>COMPRA</t>
        </is>
      </c>
      <c r="I477" s="177" t="n"/>
      <c r="J477" s="178">
        <f>IF(H477="VENDA",I477*F477*-1,0)</f>
        <v/>
      </c>
      <c r="K477" s="178">
        <f>IF(J477=0,0,J477+G477)</f>
        <v/>
      </c>
    </row>
    <row r="478">
      <c r="A478" s="47" t="n"/>
      <c r="B478" s="48" t="n"/>
      <c r="C478" s="49" t="n"/>
      <c r="D478" s="169" t="n"/>
      <c r="E478" s="50">
        <f>IFERROR(VLOOKUP(B478,'Dados B3'!A:G,2,FALSE),"-")</f>
        <v/>
      </c>
      <c r="F478" s="51">
        <f>IF(H478=P$4,(C478*(1)),IF(H478=P$3,(C478*(-1)),IF(H478=P$2,(C478*(1)))))</f>
        <v/>
      </c>
      <c r="G478" s="176">
        <f>F478*D478</f>
        <v/>
      </c>
      <c r="H478" s="52" t="inlineStr">
        <is>
          <t>COMPRA</t>
        </is>
      </c>
      <c r="I478" s="177" t="n"/>
      <c r="J478" s="178">
        <f>IF(H478="VENDA",I478*F478*-1,0)</f>
        <v/>
      </c>
      <c r="K478" s="178">
        <f>IF(J478=0,0,J478+G478)</f>
        <v/>
      </c>
    </row>
    <row r="479">
      <c r="A479" s="47" t="n"/>
      <c r="B479" s="48" t="n"/>
      <c r="C479" s="49" t="n"/>
      <c r="D479" s="169" t="n"/>
      <c r="E479" s="50">
        <f>IFERROR(VLOOKUP(B479,'Dados B3'!A:G,2,FALSE),"-")</f>
        <v/>
      </c>
      <c r="F479" s="51">
        <f>IF(H479=P$4,(C479*(1)),IF(H479=P$3,(C479*(-1)),IF(H479=P$2,(C479*(1)))))</f>
        <v/>
      </c>
      <c r="G479" s="176">
        <f>F479*D479</f>
        <v/>
      </c>
      <c r="H479" s="52" t="inlineStr">
        <is>
          <t>COMPRA</t>
        </is>
      </c>
      <c r="I479" s="177" t="n"/>
      <c r="J479" s="178">
        <f>IF(H479="VENDA",I479*F479*-1,0)</f>
        <v/>
      </c>
      <c r="K479" s="178">
        <f>IF(J479=0,0,J479+G479)</f>
        <v/>
      </c>
    </row>
    <row r="480">
      <c r="A480" s="47" t="n"/>
      <c r="B480" s="48" t="n"/>
      <c r="C480" s="49" t="n"/>
      <c r="D480" s="169" t="n"/>
      <c r="E480" s="50">
        <f>IFERROR(VLOOKUP(B480,'Dados B3'!A:G,2,FALSE),"-")</f>
        <v/>
      </c>
      <c r="F480" s="51">
        <f>IF(H480=P$4,(C480*(1)),IF(H480=P$3,(C480*(-1)),IF(H480=P$2,(C480*(1)))))</f>
        <v/>
      </c>
      <c r="G480" s="176">
        <f>F480*D480</f>
        <v/>
      </c>
      <c r="H480" s="52" t="inlineStr">
        <is>
          <t>COMPRA</t>
        </is>
      </c>
      <c r="I480" s="177" t="n"/>
      <c r="J480" s="178">
        <f>IF(H480="VENDA",I480*F480*-1,0)</f>
        <v/>
      </c>
      <c r="K480" s="178">
        <f>IF(J480=0,0,J480+G480)</f>
        <v/>
      </c>
    </row>
    <row r="481">
      <c r="A481" s="47" t="n"/>
      <c r="B481" s="48" t="n"/>
      <c r="C481" s="49" t="n"/>
      <c r="D481" s="169" t="n"/>
      <c r="E481" s="50">
        <f>IFERROR(VLOOKUP(B481,'Dados B3'!A:G,2,FALSE),"-")</f>
        <v/>
      </c>
      <c r="F481" s="51">
        <f>IF(H481=P$4,(C481*(1)),IF(H481=P$3,(C481*(-1)),IF(H481=P$2,(C481*(1)))))</f>
        <v/>
      </c>
      <c r="G481" s="176">
        <f>F481*D481</f>
        <v/>
      </c>
      <c r="H481" s="52" t="inlineStr">
        <is>
          <t>COMPRA</t>
        </is>
      </c>
      <c r="I481" s="177" t="n"/>
      <c r="J481" s="178">
        <f>IF(H481="VENDA",I481*F481*-1,0)</f>
        <v/>
      </c>
      <c r="K481" s="178">
        <f>IF(J481=0,0,J481+G481)</f>
        <v/>
      </c>
    </row>
    <row r="482">
      <c r="A482" s="47" t="n"/>
      <c r="B482" s="48" t="n"/>
      <c r="C482" s="49" t="n"/>
      <c r="D482" s="169" t="n"/>
      <c r="E482" s="50">
        <f>IFERROR(VLOOKUP(B482,'Dados B3'!A:G,2,FALSE),"-")</f>
        <v/>
      </c>
      <c r="F482" s="51">
        <f>IF(H482=P$4,(C482*(1)),IF(H482=P$3,(C482*(-1)),IF(H482=P$2,(C482*(1)))))</f>
        <v/>
      </c>
      <c r="G482" s="176">
        <f>F482*D482</f>
        <v/>
      </c>
      <c r="H482" s="52" t="inlineStr">
        <is>
          <t>COMPRA</t>
        </is>
      </c>
      <c r="I482" s="177" t="n"/>
      <c r="J482" s="178">
        <f>IF(H482="VENDA",I482*F482*-1,0)</f>
        <v/>
      </c>
      <c r="K482" s="178">
        <f>IF(J482=0,0,J482+G482)</f>
        <v/>
      </c>
    </row>
    <row r="483">
      <c r="A483" s="47" t="n"/>
      <c r="B483" s="48" t="n"/>
      <c r="C483" s="49" t="n"/>
      <c r="D483" s="169" t="n"/>
      <c r="E483" s="50">
        <f>IFERROR(VLOOKUP(B483,'Dados B3'!A:G,2,FALSE),"-")</f>
        <v/>
      </c>
      <c r="F483" s="51">
        <f>IF(H483=P$4,(C483*(1)),IF(H483=P$3,(C483*(-1)),IF(H483=P$2,(C483*(1)))))</f>
        <v/>
      </c>
      <c r="G483" s="176">
        <f>F483*D483</f>
        <v/>
      </c>
      <c r="H483" s="52" t="inlineStr">
        <is>
          <t>COMPRA</t>
        </is>
      </c>
      <c r="I483" s="177" t="n"/>
      <c r="J483" s="178">
        <f>IF(H483="VENDA",I483*F483*-1,0)</f>
        <v/>
      </c>
      <c r="K483" s="178">
        <f>IF(J483=0,0,J483+G483)</f>
        <v/>
      </c>
    </row>
    <row r="484">
      <c r="A484" s="47" t="n"/>
      <c r="B484" s="48" t="n"/>
      <c r="C484" s="49" t="n"/>
      <c r="D484" s="169" t="n"/>
      <c r="E484" s="50">
        <f>IFERROR(VLOOKUP(B484,'Dados B3'!A:G,2,FALSE),"-")</f>
        <v/>
      </c>
      <c r="F484" s="51">
        <f>IF(H484=P$4,(C484*(1)),IF(H484=P$3,(C484*(-1)),IF(H484=P$2,(C484*(1)))))</f>
        <v/>
      </c>
      <c r="G484" s="176">
        <f>F484*D484</f>
        <v/>
      </c>
      <c r="H484" s="52" t="inlineStr">
        <is>
          <t>COMPRA</t>
        </is>
      </c>
      <c r="I484" s="177" t="n"/>
      <c r="J484" s="178">
        <f>IF(H484="VENDA",I484*F484*-1,0)</f>
        <v/>
      </c>
      <c r="K484" s="178">
        <f>IF(J484=0,0,J484+G484)</f>
        <v/>
      </c>
    </row>
    <row r="485">
      <c r="A485" s="47" t="n"/>
      <c r="B485" s="48" t="n"/>
      <c r="C485" s="49" t="n"/>
      <c r="D485" s="169" t="n"/>
      <c r="E485" s="50">
        <f>IFERROR(VLOOKUP(B485,'Dados B3'!A:G,2,FALSE),"-")</f>
        <v/>
      </c>
      <c r="F485" s="51">
        <f>IF(H485=P$4,(C485*(1)),IF(H485=P$3,(C485*(-1)),IF(H485=P$2,(C485*(1)))))</f>
        <v/>
      </c>
      <c r="G485" s="176">
        <f>F485*D485</f>
        <v/>
      </c>
      <c r="H485" s="52" t="inlineStr">
        <is>
          <t>COMPRA</t>
        </is>
      </c>
      <c r="I485" s="177" t="n"/>
      <c r="J485" s="178">
        <f>IF(H485="VENDA",I485*F485*-1,0)</f>
        <v/>
      </c>
      <c r="K485" s="178">
        <f>IF(J485=0,0,J485+G485)</f>
        <v/>
      </c>
    </row>
    <row r="486">
      <c r="A486" s="47" t="n"/>
      <c r="B486" s="48" t="n"/>
      <c r="C486" s="49" t="n"/>
      <c r="D486" s="169" t="n"/>
      <c r="E486" s="50">
        <f>IFERROR(VLOOKUP(B486,'Dados B3'!A:G,2,FALSE),"-")</f>
        <v/>
      </c>
      <c r="F486" s="51">
        <f>IF(H486=P$4,(C486*(1)),IF(H486=P$3,(C486*(-1)),IF(H486=P$2,(C486*(1)))))</f>
        <v/>
      </c>
      <c r="G486" s="176">
        <f>F486*D486</f>
        <v/>
      </c>
      <c r="H486" s="52" t="inlineStr">
        <is>
          <t>COMPRA</t>
        </is>
      </c>
      <c r="I486" s="177" t="n"/>
      <c r="J486" s="178">
        <f>IF(H486="VENDA",I486*F486*-1,0)</f>
        <v/>
      </c>
      <c r="K486" s="178">
        <f>IF(J486=0,0,J486+G486)</f>
        <v/>
      </c>
    </row>
    <row r="487">
      <c r="A487" s="47" t="n"/>
      <c r="B487" s="48" t="n"/>
      <c r="C487" s="49" t="n"/>
      <c r="D487" s="169" t="n"/>
      <c r="E487" s="50">
        <f>IFERROR(VLOOKUP(B487,'Dados B3'!A:G,2,FALSE),"-")</f>
        <v/>
      </c>
      <c r="F487" s="51">
        <f>IF(H487=P$4,(C487*(1)),IF(H487=P$3,(C487*(-1)),IF(H487=P$2,(C487*(1)))))</f>
        <v/>
      </c>
      <c r="G487" s="176">
        <f>F487*D487</f>
        <v/>
      </c>
      <c r="H487" s="52" t="inlineStr">
        <is>
          <t>COMPRA</t>
        </is>
      </c>
      <c r="I487" s="177" t="n"/>
      <c r="J487" s="178">
        <f>IF(H487="VENDA",I487*F487*-1,0)</f>
        <v/>
      </c>
      <c r="K487" s="178">
        <f>IF(J487=0,0,J487+G487)</f>
        <v/>
      </c>
    </row>
    <row r="488">
      <c r="A488" s="47" t="n"/>
      <c r="B488" s="48" t="n"/>
      <c r="C488" s="49" t="n"/>
      <c r="D488" s="169" t="n"/>
      <c r="E488" s="50">
        <f>IFERROR(VLOOKUP(B488,'Dados B3'!A:G,2,FALSE),"-")</f>
        <v/>
      </c>
      <c r="F488" s="51">
        <f>IF(H488=P$4,(C488*(1)),IF(H488=P$3,(C488*(-1)),IF(H488=P$2,(C488*(1)))))</f>
        <v/>
      </c>
      <c r="G488" s="176">
        <f>F488*D488</f>
        <v/>
      </c>
      <c r="H488" s="52" t="inlineStr">
        <is>
          <t>COMPRA</t>
        </is>
      </c>
      <c r="I488" s="177" t="n"/>
      <c r="J488" s="178">
        <f>IF(H488="VENDA",I488*F488*-1,0)</f>
        <v/>
      </c>
      <c r="K488" s="178">
        <f>IF(J488=0,0,J488+G488)</f>
        <v/>
      </c>
    </row>
    <row r="489">
      <c r="A489" s="47" t="n"/>
      <c r="B489" s="48" t="n"/>
      <c r="C489" s="49" t="n"/>
      <c r="D489" s="169" t="n"/>
      <c r="E489" s="50">
        <f>IFERROR(VLOOKUP(B489,'Dados B3'!A:G,2,FALSE),"-")</f>
        <v/>
      </c>
      <c r="F489" s="51">
        <f>IF(H489=P$4,(C489*(1)),IF(H489=P$3,(C489*(-1)),IF(H489=P$2,(C489*(1)))))</f>
        <v/>
      </c>
      <c r="G489" s="176">
        <f>F489*D489</f>
        <v/>
      </c>
      <c r="H489" s="52" t="inlineStr">
        <is>
          <t>COMPRA</t>
        </is>
      </c>
      <c r="I489" s="177" t="n"/>
      <c r="J489" s="178">
        <f>IF(H489="VENDA",I489*F489*-1,0)</f>
        <v/>
      </c>
      <c r="K489" s="178">
        <f>IF(J489=0,0,J489+G489)</f>
        <v/>
      </c>
    </row>
    <row r="490">
      <c r="A490" s="47" t="n"/>
      <c r="B490" s="48" t="n"/>
      <c r="C490" s="49" t="n"/>
      <c r="D490" s="169" t="n"/>
      <c r="E490" s="50">
        <f>IFERROR(VLOOKUP(B490,'Dados B3'!A:G,2,FALSE),"-")</f>
        <v/>
      </c>
      <c r="F490" s="51">
        <f>IF(H490=P$4,(C490*(1)),IF(H490=P$3,(C490*(-1)),IF(H490=P$2,(C490*(1)))))</f>
        <v/>
      </c>
      <c r="G490" s="176">
        <f>F490*D490</f>
        <v/>
      </c>
      <c r="H490" s="52" t="inlineStr">
        <is>
          <t>COMPRA</t>
        </is>
      </c>
      <c r="I490" s="177" t="n"/>
      <c r="J490" s="178">
        <f>IF(H490="VENDA",I490*F490*-1,0)</f>
        <v/>
      </c>
      <c r="K490" s="178">
        <f>IF(J490=0,0,J490+G490)</f>
        <v/>
      </c>
    </row>
    <row r="491">
      <c r="A491" s="47" t="n"/>
      <c r="B491" s="48" t="n"/>
      <c r="C491" s="49" t="n"/>
      <c r="D491" s="169" t="n"/>
      <c r="E491" s="50">
        <f>IFERROR(VLOOKUP(B491,'Dados B3'!A:G,2,FALSE),"-")</f>
        <v/>
      </c>
      <c r="F491" s="51">
        <f>IF(H491=P$4,(C491*(1)),IF(H491=P$3,(C491*(-1)),IF(H491=P$2,(C491*(1)))))</f>
        <v/>
      </c>
      <c r="G491" s="176">
        <f>F491*D491</f>
        <v/>
      </c>
      <c r="H491" s="52" t="inlineStr">
        <is>
          <t>COMPRA</t>
        </is>
      </c>
      <c r="I491" s="177" t="n"/>
      <c r="J491" s="178">
        <f>IF(H491="VENDA",I491*F491*-1,0)</f>
        <v/>
      </c>
      <c r="K491" s="178">
        <f>IF(J491=0,0,J491+G491)</f>
        <v/>
      </c>
    </row>
    <row r="492">
      <c r="A492" s="47" t="n"/>
      <c r="B492" s="48" t="n"/>
      <c r="C492" s="49" t="n"/>
      <c r="D492" s="169" t="n"/>
      <c r="E492" s="50">
        <f>IFERROR(VLOOKUP(B492,'Dados B3'!A:G,2,FALSE),"-")</f>
        <v/>
      </c>
      <c r="F492" s="51">
        <f>IF(H492=P$4,(C492*(1)),IF(H492=P$3,(C492*(-1)),IF(H492=P$2,(C492*(1)))))</f>
        <v/>
      </c>
      <c r="G492" s="176">
        <f>F492*D492</f>
        <v/>
      </c>
      <c r="H492" s="52" t="inlineStr">
        <is>
          <t>COMPRA</t>
        </is>
      </c>
      <c r="I492" s="177" t="n"/>
      <c r="J492" s="178">
        <f>IF(H492="VENDA",I492*F492*-1,0)</f>
        <v/>
      </c>
      <c r="K492" s="178">
        <f>IF(J492=0,0,J492+G492)</f>
        <v/>
      </c>
    </row>
    <row r="493">
      <c r="A493" s="47" t="n"/>
      <c r="B493" s="48" t="n"/>
      <c r="C493" s="49" t="n"/>
      <c r="D493" s="169" t="n"/>
      <c r="E493" s="50">
        <f>IFERROR(VLOOKUP(B493,'Dados B3'!A:G,2,FALSE),"-")</f>
        <v/>
      </c>
      <c r="F493" s="51">
        <f>IF(H493=P$4,(C493*(1)),IF(H493=P$3,(C493*(-1)),IF(H493=P$2,(C493*(1)))))</f>
        <v/>
      </c>
      <c r="G493" s="176">
        <f>F493*D493</f>
        <v/>
      </c>
      <c r="H493" s="52" t="inlineStr">
        <is>
          <t>COMPRA</t>
        </is>
      </c>
      <c r="I493" s="177" t="n"/>
      <c r="J493" s="178">
        <f>IF(H493="VENDA",I493*F493*-1,0)</f>
        <v/>
      </c>
      <c r="K493" s="178">
        <f>IF(J493=0,0,J493+G493)</f>
        <v/>
      </c>
    </row>
    <row r="494">
      <c r="A494" s="47" t="n"/>
      <c r="B494" s="48" t="n"/>
      <c r="C494" s="49" t="n"/>
      <c r="D494" s="169" t="n"/>
      <c r="E494" s="50">
        <f>IFERROR(VLOOKUP(B494,'Dados B3'!A:G,2,FALSE),"-")</f>
        <v/>
      </c>
      <c r="F494" s="51">
        <f>IF(H494=P$4,(C494*(1)),IF(H494=P$3,(C494*(-1)),IF(H494=P$2,(C494*(1)))))</f>
        <v/>
      </c>
      <c r="G494" s="176">
        <f>F494*D494</f>
        <v/>
      </c>
      <c r="H494" s="52" t="inlineStr">
        <is>
          <t>COMPRA</t>
        </is>
      </c>
      <c r="I494" s="177" t="n"/>
      <c r="J494" s="178">
        <f>IF(H494="VENDA",I494*F494*-1,0)</f>
        <v/>
      </c>
      <c r="K494" s="178">
        <f>IF(J494=0,0,J494+G494)</f>
        <v/>
      </c>
    </row>
    <row r="495">
      <c r="A495" s="47" t="n"/>
      <c r="B495" s="48" t="n"/>
      <c r="C495" s="49" t="n"/>
      <c r="D495" s="169" t="n"/>
      <c r="E495" s="50">
        <f>IFERROR(VLOOKUP(B495,'Dados B3'!A:G,2,FALSE),"-")</f>
        <v/>
      </c>
      <c r="F495" s="51">
        <f>IF(H495=P$4,(C495*(1)),IF(H495=P$3,(C495*(-1)),IF(H495=P$2,(C495*(1)))))</f>
        <v/>
      </c>
      <c r="G495" s="176">
        <f>F495*D495</f>
        <v/>
      </c>
      <c r="H495" s="52" t="inlineStr">
        <is>
          <t>COMPRA</t>
        </is>
      </c>
      <c r="I495" s="177" t="n"/>
      <c r="J495" s="178">
        <f>IF(H495="VENDA",I495*F495*-1,0)</f>
        <v/>
      </c>
      <c r="K495" s="178">
        <f>IF(J495=0,0,J495+G495)</f>
        <v/>
      </c>
    </row>
    <row r="496">
      <c r="A496" s="47" t="n"/>
      <c r="B496" s="48" t="n"/>
      <c r="C496" s="49" t="n"/>
      <c r="D496" s="169" t="n"/>
      <c r="E496" s="50">
        <f>IFERROR(VLOOKUP(B496,'Dados B3'!A:G,2,FALSE),"-")</f>
        <v/>
      </c>
      <c r="F496" s="51">
        <f>IF(H496=P$4,(C496*(1)),IF(H496=P$3,(C496*(-1)),IF(H496=P$2,(C496*(1)))))</f>
        <v/>
      </c>
      <c r="G496" s="176">
        <f>F496*D496</f>
        <v/>
      </c>
      <c r="H496" s="52" t="inlineStr">
        <is>
          <t>COMPRA</t>
        </is>
      </c>
      <c r="I496" s="177" t="n"/>
      <c r="J496" s="178">
        <f>IF(H496="VENDA",I496*F496*-1,0)</f>
        <v/>
      </c>
      <c r="K496" s="178">
        <f>IF(J496=0,0,J496+G496)</f>
        <v/>
      </c>
    </row>
    <row r="497">
      <c r="A497" s="47" t="n"/>
      <c r="B497" s="48" t="n"/>
      <c r="C497" s="49" t="n"/>
      <c r="D497" s="169" t="n"/>
      <c r="E497" s="50">
        <f>IFERROR(VLOOKUP(B497,'Dados B3'!A:G,2,FALSE),"-")</f>
        <v/>
      </c>
      <c r="F497" s="51">
        <f>IF(H497=P$4,(C497*(1)),IF(H497=P$3,(C497*(-1)),IF(H497=P$2,(C497*(1)))))</f>
        <v/>
      </c>
      <c r="G497" s="176">
        <f>F497*D497</f>
        <v/>
      </c>
      <c r="H497" s="52" t="inlineStr">
        <is>
          <t>COMPRA</t>
        </is>
      </c>
      <c r="I497" s="177" t="n"/>
      <c r="J497" s="178">
        <f>IF(H497="VENDA",I497*F497*-1,0)</f>
        <v/>
      </c>
      <c r="K497" s="178">
        <f>IF(J497=0,0,J497+G497)</f>
        <v/>
      </c>
    </row>
    <row r="498">
      <c r="A498" s="47" t="n"/>
      <c r="B498" s="48" t="n"/>
      <c r="C498" s="49" t="n"/>
      <c r="D498" s="169" t="n"/>
      <c r="E498" s="50">
        <f>IFERROR(VLOOKUP(B498,'Dados B3'!A:G,2,FALSE),"-")</f>
        <v/>
      </c>
      <c r="F498" s="51">
        <f>IF(H498=P$4,(C498*(1)),IF(H498=P$3,(C498*(-1)),IF(H498=P$2,(C498*(1)))))</f>
        <v/>
      </c>
      <c r="G498" s="176">
        <f>F498*D498</f>
        <v/>
      </c>
      <c r="H498" s="52" t="inlineStr">
        <is>
          <t>COMPRA</t>
        </is>
      </c>
      <c r="I498" s="177" t="n"/>
      <c r="J498" s="178">
        <f>IF(H498="VENDA",I498*F498*-1,0)</f>
        <v/>
      </c>
      <c r="K498" s="178">
        <f>IF(J498=0,0,J498+G498)</f>
        <v/>
      </c>
    </row>
    <row r="499">
      <c r="A499" s="47" t="n"/>
      <c r="B499" s="48" t="n"/>
      <c r="C499" s="49" t="n"/>
      <c r="D499" s="169" t="n"/>
      <c r="E499" s="50">
        <f>IFERROR(VLOOKUP(B499,'Dados B3'!A:G,2,FALSE),"-")</f>
        <v/>
      </c>
      <c r="F499" s="51">
        <f>IF(H499=P$4,(C499*(1)),IF(H499=P$3,(C499*(-1)),IF(H499=P$2,(C499*(1)))))</f>
        <v/>
      </c>
      <c r="G499" s="176">
        <f>F499*D499</f>
        <v/>
      </c>
      <c r="H499" s="52" t="inlineStr">
        <is>
          <t>COMPRA</t>
        </is>
      </c>
      <c r="I499" s="177" t="n"/>
      <c r="J499" s="178">
        <f>IF(H499="VENDA",I499*F499*-1,0)</f>
        <v/>
      </c>
      <c r="K499" s="178">
        <f>IF(J499=0,0,J499+G499)</f>
        <v/>
      </c>
    </row>
    <row r="500">
      <c r="A500" s="47" t="n"/>
      <c r="B500" s="48" t="n"/>
      <c r="C500" s="49" t="n"/>
      <c r="D500" s="169" t="n"/>
      <c r="E500" s="50">
        <f>IFERROR(VLOOKUP(B500,'Dados B3'!A:G,2,FALSE),"-")</f>
        <v/>
      </c>
      <c r="F500" s="51">
        <f>IF(H500=P$4,(C500*(1)),IF(H500=P$3,(C500*(-1)),IF(H500=P$2,(C500*(1)))))</f>
        <v/>
      </c>
      <c r="G500" s="176">
        <f>F500*D500</f>
        <v/>
      </c>
      <c r="H500" s="52" t="inlineStr">
        <is>
          <t>COMPRA</t>
        </is>
      </c>
      <c r="I500" s="177" t="n"/>
      <c r="J500" s="178">
        <f>IF(H500="VENDA",I500*F500*-1,0)</f>
        <v/>
      </c>
      <c r="K500" s="178">
        <f>IF(J500=0,0,J500+G500)</f>
        <v/>
      </c>
    </row>
    <row r="501">
      <c r="A501" s="47" t="n"/>
      <c r="B501" s="48" t="n"/>
      <c r="C501" s="49" t="n"/>
      <c r="D501" s="169" t="n"/>
      <c r="E501" s="50">
        <f>IFERROR(VLOOKUP(B501,'Dados B3'!A:G,2,FALSE),"-")</f>
        <v/>
      </c>
      <c r="F501" s="51">
        <f>IF(H501=P$4,(C501*(1)),IF(H501=P$3,(C501*(-1)),IF(H501=P$2,(C501*(1)))))</f>
        <v/>
      </c>
      <c r="G501" s="176">
        <f>F501*D501</f>
        <v/>
      </c>
      <c r="H501" s="52" t="inlineStr">
        <is>
          <t>COMPRA</t>
        </is>
      </c>
      <c r="I501" s="177" t="n"/>
      <c r="J501" s="178">
        <f>IF(H501="VENDA",I501*F501*-1,0)</f>
        <v/>
      </c>
      <c r="K501" s="178">
        <f>IF(J501=0,0,J501+G501)</f>
        <v/>
      </c>
    </row>
    <row r="502">
      <c r="A502" s="47" t="n"/>
      <c r="B502" s="48" t="n"/>
      <c r="C502" s="49" t="n"/>
      <c r="D502" s="169" t="n"/>
      <c r="E502" s="50">
        <f>IFERROR(VLOOKUP(B502,'Dados B3'!A:G,2,FALSE),"-")</f>
        <v/>
      </c>
      <c r="F502" s="51">
        <f>IF(H502=P$4,(C502*(1)),IF(H502=P$3,(C502*(-1)),IF(H502=P$2,(C502*(1)))))</f>
        <v/>
      </c>
      <c r="G502" s="176">
        <f>F502*D502</f>
        <v/>
      </c>
      <c r="H502" s="52" t="inlineStr">
        <is>
          <t>COMPRA</t>
        </is>
      </c>
      <c r="I502" s="177" t="n"/>
      <c r="J502" s="178">
        <f>IF(H502="VENDA",I502*F502*-1,0)</f>
        <v/>
      </c>
      <c r="K502" s="178">
        <f>IF(J502=0,0,J502+G502)</f>
        <v/>
      </c>
    </row>
    <row r="503">
      <c r="A503" s="47" t="n"/>
      <c r="B503" s="48" t="n"/>
      <c r="C503" s="49" t="n"/>
      <c r="D503" s="169" t="n"/>
      <c r="E503" s="50">
        <f>IFERROR(VLOOKUP(B503,'Dados B3'!A:G,2,FALSE),"-")</f>
        <v/>
      </c>
      <c r="F503" s="51">
        <f>IF(H503=P$4,(C503*(1)),IF(H503=P$3,(C503*(-1)),IF(H503=P$2,(C503*(1)))))</f>
        <v/>
      </c>
      <c r="G503" s="176">
        <f>F503*D503</f>
        <v/>
      </c>
      <c r="H503" s="52" t="inlineStr">
        <is>
          <t>COMPRA</t>
        </is>
      </c>
      <c r="I503" s="177" t="n"/>
      <c r="J503" s="178">
        <f>IF(H503="VENDA",I503*F503*-1,0)</f>
        <v/>
      </c>
      <c r="K503" s="178">
        <f>IF(J503=0,0,J503+G503)</f>
        <v/>
      </c>
    </row>
    <row r="504">
      <c r="A504" s="47" t="n"/>
      <c r="B504" s="48" t="n"/>
      <c r="C504" s="49" t="n"/>
      <c r="D504" s="169" t="n"/>
      <c r="E504" s="50">
        <f>IFERROR(VLOOKUP(B504,'Dados B3'!A:G,2,FALSE),"-")</f>
        <v/>
      </c>
      <c r="F504" s="51">
        <f>IF(H504=P$4,(C504*(1)),IF(H504=P$3,(C504*(-1)),IF(H504=P$2,(C504*(1)))))</f>
        <v/>
      </c>
      <c r="G504" s="176">
        <f>F504*D504</f>
        <v/>
      </c>
      <c r="H504" s="52" t="inlineStr">
        <is>
          <t>COMPRA</t>
        </is>
      </c>
      <c r="I504" s="177" t="n"/>
      <c r="J504" s="178">
        <f>IF(H504="VENDA",I504*F504*-1,0)</f>
        <v/>
      </c>
      <c r="K504" s="178">
        <f>IF(J504=0,0,J504+G504)</f>
        <v/>
      </c>
    </row>
    <row r="505">
      <c r="A505" s="47" t="n"/>
      <c r="B505" s="48" t="n"/>
      <c r="C505" s="49" t="n"/>
      <c r="D505" s="169" t="n"/>
      <c r="E505" s="50">
        <f>IFERROR(VLOOKUP(B505,'Dados B3'!A:G,2,FALSE),"-")</f>
        <v/>
      </c>
      <c r="F505" s="51">
        <f>IF(H505=P$4,(C505*(1)),IF(H505=P$3,(C505*(-1)),IF(H505=P$2,(C505*(1)))))</f>
        <v/>
      </c>
      <c r="G505" s="176">
        <f>F505*D505</f>
        <v/>
      </c>
      <c r="H505" s="52" t="inlineStr">
        <is>
          <t>COMPRA</t>
        </is>
      </c>
      <c r="I505" s="177" t="n"/>
      <c r="J505" s="178">
        <f>IF(H505="VENDA",I505*F505*-1,0)</f>
        <v/>
      </c>
      <c r="K505" s="178">
        <f>IF(J505=0,0,J505+G505)</f>
        <v/>
      </c>
    </row>
    <row r="506">
      <c r="A506" s="47" t="n"/>
      <c r="B506" s="48" t="n"/>
      <c r="C506" s="49" t="n"/>
      <c r="D506" s="169" t="n"/>
      <c r="E506" s="50">
        <f>IFERROR(VLOOKUP(B506,'Dados B3'!A:G,2,FALSE),"-")</f>
        <v/>
      </c>
      <c r="F506" s="51">
        <f>IF(H506=P$4,(C506*(1)),IF(H506=P$3,(C506*(-1)),IF(H506=P$2,(C506*(1)))))</f>
        <v/>
      </c>
      <c r="G506" s="176">
        <f>F506*D506</f>
        <v/>
      </c>
      <c r="H506" s="52" t="inlineStr">
        <is>
          <t>COMPRA</t>
        </is>
      </c>
      <c r="I506" s="177" t="n"/>
      <c r="J506" s="178">
        <f>IF(H506="VENDA",I506*F506*-1,0)</f>
        <v/>
      </c>
      <c r="K506" s="178">
        <f>IF(J506=0,0,J506+G506)</f>
        <v/>
      </c>
    </row>
    <row r="507">
      <c r="A507" s="47" t="n"/>
      <c r="B507" s="48" t="n"/>
      <c r="C507" s="49" t="n"/>
      <c r="D507" s="169" t="n"/>
      <c r="E507" s="50">
        <f>IFERROR(VLOOKUP(B507,'Dados B3'!A:G,2,FALSE),"-")</f>
        <v/>
      </c>
      <c r="F507" s="51">
        <f>IF(H507=P$4,(C507*(1)),IF(H507=P$3,(C507*(-1)),IF(H507=P$2,(C507*(1)))))</f>
        <v/>
      </c>
      <c r="G507" s="176">
        <f>F507*D507</f>
        <v/>
      </c>
      <c r="H507" s="52" t="inlineStr">
        <is>
          <t>COMPRA</t>
        </is>
      </c>
      <c r="I507" s="177" t="n"/>
      <c r="J507" s="178">
        <f>IF(H507="VENDA",I507*F507*-1,0)</f>
        <v/>
      </c>
      <c r="K507" s="178">
        <f>IF(J507=0,0,J507+G507)</f>
        <v/>
      </c>
    </row>
    <row r="508">
      <c r="A508" s="47" t="n"/>
      <c r="B508" s="48" t="n"/>
      <c r="C508" s="49" t="n"/>
      <c r="D508" s="169" t="n"/>
      <c r="E508" s="50">
        <f>IFERROR(VLOOKUP(B508,'Dados B3'!A:G,2,FALSE),"-")</f>
        <v/>
      </c>
      <c r="F508" s="51">
        <f>IF(H508=P$4,(C508*(1)),IF(H508=P$3,(C508*(-1)),IF(H508=P$2,(C508*(1)))))</f>
        <v/>
      </c>
      <c r="G508" s="176">
        <f>F508*D508</f>
        <v/>
      </c>
      <c r="H508" s="52" t="inlineStr">
        <is>
          <t>COMPRA</t>
        </is>
      </c>
      <c r="I508" s="177" t="n"/>
      <c r="J508" s="178">
        <f>IF(H508="VENDA",I508*F508*-1,0)</f>
        <v/>
      </c>
      <c r="K508" s="178">
        <f>IF(J508=0,0,J508+G508)</f>
        <v/>
      </c>
    </row>
    <row r="509">
      <c r="A509" s="47" t="n"/>
      <c r="B509" s="48" t="n"/>
      <c r="C509" s="49" t="n"/>
      <c r="D509" s="169" t="n"/>
      <c r="E509" s="50">
        <f>IFERROR(VLOOKUP(B509,'Dados B3'!A:G,2,FALSE),"-")</f>
        <v/>
      </c>
      <c r="F509" s="51">
        <f>IF(H509=P$4,(C509*(1)),IF(H509=P$3,(C509*(-1)),IF(H509=P$2,(C509*(1)))))</f>
        <v/>
      </c>
      <c r="G509" s="176">
        <f>F509*D509</f>
        <v/>
      </c>
      <c r="H509" s="52" t="inlineStr">
        <is>
          <t>COMPRA</t>
        </is>
      </c>
      <c r="I509" s="177" t="n"/>
      <c r="J509" s="178">
        <f>IF(H509="VENDA",I509*F509*-1,0)</f>
        <v/>
      </c>
      <c r="K509" s="178">
        <f>IF(J509=0,0,J509+G509)</f>
        <v/>
      </c>
    </row>
    <row r="510">
      <c r="A510" s="47" t="n"/>
      <c r="B510" s="48" t="n"/>
      <c r="C510" s="49" t="n"/>
      <c r="D510" s="169" t="n"/>
      <c r="E510" s="50">
        <f>IFERROR(VLOOKUP(B510,'Dados B3'!A:G,2,FALSE),"-")</f>
        <v/>
      </c>
      <c r="F510" s="51">
        <f>IF(H510=P$4,(C510*(1)),IF(H510=P$3,(C510*(-1)),IF(H510=P$2,(C510*(1)))))</f>
        <v/>
      </c>
      <c r="G510" s="176">
        <f>F510*D510</f>
        <v/>
      </c>
      <c r="H510" s="52" t="inlineStr">
        <is>
          <t>COMPRA</t>
        </is>
      </c>
      <c r="I510" s="177" t="n"/>
      <c r="J510" s="178">
        <f>IF(H510="VENDA",I510*F510*-1,0)</f>
        <v/>
      </c>
      <c r="K510" s="178">
        <f>IF(J510=0,0,J510+G510)</f>
        <v/>
      </c>
    </row>
    <row r="511">
      <c r="A511" s="47" t="n"/>
      <c r="B511" s="48" t="n"/>
      <c r="C511" s="49" t="n"/>
      <c r="D511" s="169" t="n"/>
      <c r="E511" s="50">
        <f>IFERROR(VLOOKUP(B511,'Dados B3'!A:G,2,FALSE),"-")</f>
        <v/>
      </c>
      <c r="F511" s="51">
        <f>IF(H511=P$4,(C511*(1)),IF(H511=P$3,(C511*(-1)),IF(H511=P$2,(C511*(1)))))</f>
        <v/>
      </c>
      <c r="G511" s="176">
        <f>F511*D511</f>
        <v/>
      </c>
      <c r="H511" s="52" t="inlineStr">
        <is>
          <t>COMPRA</t>
        </is>
      </c>
      <c r="I511" s="177" t="n"/>
      <c r="J511" s="178">
        <f>IF(H511="VENDA",I511*F511*-1,0)</f>
        <v/>
      </c>
      <c r="K511" s="178">
        <f>IF(J511=0,0,J511+G511)</f>
        <v/>
      </c>
    </row>
    <row r="512">
      <c r="A512" s="47" t="n"/>
      <c r="B512" s="48" t="n"/>
      <c r="C512" s="49" t="n"/>
      <c r="D512" s="169" t="n"/>
      <c r="E512" s="50">
        <f>IFERROR(VLOOKUP(B512,'Dados B3'!A:G,2,FALSE),"-")</f>
        <v/>
      </c>
      <c r="F512" s="51">
        <f>IF(H512=P$4,(C512*(1)),IF(H512=P$3,(C512*(-1)),IF(H512=P$2,(C512*(1)))))</f>
        <v/>
      </c>
      <c r="G512" s="176">
        <f>F512*D512</f>
        <v/>
      </c>
      <c r="H512" s="52" t="inlineStr">
        <is>
          <t>COMPRA</t>
        </is>
      </c>
      <c r="I512" s="177" t="n"/>
      <c r="J512" s="178">
        <f>IF(H512="VENDA",I512*F512*-1,0)</f>
        <v/>
      </c>
      <c r="K512" s="178">
        <f>IF(J512=0,0,J512+G512)</f>
        <v/>
      </c>
    </row>
    <row r="513">
      <c r="A513" s="47" t="n"/>
      <c r="B513" s="48" t="n"/>
      <c r="C513" s="49" t="n"/>
      <c r="D513" s="169" t="n"/>
      <c r="E513" s="50">
        <f>IFERROR(VLOOKUP(B513,'Dados B3'!A:G,2,FALSE),"-")</f>
        <v/>
      </c>
      <c r="F513" s="51">
        <f>IF(H513=P$4,(C513*(1)),IF(H513=P$3,(C513*(-1)),IF(H513=P$2,(C513*(1)))))</f>
        <v/>
      </c>
      <c r="G513" s="176">
        <f>F513*D513</f>
        <v/>
      </c>
      <c r="H513" s="52" t="inlineStr">
        <is>
          <t>COMPRA</t>
        </is>
      </c>
      <c r="I513" s="177" t="n"/>
      <c r="J513" s="178">
        <f>IF(H513="VENDA",I513*F513*-1,0)</f>
        <v/>
      </c>
      <c r="K513" s="178">
        <f>IF(J513=0,0,J513+G513)</f>
        <v/>
      </c>
    </row>
    <row r="514">
      <c r="A514" s="47" t="n"/>
      <c r="B514" s="48" t="n"/>
      <c r="C514" s="49" t="n"/>
      <c r="D514" s="169" t="n"/>
      <c r="E514" s="50">
        <f>IFERROR(VLOOKUP(B514,'Dados B3'!A:G,2,FALSE),"-")</f>
        <v/>
      </c>
      <c r="F514" s="51">
        <f>IF(H514=P$4,(C514*(1)),IF(H514=P$3,(C514*(-1)),IF(H514=P$2,(C514*(1)))))</f>
        <v/>
      </c>
      <c r="G514" s="176">
        <f>F514*D514</f>
        <v/>
      </c>
      <c r="H514" s="52" t="inlineStr">
        <is>
          <t>COMPRA</t>
        </is>
      </c>
      <c r="I514" s="177" t="n"/>
      <c r="J514" s="178">
        <f>IF(H514="VENDA",I514*F514*-1,0)</f>
        <v/>
      </c>
      <c r="K514" s="178">
        <f>IF(J514=0,0,J514+G514)</f>
        <v/>
      </c>
    </row>
    <row r="515">
      <c r="A515" s="47" t="n"/>
      <c r="B515" s="48" t="n"/>
      <c r="C515" s="49" t="n"/>
      <c r="D515" s="169" t="n"/>
      <c r="E515" s="50">
        <f>IFERROR(VLOOKUP(B515,'Dados B3'!A:G,2,FALSE),"-")</f>
        <v/>
      </c>
      <c r="F515" s="51">
        <f>IF(H515=P$4,(C515*(1)),IF(H515=P$3,(C515*(-1)),IF(H515=P$2,(C515*(1)))))</f>
        <v/>
      </c>
      <c r="G515" s="176">
        <f>F515*D515</f>
        <v/>
      </c>
      <c r="H515" s="52" t="inlineStr">
        <is>
          <t>COMPRA</t>
        </is>
      </c>
      <c r="I515" s="177" t="n"/>
      <c r="J515" s="178">
        <f>IF(H515="VENDA",I515*F515*-1,0)</f>
        <v/>
      </c>
      <c r="K515" s="178">
        <f>IF(J515=0,0,J515+G515)</f>
        <v/>
      </c>
    </row>
    <row r="516">
      <c r="A516" s="47" t="n"/>
      <c r="B516" s="48" t="n"/>
      <c r="C516" s="49" t="n"/>
      <c r="D516" s="169" t="n"/>
      <c r="E516" s="50">
        <f>IFERROR(VLOOKUP(B516,'Dados B3'!A:G,2,FALSE),"-")</f>
        <v/>
      </c>
      <c r="F516" s="51">
        <f>IF(H516=P$4,(C516*(1)),IF(H516=P$3,(C516*(-1)),IF(H516=P$2,(C516*(1)))))</f>
        <v/>
      </c>
      <c r="G516" s="176">
        <f>F516*D516</f>
        <v/>
      </c>
      <c r="H516" s="52" t="inlineStr">
        <is>
          <t>COMPRA</t>
        </is>
      </c>
      <c r="I516" s="177" t="n"/>
      <c r="J516" s="178">
        <f>IF(H516="VENDA",I516*F516*-1,0)</f>
        <v/>
      </c>
      <c r="K516" s="178">
        <f>IF(J516=0,0,J516+G516)</f>
        <v/>
      </c>
    </row>
    <row r="517">
      <c r="A517" s="47" t="n"/>
      <c r="B517" s="48" t="n"/>
      <c r="C517" s="49" t="n"/>
      <c r="D517" s="169" t="n"/>
      <c r="E517" s="50">
        <f>IFERROR(VLOOKUP(B517,'Dados B3'!A:G,2,FALSE),"-")</f>
        <v/>
      </c>
      <c r="F517" s="51">
        <f>IF(H517=P$4,(C517*(1)),IF(H517=P$3,(C517*(-1)),IF(H517=P$2,(C517*(1)))))</f>
        <v/>
      </c>
      <c r="G517" s="176">
        <f>F517*D517</f>
        <v/>
      </c>
      <c r="H517" s="52" t="inlineStr">
        <is>
          <t>VENDA</t>
        </is>
      </c>
      <c r="I517" s="177" t="n">
        <v>25.72</v>
      </c>
      <c r="J517" s="178">
        <f>IF(H517="VENDA",I517*F517*-1,0)</f>
        <v/>
      </c>
      <c r="K517" s="178">
        <f>IF(J517=0,0,J517+G517)</f>
        <v/>
      </c>
      <c r="M517" s="4" t="inlineStr">
        <is>
          <t>** QDO FAZER VENDAS ABAIXO DE 20K, Declarar LUCRO na Ficha "RENDIMENTOS ISENTOS E NÃO TRIBUTÁVEIS" | CÓDIGO: 20 |  FAZER A SOMATÓRIA DO ANO TODO E INFORMAR VALOR TOTAL **</t>
        </is>
      </c>
    </row>
    <row r="518">
      <c r="A518" s="47" t="n"/>
      <c r="B518" s="48" t="n"/>
      <c r="C518" s="49" t="n"/>
      <c r="D518" s="169" t="n"/>
      <c r="E518" s="50">
        <f>IFERROR(VLOOKUP(B518,'Dados B3'!A:G,2,FALSE),"-")</f>
        <v/>
      </c>
      <c r="F518" s="51">
        <f>IF(H518=P$4,(C518*(1)),IF(H518=P$3,(C518*(-1)),IF(H518=P$2,(C518*(1)))))</f>
        <v/>
      </c>
      <c r="G518" s="176">
        <f>F518*D518</f>
        <v/>
      </c>
      <c r="H518" s="52" t="inlineStr">
        <is>
          <t>VENDA</t>
        </is>
      </c>
      <c r="I518" s="177" t="n">
        <v>50.4</v>
      </c>
      <c r="J518" s="178">
        <f>IF(H518="VENDA",I518*F518*-1,0)</f>
        <v/>
      </c>
      <c r="K518" s="178">
        <f>IF(J518=0,0,J518+G518)</f>
        <v/>
      </c>
      <c r="M518" s="4" t="inlineStr">
        <is>
          <t>** QDO FAZER VENDAS ABAIXO DE 20K, Declarar LUCRO na Ficha "RENDIMENTOS ISENTOS E NÃO TRIBUTÁVEIS" | CÓDIGO: 20 |  FAZER A SOMATÓRIA DO ANO TODO E INFORMAR VALOR TOTAL **</t>
        </is>
      </c>
    </row>
    <row r="519">
      <c r="A519" s="47" t="n"/>
      <c r="B519" s="48" t="n"/>
      <c r="C519" s="49" t="n"/>
      <c r="D519" s="169" t="n"/>
      <c r="E519" s="50">
        <f>IFERROR(VLOOKUP(B519,'Dados B3'!A:G,2,FALSE),"-")</f>
        <v/>
      </c>
      <c r="F519" s="51">
        <f>IF(H519=P$4,(C519*(1)),IF(H519=P$3,(C519*(-1)),IF(H519=P$2,(C519*(1)))))</f>
        <v/>
      </c>
      <c r="G519" s="176">
        <f>F519*D519</f>
        <v/>
      </c>
      <c r="H519" s="52" t="inlineStr">
        <is>
          <t>VENDA</t>
        </is>
      </c>
      <c r="I519" s="177" t="n">
        <v>36.21</v>
      </c>
      <c r="J519" s="178">
        <f>IF(H519="VENDA",I519*F519*-1,0)</f>
        <v/>
      </c>
      <c r="K519" s="178">
        <f>IF(J519=0,0,J519+G519)</f>
        <v/>
      </c>
      <c r="M519" s="4" t="inlineStr">
        <is>
          <t>** QDO FAZER VENDAS ABAIXO DE 20K, Declarar LUCRO na Ficha "RENDIMENTOS ISENTOS E NÃO TRIBUTÁVEIS" | CÓDIGO: 20 |  FAZER A SOMATÓRIA DO ANO TODO E INFORMAR VALOR TOTAL **</t>
        </is>
      </c>
    </row>
    <row r="520">
      <c r="A520" s="47" t="n"/>
      <c r="B520" s="48" t="n"/>
      <c r="C520" s="49" t="n"/>
      <c r="D520" s="169" t="n"/>
      <c r="E520" s="50">
        <f>IFERROR(VLOOKUP(B520,'Dados B3'!A:G,2,FALSE),"-")</f>
        <v/>
      </c>
      <c r="F520" s="51">
        <f>IF(H520=P$4,(C520*(1)),IF(H520=P$3,(C520*(-1)),IF(H520=P$2,(C520*(1)))))</f>
        <v/>
      </c>
      <c r="G520" s="176">
        <f>F520*D520</f>
        <v/>
      </c>
      <c r="H520" s="52" t="inlineStr">
        <is>
          <t>VENDA</t>
        </is>
      </c>
      <c r="I520" s="177" t="n">
        <v>25.32</v>
      </c>
      <c r="J520" s="178">
        <f>IF(H520="VENDA",I520*F520*-1,0)</f>
        <v/>
      </c>
      <c r="K520" s="178">
        <f>IF(J520=0,0,J520+G520)</f>
        <v/>
      </c>
      <c r="M520" s="4" t="inlineStr">
        <is>
          <t>** QDO FAZER VENDAS ABAIXO DE 20K, Declarar LUCRO na Ficha "RENDIMENTOS ISENTOS E NÃO TRIBUTÁVEIS" | CÓDIGO: 20 |  FAZER A SOMATÓRIA DO ANO TODO E INFORMAR VALOR TOTAL **</t>
        </is>
      </c>
    </row>
    <row r="521">
      <c r="A521" s="47" t="n"/>
      <c r="B521" s="48" t="n"/>
      <c r="C521" s="49" t="n"/>
      <c r="D521" s="169" t="n"/>
      <c r="E521" s="50">
        <f>IFERROR(VLOOKUP(B521,'Dados B3'!A:G,2,FALSE),"-")</f>
        <v/>
      </c>
      <c r="F521" s="51">
        <f>IF(H521=P$4,(C521*(1)),IF(H521=P$3,(C521*(-1)),IF(H521=P$2,(C521*(1)))))</f>
        <v/>
      </c>
      <c r="G521" s="176">
        <f>F521*D521</f>
        <v/>
      </c>
      <c r="H521" s="52" t="inlineStr">
        <is>
          <t>VENDA</t>
        </is>
      </c>
      <c r="I521" s="177" t="n">
        <v>31.22</v>
      </c>
      <c r="J521" s="178">
        <f>IF(H521="VENDA",I521*F521*-1,0)</f>
        <v/>
      </c>
      <c r="K521" s="178">
        <f>IF(J521=0,0,J521+G521)</f>
        <v/>
      </c>
      <c r="M521" s="4" t="inlineStr">
        <is>
          <t>** QDO FAZER VENDAS ABAIXO DE 20K, Declarar LUCRO na Ficha "RENDIMENTOS ISENTOS E NÃO TRIBUTÁVEIS" | CÓDIGO: 20 |  FAZER A SOMATÓRIA DO ANO TODO E INFORMAR VALOR TOTAL **</t>
        </is>
      </c>
    </row>
    <row r="522">
      <c r="A522" s="47" t="n"/>
      <c r="B522" s="48" t="n"/>
      <c r="C522" s="49" t="n"/>
      <c r="D522" s="169" t="n"/>
      <c r="E522" s="50">
        <f>IFERROR(VLOOKUP(B522,'Dados B3'!A:G,2,FALSE),"-")</f>
        <v/>
      </c>
      <c r="F522" s="51">
        <f>IF(H522=P$4,(C522*(1)),IF(H522=P$3,(C522*(-1)),IF(H522=P$2,(C522*(1)))))</f>
        <v/>
      </c>
      <c r="G522" s="176">
        <f>F522*D522</f>
        <v/>
      </c>
      <c r="H522" s="52" t="inlineStr">
        <is>
          <t>COMPRA</t>
        </is>
      </c>
      <c r="I522" s="177" t="n"/>
      <c r="J522" s="178">
        <f>IF(H522="VENDA",I522*F522*-1,0)</f>
        <v/>
      </c>
      <c r="K522" s="178">
        <f>IF(J522=0,0,J522+G522)</f>
        <v/>
      </c>
    </row>
    <row r="523">
      <c r="A523" s="47" t="n"/>
      <c r="B523" s="48" t="n"/>
      <c r="C523" s="49" t="n"/>
      <c r="D523" s="169" t="n"/>
      <c r="E523" s="50">
        <f>IFERROR(VLOOKUP(B523,'Dados B3'!A:G,2,FALSE),"-")</f>
        <v/>
      </c>
      <c r="F523" s="51">
        <f>IF(H523=P$4,(C523*(1)),IF(H523=P$3,(C523*(-1)),IF(H523=P$2,(C523*(1)))))</f>
        <v/>
      </c>
      <c r="G523" s="176">
        <f>F523*D523</f>
        <v/>
      </c>
      <c r="H523" s="52" t="inlineStr">
        <is>
          <t>COMPRA</t>
        </is>
      </c>
      <c r="I523" s="177" t="n"/>
      <c r="J523" s="178">
        <f>IF(H523="VENDA",I523*F523*-1,0)</f>
        <v/>
      </c>
      <c r="K523" s="178">
        <f>IF(J523=0,0,J523+G523)</f>
        <v/>
      </c>
    </row>
    <row r="524">
      <c r="A524" s="47" t="n"/>
      <c r="B524" s="48" t="n"/>
      <c r="C524" s="49" t="n"/>
      <c r="D524" s="169" t="n"/>
      <c r="E524" s="50">
        <f>IFERROR(VLOOKUP(B524,'Dados B3'!A:G,2,FALSE),"-")</f>
        <v/>
      </c>
      <c r="F524" s="51">
        <f>IF(H524=P$4,(C524*(1)),IF(H524=P$3,(C524*(-1)),IF(H524=P$2,(C524*(1)))))</f>
        <v/>
      </c>
      <c r="G524" s="176">
        <f>F524*D524</f>
        <v/>
      </c>
      <c r="H524" s="52" t="inlineStr">
        <is>
          <t>COMPRA</t>
        </is>
      </c>
      <c r="I524" s="177" t="n"/>
      <c r="J524" s="178">
        <f>IF(H524="VENDA",I524*F524*-1,0)</f>
        <v/>
      </c>
      <c r="K524" s="178">
        <f>IF(J524=0,0,J524+G524)</f>
        <v/>
      </c>
    </row>
    <row r="525">
      <c r="A525" s="47" t="n"/>
      <c r="B525" s="48" t="n"/>
      <c r="C525" s="49" t="n"/>
      <c r="D525" s="169" t="n"/>
      <c r="E525" s="50">
        <f>IFERROR(VLOOKUP(B525,'Dados B3'!A:G,2,FALSE),"-")</f>
        <v/>
      </c>
      <c r="F525" s="51">
        <f>IF(H525=P$4,(C525*(1)),IF(H525=P$3,(C525*(-1)),IF(H525=P$2,(C525*(1)))))</f>
        <v/>
      </c>
      <c r="G525" s="176">
        <f>F525*D525</f>
        <v/>
      </c>
      <c r="H525" s="52" t="inlineStr">
        <is>
          <t>COMPRA</t>
        </is>
      </c>
      <c r="I525" s="177" t="n"/>
      <c r="J525" s="178">
        <f>IF(H525="VENDA",I525*F525*-1,0)</f>
        <v/>
      </c>
      <c r="K525" s="178">
        <f>IF(J525=0,0,J525+G525)</f>
        <v/>
      </c>
    </row>
    <row r="526">
      <c r="A526" s="47" t="n"/>
      <c r="B526" s="48" t="n"/>
      <c r="C526" s="49" t="n"/>
      <c r="D526" s="169" t="n"/>
      <c r="E526" s="50">
        <f>IFERROR(VLOOKUP(B526,'Dados B3'!A:G,2,FALSE),"-")</f>
        <v/>
      </c>
      <c r="F526" s="51">
        <f>IF(H526=P$4,(C526*(1)),IF(H526=P$3,(C526*(-1)),IF(H526=P$2,(C526*(1)))))</f>
        <v/>
      </c>
      <c r="G526" s="176">
        <f>F526*D526</f>
        <v/>
      </c>
      <c r="H526" s="52" t="inlineStr">
        <is>
          <t>COMPRA</t>
        </is>
      </c>
      <c r="I526" s="177" t="n"/>
      <c r="J526" s="178">
        <f>IF(H526="VENDA",I526*F526*-1,0)</f>
        <v/>
      </c>
      <c r="K526" s="178">
        <f>IF(J526=0,0,J526+G526)</f>
        <v/>
      </c>
    </row>
    <row r="527">
      <c r="A527" s="47" t="n"/>
      <c r="B527" s="48" t="n"/>
      <c r="C527" s="49" t="n"/>
      <c r="D527" s="169" t="n"/>
      <c r="E527" s="50">
        <f>IFERROR(VLOOKUP(B527,'Dados B3'!A:G,2,FALSE),"-")</f>
        <v/>
      </c>
      <c r="F527" s="51">
        <f>IF(H527=P$4,(C527*(1)),IF(H527=P$3,(C527*(-1)),IF(H527=P$2,(C527*(1)))))</f>
        <v/>
      </c>
      <c r="G527" s="176">
        <f>F527*D527</f>
        <v/>
      </c>
      <c r="H527" s="52" t="inlineStr">
        <is>
          <t>COMPRA</t>
        </is>
      </c>
      <c r="I527" s="177" t="n"/>
      <c r="J527" s="178">
        <f>IF(H527="VENDA",I527*F527*-1,0)</f>
        <v/>
      </c>
      <c r="K527" s="178">
        <f>IF(J527=0,0,J527+G527)</f>
        <v/>
      </c>
    </row>
    <row r="528">
      <c r="A528" s="47" t="n"/>
      <c r="B528" s="48" t="n"/>
      <c r="C528" s="49" t="n"/>
      <c r="D528" s="169" t="n"/>
      <c r="E528" s="50">
        <f>IFERROR(VLOOKUP(B528,'Dados B3'!A:G,2,FALSE),"-")</f>
        <v/>
      </c>
      <c r="F528" s="51">
        <f>IF(H528=P$4,(C528*(1)),IF(H528=P$3,(C528*(-1)),IF(H528=P$2,(C528*(1)))))</f>
        <v/>
      </c>
      <c r="G528" s="176">
        <f>F528*D528</f>
        <v/>
      </c>
      <c r="H528" s="52" t="inlineStr">
        <is>
          <t>COMPRA</t>
        </is>
      </c>
      <c r="I528" s="177" t="n"/>
      <c r="J528" s="178">
        <f>IF(H528="VENDA",I528*F528*-1,0)</f>
        <v/>
      </c>
      <c r="K528" s="178">
        <f>IF(J528=0,0,J528+G528)</f>
        <v/>
      </c>
    </row>
    <row r="529">
      <c r="A529" s="47" t="n"/>
      <c r="B529" s="48" t="n"/>
      <c r="C529" s="49" t="n"/>
      <c r="D529" s="169" t="n"/>
      <c r="E529" s="50">
        <f>IFERROR(VLOOKUP(B529,'Dados B3'!A:G,2,FALSE),"-")</f>
        <v/>
      </c>
      <c r="F529" s="51">
        <f>IF(H529=P$4,(C529*(1)),IF(H529=P$3,(C529*(-1)),IF(H529=P$2,(C529*(1)))))</f>
        <v/>
      </c>
      <c r="G529" s="176">
        <f>F529*D529</f>
        <v/>
      </c>
      <c r="H529" s="52" t="inlineStr">
        <is>
          <t>COMPRA</t>
        </is>
      </c>
      <c r="I529" s="177" t="n"/>
      <c r="J529" s="178">
        <f>IF(H529="VENDA",I529*F529*-1,0)</f>
        <v/>
      </c>
      <c r="K529" s="178">
        <f>IF(J529=0,0,J529+G529)</f>
        <v/>
      </c>
    </row>
    <row r="530">
      <c r="A530" s="47" t="n"/>
      <c r="B530" s="48" t="n"/>
      <c r="C530" s="49" t="n"/>
      <c r="D530" s="169" t="n"/>
      <c r="E530" s="50">
        <f>IFERROR(VLOOKUP(B530,'Dados B3'!A:G,2,FALSE),"-")</f>
        <v/>
      </c>
      <c r="F530" s="51">
        <f>IF(H530=P$4,(C530*(1)),IF(H530=P$3,(C530*(-1)),IF(H530=P$2,(C530*(1)))))</f>
        <v/>
      </c>
      <c r="G530" s="176">
        <f>F530*D530</f>
        <v/>
      </c>
      <c r="H530" s="52" t="inlineStr">
        <is>
          <t>COMPRA</t>
        </is>
      </c>
      <c r="I530" s="177" t="n"/>
      <c r="J530" s="178">
        <f>IF(H530="VENDA",I530*F530*-1,0)</f>
        <v/>
      </c>
      <c r="K530" s="178">
        <f>IF(J530=0,0,J530+G530)</f>
        <v/>
      </c>
    </row>
    <row r="531">
      <c r="A531" s="47" t="n"/>
      <c r="B531" s="48" t="n"/>
      <c r="C531" s="49" t="n"/>
      <c r="D531" s="169" t="n"/>
      <c r="E531" s="50">
        <f>IFERROR(VLOOKUP(B531,'Dados B3'!A:G,2,FALSE),"-")</f>
        <v/>
      </c>
      <c r="F531" s="51">
        <f>IF(H531=P$4,(C531*(1)),IF(H531=P$3,(C531*(-1)),IF(H531=P$2,(C531*(1)))))</f>
        <v/>
      </c>
      <c r="G531" s="176">
        <f>F531*D531</f>
        <v/>
      </c>
      <c r="H531" s="52" t="inlineStr">
        <is>
          <t>COMPRA</t>
        </is>
      </c>
      <c r="I531" s="177" t="n"/>
      <c r="J531" s="178">
        <f>IF(H531="VENDA",I531*F531*-1,0)</f>
        <v/>
      </c>
      <c r="K531" s="178">
        <f>IF(J531=0,0,J531+G531)</f>
        <v/>
      </c>
    </row>
    <row r="532">
      <c r="A532" s="47" t="n"/>
      <c r="B532" s="48" t="n"/>
      <c r="C532" s="49" t="n"/>
      <c r="D532" s="169" t="n"/>
      <c r="E532" s="50">
        <f>IFERROR(VLOOKUP(B532,'Dados B3'!A:G,2,FALSE),"-")</f>
        <v/>
      </c>
      <c r="F532" s="51">
        <f>IF(H532=P$4,(C532*(1)),IF(H532=P$3,(C532*(-1)),IF(H532=P$2,(C532*(1)))))</f>
        <v/>
      </c>
      <c r="G532" s="176">
        <f>F532*D532</f>
        <v/>
      </c>
      <c r="H532" s="52" t="inlineStr">
        <is>
          <t>COMPRA</t>
        </is>
      </c>
      <c r="I532" s="177" t="n"/>
      <c r="J532" s="178">
        <f>IF(H532="VENDA",I532*F532*-1,0)</f>
        <v/>
      </c>
      <c r="K532" s="178">
        <f>IF(J532=0,0,J532+G532)</f>
        <v/>
      </c>
    </row>
    <row r="533">
      <c r="A533" s="47" t="n"/>
      <c r="B533" s="48" t="n"/>
      <c r="C533" s="49" t="n"/>
      <c r="D533" s="169" t="n"/>
      <c r="E533" s="50">
        <f>IFERROR(VLOOKUP(B533,'Dados B3'!A:G,2,FALSE),"-")</f>
        <v/>
      </c>
      <c r="F533" s="51">
        <f>IF(H533=P$4,(C533*(1)),IF(H533=P$3,(C533*(-1)),IF(H533=P$2,(C533*(1)))))</f>
        <v/>
      </c>
      <c r="G533" s="176">
        <f>F533*D533</f>
        <v/>
      </c>
      <c r="H533" s="52" t="inlineStr">
        <is>
          <t>VENDA</t>
        </is>
      </c>
      <c r="I533" s="177" t="n">
        <v>26.69</v>
      </c>
      <c r="J533" s="178">
        <f>IF(H533="VENDA",I533*F533*-1,0)</f>
        <v/>
      </c>
      <c r="K533" s="178">
        <f>IF(J533=0,0,J533+G533)</f>
        <v/>
      </c>
      <c r="M533" s="4" t="inlineStr">
        <is>
          <t>** QDO FAZER VENDAS ABAIXO DE 20K, Declarar LUCRO na Ficha "RENDIMENTOS ISENTOS E NÃO TRIBUTÁVEIS" | CÓDIGO: 20 |  FAZER A SOMATÓRIA DO ANO TODO E INFORMAR VALOR TOTAL **</t>
        </is>
      </c>
    </row>
    <row r="534">
      <c r="A534" s="47" t="n"/>
      <c r="B534" s="48" t="n"/>
      <c r="C534" s="49" t="n"/>
      <c r="D534" s="169" t="n"/>
      <c r="E534" s="50">
        <f>IFERROR(VLOOKUP(B534,'Dados B3'!A:G,2,FALSE),"-")</f>
        <v/>
      </c>
      <c r="F534" s="51">
        <f>IF(H534=P$4,(C534*(1)),IF(H534=P$3,(C534*(-1)),IF(H534=P$2,(C534*(1)))))</f>
        <v/>
      </c>
      <c r="G534" s="176">
        <f>F534*D534</f>
        <v/>
      </c>
      <c r="H534" s="52" t="inlineStr">
        <is>
          <t>VENDA</t>
        </is>
      </c>
      <c r="I534" s="177" t="n">
        <v>27.34</v>
      </c>
      <c r="J534" s="178">
        <f>IF(H534="VENDA",I534*F534*-1,0)</f>
        <v/>
      </c>
      <c r="K534" s="178">
        <f>IF(J534=0,0,J534+G534)</f>
        <v/>
      </c>
      <c r="M534" s="4" t="inlineStr">
        <is>
          <t>** QDO FAZER VENDAS ABAIXO DE 20K, Declarar LUCRO na Ficha "RENDIMENTOS ISENTOS E NÃO TRIBUTÁVEIS" | CÓDIGO: 20 |  FAZER A SOMATÓRIA DO ANO TODO E INFORMAR VALOR TOTAL **</t>
        </is>
      </c>
    </row>
    <row r="535">
      <c r="A535" s="47" t="n"/>
      <c r="B535" s="48" t="n"/>
      <c r="C535" s="49" t="n"/>
      <c r="D535" s="169" t="n"/>
      <c r="E535" s="50">
        <f>IFERROR(VLOOKUP(B535,'Dados B3'!A:G,2,FALSE),"-")</f>
        <v/>
      </c>
      <c r="F535" s="51">
        <f>IF(H535=P$4,(C535*(1)),IF(H535=P$3,(C535*(-1)),IF(H535=P$2,(C535*(1)))))</f>
        <v/>
      </c>
      <c r="G535" s="176">
        <f>F535*D535</f>
        <v/>
      </c>
      <c r="H535" s="52" t="inlineStr">
        <is>
          <t>VENDA</t>
        </is>
      </c>
      <c r="I535" s="177" t="n">
        <v>30.68</v>
      </c>
      <c r="J535" s="178">
        <f>IF(H535="VENDA",I535*F535*-1,0)</f>
        <v/>
      </c>
      <c r="K535" s="178">
        <f>IF(J535=0,0,J535+G535)</f>
        <v/>
      </c>
      <c r="M535" s="4" t="inlineStr">
        <is>
          <t>** QDO FAZER VENDAS ABAIXO DE 20K, Declarar LUCRO na Ficha "RENDIMENTOS ISENTOS E NÃO TRIBUTÁVEIS" | CÓDIGO: 20 |  FAZER A SOMATÓRIA DO ANO TODO E INFORMAR VALOR TOTAL **</t>
        </is>
      </c>
    </row>
    <row r="536">
      <c r="A536" s="47" t="n"/>
      <c r="B536" s="48" t="n"/>
      <c r="C536" s="49" t="n"/>
      <c r="D536" s="169" t="n"/>
      <c r="E536" s="50">
        <f>IFERROR(VLOOKUP(B536,'Dados B3'!A:G,2,FALSE),"-")</f>
        <v/>
      </c>
      <c r="F536" s="51">
        <f>IF(H536=P$4,(C536*(1)),IF(H536=P$3,(C536*(-1)),IF(H536=P$2,(C536*(1)))))</f>
        <v/>
      </c>
      <c r="G536" s="176">
        <f>F536*D536</f>
        <v/>
      </c>
      <c r="H536" s="52" t="inlineStr">
        <is>
          <t>VENDA</t>
        </is>
      </c>
      <c r="I536" s="177" t="n">
        <v>52.96</v>
      </c>
      <c r="J536" s="178">
        <f>IF(H536="VENDA",I536*F536*-1,0)</f>
        <v/>
      </c>
      <c r="K536" s="178">
        <f>IF(J536=0,0,J536+G536)</f>
        <v/>
      </c>
      <c r="M536" s="4" t="inlineStr">
        <is>
          <t>** QDO FAZER VENDAS ABAIXO DE 20K, Declarar LUCRO na Ficha "RENDIMENTOS ISENTOS E NÃO TRIBUTÁVEIS" | CÓDIGO: 20 |  FAZER A SOMATÓRIA DO ANO TODO E INFORMAR VALOR TOTAL **</t>
        </is>
      </c>
    </row>
    <row r="537">
      <c r="A537" s="47" t="n"/>
      <c r="B537" s="48" t="n"/>
      <c r="C537" s="49" t="n"/>
      <c r="D537" s="169" t="n"/>
      <c r="E537" s="50">
        <f>IFERROR(VLOOKUP(B537,'Dados B3'!A:G,2,FALSE),"-")</f>
        <v/>
      </c>
      <c r="F537" s="51">
        <f>IF(H537=P$4,(C537*(1)),IF(H537=P$3,(C537*(-1)),IF(H537=P$2,(C537*(1)))))</f>
        <v/>
      </c>
      <c r="G537" s="176">
        <f>F537*D537</f>
        <v/>
      </c>
      <c r="H537" s="52" t="inlineStr">
        <is>
          <t>COMPRA</t>
        </is>
      </c>
      <c r="I537" s="177" t="n"/>
      <c r="J537" s="178">
        <f>IF(H537="VENDA",I537*F537*-1,0)</f>
        <v/>
      </c>
      <c r="K537" s="178">
        <f>IF(J537=0,0,J537+G537)</f>
        <v/>
      </c>
    </row>
    <row r="538">
      <c r="A538" s="47" t="n"/>
      <c r="B538" s="48" t="n"/>
      <c r="C538" s="49" t="n"/>
      <c r="D538" s="169" t="n"/>
      <c r="E538" s="50">
        <f>IFERROR(VLOOKUP(B538,'Dados B3'!A:G,2,FALSE),"-")</f>
        <v/>
      </c>
      <c r="F538" s="51">
        <f>IF(H538=P$4,(C538*(1)),IF(H538=P$3,(C538*(-1)),IF(H538=P$2,(C538*(1)))))</f>
        <v/>
      </c>
      <c r="G538" s="176">
        <f>F538*D538</f>
        <v/>
      </c>
      <c r="H538" s="52" t="inlineStr">
        <is>
          <t>COMPRA</t>
        </is>
      </c>
      <c r="I538" s="177" t="n"/>
      <c r="J538" s="178">
        <f>IF(H538="VENDA",I538*F538*-1,0)</f>
        <v/>
      </c>
      <c r="K538" s="178">
        <f>IF(J538=0,0,J538+G538)</f>
        <v/>
      </c>
    </row>
    <row r="539">
      <c r="A539" s="47" t="n"/>
      <c r="B539" s="48" t="n"/>
      <c r="C539" s="49" t="n"/>
      <c r="D539" s="169" t="n"/>
      <c r="E539" s="50">
        <f>IFERROR(VLOOKUP(B539,'Dados B3'!A:G,2,FALSE),"-")</f>
        <v/>
      </c>
      <c r="F539" s="51">
        <f>IF(H539=P$4,(C539*(1)),IF(H539=P$3,(C539*(-1)),IF(H539=P$2,(C539*(1)))))</f>
        <v/>
      </c>
      <c r="G539" s="176">
        <f>F539*D539</f>
        <v/>
      </c>
      <c r="H539" s="52" t="inlineStr">
        <is>
          <t>COMPRA</t>
        </is>
      </c>
      <c r="I539" s="177" t="n"/>
      <c r="J539" s="178">
        <f>IF(H539="VENDA",I539*F539*-1,0)</f>
        <v/>
      </c>
      <c r="K539" s="178">
        <f>IF(J539=0,0,J539+G539)</f>
        <v/>
      </c>
    </row>
    <row r="540">
      <c r="A540" s="47" t="n"/>
      <c r="B540" s="48" t="n"/>
      <c r="C540" s="49" t="n"/>
      <c r="D540" s="169" t="n"/>
      <c r="E540" s="50">
        <f>IFERROR(VLOOKUP(B540,'Dados B3'!A:G,2,FALSE),"-")</f>
        <v/>
      </c>
      <c r="F540" s="51">
        <f>IF(H540=P$4,(C540*(1)),IF(H540=P$3,(C540*(-1)),IF(H540=P$2,(C540*(1)))))</f>
        <v/>
      </c>
      <c r="G540" s="176">
        <f>F540*D540</f>
        <v/>
      </c>
      <c r="H540" s="52" t="inlineStr">
        <is>
          <t>COMPRA</t>
        </is>
      </c>
      <c r="I540" s="177" t="n"/>
      <c r="J540" s="178">
        <f>IF(H540="VENDA",I540*F540*-1,0)</f>
        <v/>
      </c>
      <c r="K540" s="178">
        <f>IF(J540=0,0,J540+G540)</f>
        <v/>
      </c>
    </row>
    <row r="541">
      <c r="A541" s="47" t="n"/>
      <c r="B541" s="48" t="n"/>
      <c r="C541" s="49" t="n"/>
      <c r="D541" s="169" t="n"/>
      <c r="E541" s="50">
        <f>IFERROR(VLOOKUP(B541,'Dados B3'!A:G,2,FALSE),"-")</f>
        <v/>
      </c>
      <c r="F541" s="51">
        <f>IF(H541=P$4,(C541*(1)),IF(H541=P$3,(C541*(-1)),IF(H541=P$2,(C541*(1)))))</f>
        <v/>
      </c>
      <c r="G541" s="176">
        <f>F541*D541</f>
        <v/>
      </c>
      <c r="H541" s="52" t="inlineStr">
        <is>
          <t>COMPRA</t>
        </is>
      </c>
      <c r="I541" s="177" t="n"/>
      <c r="J541" s="178">
        <f>IF(H541="VENDA",I541*F541*-1,0)</f>
        <v/>
      </c>
      <c r="K541" s="178">
        <f>IF(J541=0,0,J541+G541)</f>
        <v/>
      </c>
    </row>
    <row r="542">
      <c r="A542" s="47" t="n"/>
      <c r="B542" s="48" t="n"/>
      <c r="C542" s="49" t="n"/>
      <c r="D542" s="169" t="n"/>
      <c r="E542" s="50">
        <f>IFERROR(VLOOKUP(B542,'Dados B3'!A:G,2,FALSE),"-")</f>
        <v/>
      </c>
      <c r="F542" s="51">
        <f>IF(H542=P$4,(C542*(1)),IF(H542=P$3,(C542*(-1)),IF(H542=P$2,(C542*(1)))))</f>
        <v/>
      </c>
      <c r="G542" s="176">
        <f>F542*D542</f>
        <v/>
      </c>
      <c r="H542" s="52" t="inlineStr">
        <is>
          <t>COMPRA</t>
        </is>
      </c>
      <c r="I542" s="177" t="n"/>
      <c r="J542" s="178">
        <f>IF(H542="VENDA",I542*F542*-1,0)</f>
        <v/>
      </c>
      <c r="K542" s="178">
        <f>IF(J542=0,0,J542+G542)</f>
        <v/>
      </c>
    </row>
    <row r="543">
      <c r="A543" s="47" t="n"/>
      <c r="B543" s="48" t="n"/>
      <c r="C543" s="49" t="n"/>
      <c r="D543" s="169" t="n"/>
      <c r="E543" s="50">
        <f>IFERROR(VLOOKUP(B543,'Dados B3'!A:G,2,FALSE),"-")</f>
        <v/>
      </c>
      <c r="F543" s="51">
        <f>IF(H543=P$4,(C543*(1)),IF(H543=P$3,(C543*(-1)),IF(H543=P$2,(C543*(1)))))</f>
        <v/>
      </c>
      <c r="G543" s="176">
        <f>F543*D543</f>
        <v/>
      </c>
      <c r="H543" s="52" t="inlineStr">
        <is>
          <t>COMPRA</t>
        </is>
      </c>
      <c r="I543" s="177" t="n"/>
      <c r="J543" s="178">
        <f>IF(H543="VENDA",I543*F543*-1,0)</f>
        <v/>
      </c>
      <c r="K543" s="178">
        <f>IF(J543=0,0,J543+G543)</f>
        <v/>
      </c>
    </row>
    <row r="544">
      <c r="A544" s="47" t="n"/>
      <c r="B544" s="48" t="n"/>
      <c r="C544" s="49" t="n"/>
      <c r="D544" s="169" t="n"/>
      <c r="E544" s="50">
        <f>IFERROR(VLOOKUP(B544,'Dados B3'!A:G,2,FALSE),"-")</f>
        <v/>
      </c>
      <c r="F544" s="51">
        <f>IF(H544=P$4,(C544*(1)),IF(H544=P$3,(C544*(-1)),IF(H544=P$2,(C544*(1)))))</f>
        <v/>
      </c>
      <c r="G544" s="176">
        <f>F544*D544</f>
        <v/>
      </c>
      <c r="H544" s="52" t="inlineStr">
        <is>
          <t>COMPRA</t>
        </is>
      </c>
      <c r="I544" s="177" t="n"/>
      <c r="J544" s="178">
        <f>IF(H544="VENDA",I544*F544*-1,0)</f>
        <v/>
      </c>
      <c r="K544" s="178">
        <f>IF(J544=0,0,J544+G544)</f>
        <v/>
      </c>
    </row>
    <row r="545">
      <c r="A545" s="47" t="n"/>
      <c r="B545" s="48" t="n"/>
      <c r="C545" s="49" t="n"/>
      <c r="D545" s="169" t="n"/>
      <c r="E545" s="50">
        <f>IFERROR(VLOOKUP(B545,'Dados B3'!A:G,2,FALSE),"-")</f>
        <v/>
      </c>
      <c r="F545" s="51">
        <f>IF(H545=P$4,(C545*(1)),IF(H545=P$3,(C545*(-1)),IF(H545=P$2,(C545*(1)))))</f>
        <v/>
      </c>
      <c r="G545" s="176">
        <f>F545*D545</f>
        <v/>
      </c>
      <c r="H545" s="52" t="inlineStr">
        <is>
          <t>COMPRA</t>
        </is>
      </c>
      <c r="I545" s="177" t="n"/>
      <c r="J545" s="178">
        <f>IF(H545="VENDA",I545*F545*-1,0)</f>
        <v/>
      </c>
      <c r="K545" s="178">
        <f>IF(J545=0,0,J545+G545)</f>
        <v/>
      </c>
    </row>
    <row r="546">
      <c r="A546" s="47" t="n"/>
      <c r="B546" s="48" t="n"/>
      <c r="C546" s="49" t="n"/>
      <c r="D546" s="169" t="n"/>
      <c r="E546" s="50">
        <f>IFERROR(VLOOKUP(B546,'Dados B3'!A:G,2,FALSE),"-")</f>
        <v/>
      </c>
      <c r="F546" s="51">
        <f>IF(H546=P$4,(C546*(1)),IF(H546=P$3,(C546*(-1)),IF(H546=P$2,(C546*(1)))))</f>
        <v/>
      </c>
      <c r="G546" s="176">
        <f>F546*D546</f>
        <v/>
      </c>
      <c r="H546" s="52" t="inlineStr">
        <is>
          <t>COMPRA</t>
        </is>
      </c>
      <c r="I546" s="177" t="n"/>
      <c r="J546" s="178">
        <f>IF(H546="VENDA",I546*F546*-1,0)</f>
        <v/>
      </c>
      <c r="K546" s="178">
        <f>IF(J546=0,0,J546+G546)</f>
        <v/>
      </c>
    </row>
    <row r="547">
      <c r="A547" s="47" t="n"/>
      <c r="B547" s="48" t="n"/>
      <c r="C547" s="49" t="n"/>
      <c r="D547" s="169" t="n"/>
      <c r="E547" s="50">
        <f>IFERROR(VLOOKUP(B547,'Dados B3'!A:G,2,FALSE),"-")</f>
        <v/>
      </c>
      <c r="F547" s="51">
        <f>IF(H547=P$4,(C547*(1)),IF(H547=P$3,(C547*(-1)),IF(H547=P$2,(C547*(1)))))</f>
        <v/>
      </c>
      <c r="G547" s="176">
        <f>F547*D547</f>
        <v/>
      </c>
      <c r="H547" s="52" t="inlineStr">
        <is>
          <t>COMPRA</t>
        </is>
      </c>
      <c r="I547" s="177" t="n"/>
      <c r="J547" s="178">
        <f>IF(H547="VENDA",I547*F547*-1,0)</f>
        <v/>
      </c>
      <c r="K547" s="178">
        <f>IF(J547=0,0,J547+G547)</f>
        <v/>
      </c>
    </row>
    <row r="548">
      <c r="A548" s="47" t="n"/>
      <c r="B548" s="48" t="n"/>
      <c r="C548" s="49" t="n"/>
      <c r="D548" s="169" t="n"/>
      <c r="E548" s="50">
        <f>IFERROR(VLOOKUP(B548,'Dados B3'!A:G,2,FALSE),"-")</f>
        <v/>
      </c>
      <c r="F548" s="51">
        <f>IF(H548=P$4,(C548*(1)),IF(H548=P$3,(C548*(-1)),IF(H548=P$2,(C548*(1)))))</f>
        <v/>
      </c>
      <c r="G548" s="176">
        <f>F548*D548</f>
        <v/>
      </c>
      <c r="H548" s="52" t="inlineStr">
        <is>
          <t>COMPRA</t>
        </is>
      </c>
      <c r="I548" s="177" t="n"/>
      <c r="J548" s="178">
        <f>IF(H548="VENDA",I548*F548*-1,0)</f>
        <v/>
      </c>
      <c r="K548" s="178">
        <f>IF(J548=0,0,J548+G548)</f>
        <v/>
      </c>
    </row>
    <row r="549">
      <c r="A549" s="47" t="n"/>
      <c r="B549" s="48" t="n"/>
      <c r="C549" s="49" t="n"/>
      <c r="D549" s="169" t="n"/>
      <c r="E549" s="50">
        <f>IFERROR(VLOOKUP(B549,'Dados B3'!A:G,2,FALSE),"-")</f>
        <v/>
      </c>
      <c r="F549" s="51">
        <f>IF(H549=P$4,(C549*(1)),IF(H549=P$3,(C549*(-1)),IF(H549=P$2,(C549*(1)))))</f>
        <v/>
      </c>
      <c r="G549" s="176">
        <f>F549*D549</f>
        <v/>
      </c>
      <c r="H549" s="52" t="inlineStr">
        <is>
          <t>COMPRA</t>
        </is>
      </c>
      <c r="I549" s="177" t="n"/>
      <c r="J549" s="178">
        <f>IF(H549="VENDA",I549*F549*-1,0)</f>
        <v/>
      </c>
      <c r="K549" s="178">
        <f>IF(J549=0,0,J549+G549)</f>
        <v/>
      </c>
    </row>
    <row r="550">
      <c r="A550" s="47" t="n"/>
      <c r="B550" s="48" t="n"/>
      <c r="C550" s="49" t="n"/>
      <c r="D550" s="169" t="n"/>
      <c r="E550" s="50">
        <f>IFERROR(VLOOKUP(B550,'Dados B3'!A:G,2,FALSE),"-")</f>
        <v/>
      </c>
      <c r="F550" s="51">
        <f>IF(H550=P$4,(C550*(1)),IF(H550=P$3,(C550*(-1)),IF(H550=P$2,(C550*(1)))))</f>
        <v/>
      </c>
      <c r="G550" s="176">
        <f>F550*D550</f>
        <v/>
      </c>
      <c r="H550" s="52" t="inlineStr">
        <is>
          <t>COMPRA</t>
        </is>
      </c>
      <c r="I550" s="177" t="n"/>
      <c r="J550" s="178">
        <f>IF(H550="VENDA",I550*F550*-1,0)</f>
        <v/>
      </c>
      <c r="K550" s="178">
        <f>IF(J550=0,0,J550+G550)</f>
        <v/>
      </c>
    </row>
    <row r="551">
      <c r="A551" s="47" t="n"/>
      <c r="B551" s="48" t="n"/>
      <c r="C551" s="49" t="n"/>
      <c r="D551" s="169" t="n"/>
      <c r="E551" s="50">
        <f>IFERROR(VLOOKUP(B551,'Dados B3'!A:G,2,FALSE),"-")</f>
        <v/>
      </c>
      <c r="F551" s="51">
        <f>IF(H551=P$4,(C551*(1)),IF(H551=P$3,(C551*(-1)),IF(H551=P$2,(C551*(1)))))</f>
        <v/>
      </c>
      <c r="G551" s="176">
        <f>F551*D551</f>
        <v/>
      </c>
      <c r="H551" s="52" t="inlineStr">
        <is>
          <t>COMPRA</t>
        </is>
      </c>
      <c r="I551" s="177" t="n"/>
      <c r="J551" s="178">
        <f>IF(H551="VENDA",I551*F551*-1,0)</f>
        <v/>
      </c>
      <c r="K551" s="178">
        <f>IF(J551=0,0,J551+G551)</f>
        <v/>
      </c>
    </row>
    <row r="552">
      <c r="A552" s="47" t="n"/>
      <c r="B552" s="48" t="n"/>
      <c r="C552" s="49" t="n"/>
      <c r="D552" s="169" t="n"/>
      <c r="E552" s="50">
        <f>IFERROR(VLOOKUP(B552,'Dados B3'!A:G,2,FALSE),"-")</f>
        <v/>
      </c>
      <c r="F552" s="51">
        <f>IF(H552=P$4,(C552*(1)),IF(H552=P$3,(C552*(-1)),IF(H552=P$2,(C552*(1)))))</f>
        <v/>
      </c>
      <c r="G552" s="176">
        <f>F552*D552</f>
        <v/>
      </c>
      <c r="H552" s="52" t="inlineStr">
        <is>
          <t>COMPRA</t>
        </is>
      </c>
      <c r="I552" s="177" t="n"/>
      <c r="J552" s="178">
        <f>IF(H552="VENDA",I552*F552*-1,0)</f>
        <v/>
      </c>
      <c r="K552" s="178">
        <f>IF(J552=0,0,J552+G552)</f>
        <v/>
      </c>
    </row>
    <row r="553">
      <c r="A553" s="47" t="n"/>
      <c r="B553" s="48" t="n"/>
      <c r="C553" s="49" t="n"/>
      <c r="D553" s="169" t="n"/>
      <c r="E553" s="50">
        <f>IFERROR(VLOOKUP(B553,'Dados B3'!A:G,2,FALSE),"-")</f>
        <v/>
      </c>
      <c r="F553" s="51">
        <f>IF(H553=P$4,(C553*(1)),IF(H553=P$3,(C553*(-1)),IF(H553=P$2,(C553*(1)))))</f>
        <v/>
      </c>
      <c r="G553" s="176">
        <f>F553*D553</f>
        <v/>
      </c>
      <c r="H553" s="52" t="inlineStr">
        <is>
          <t>COMPRA</t>
        </is>
      </c>
      <c r="I553" s="177" t="n"/>
      <c r="J553" s="178">
        <f>IF(H553="VENDA",I553*F553*-1,0)</f>
        <v/>
      </c>
      <c r="K553" s="178">
        <f>IF(J553=0,0,J553+G553)</f>
        <v/>
      </c>
    </row>
    <row r="554">
      <c r="A554" s="47" t="n"/>
      <c r="B554" s="48" t="n"/>
      <c r="C554" s="49" t="n"/>
      <c r="D554" s="169" t="n"/>
      <c r="E554" s="50">
        <f>IFERROR(VLOOKUP(B554,'Dados B3'!A:G,2,FALSE),"-")</f>
        <v/>
      </c>
      <c r="F554" s="51">
        <f>IF(H554=P$4,(C554*(1)),IF(H554=P$3,(C554*(-1)),IF(H554=P$2,(C554*(1)))))</f>
        <v/>
      </c>
      <c r="G554" s="176">
        <f>F554*D554</f>
        <v/>
      </c>
      <c r="H554" s="52" t="inlineStr">
        <is>
          <t>COMPRA</t>
        </is>
      </c>
      <c r="I554" s="177" t="n"/>
      <c r="J554" s="178">
        <f>IF(H554="VENDA",I554*F554*-1,0)</f>
        <v/>
      </c>
      <c r="K554" s="178">
        <f>IF(J554=0,0,J554+G554)</f>
        <v/>
      </c>
    </row>
    <row r="555">
      <c r="A555" s="47" t="n"/>
      <c r="B555" s="48" t="n"/>
      <c r="C555" s="49" t="n"/>
      <c r="D555" s="169" t="n"/>
      <c r="E555" s="50">
        <f>IFERROR(VLOOKUP(B555,'Dados B3'!A:G,2,FALSE),"-")</f>
        <v/>
      </c>
      <c r="F555" s="51">
        <f>IF(H555=P$4,(C555*(1)),IF(H555=P$3,(C555*(-1)),IF(H555=P$2,(C555*(1)))))</f>
        <v/>
      </c>
      <c r="G555" s="176">
        <f>F555*D555</f>
        <v/>
      </c>
      <c r="H555" s="52" t="inlineStr">
        <is>
          <t>COMPRA</t>
        </is>
      </c>
      <c r="I555" s="177" t="n"/>
      <c r="J555" s="178">
        <f>IF(H555="VENDA",I555*F555*-1,0)</f>
        <v/>
      </c>
      <c r="K555" s="178">
        <f>IF(J555=0,0,J555+G555)</f>
        <v/>
      </c>
    </row>
    <row r="556">
      <c r="A556" s="47" t="n"/>
      <c r="B556" s="48" t="n"/>
      <c r="C556" s="49" t="n"/>
      <c r="D556" s="169" t="n"/>
      <c r="E556" s="50">
        <f>IFERROR(VLOOKUP(B556,'Dados B3'!A:G,2,FALSE),"-")</f>
        <v/>
      </c>
      <c r="F556" s="51">
        <f>IF(H556=P$4,(C556*(1)),IF(H556=P$3,(C556*(-1)),IF(H556=P$2,(C556*(1)))))</f>
        <v/>
      </c>
      <c r="G556" s="176">
        <f>F556*D556</f>
        <v/>
      </c>
      <c r="H556" s="52" t="inlineStr">
        <is>
          <t>COMPRA</t>
        </is>
      </c>
      <c r="I556" s="177" t="n"/>
      <c r="J556" s="178">
        <f>IF(H556="VENDA",I556*F556*-1,0)</f>
        <v/>
      </c>
      <c r="K556" s="178">
        <f>IF(J556=0,0,J556+G556)</f>
        <v/>
      </c>
    </row>
    <row r="557">
      <c r="A557" s="47" t="n"/>
      <c r="B557" s="48" t="n"/>
      <c r="C557" s="49" t="n"/>
      <c r="D557" s="169" t="n"/>
      <c r="E557" s="50">
        <f>IFERROR(VLOOKUP(B557,'Dados B3'!A:G,2,FALSE),"-")</f>
        <v/>
      </c>
      <c r="F557" s="51">
        <f>IF(H557=P$4,(C557*(1)),IF(H557=P$3,(C557*(-1)),IF(H557=P$2,(C557*(1)))))</f>
        <v/>
      </c>
      <c r="G557" s="176">
        <f>F557*D557</f>
        <v/>
      </c>
      <c r="H557" s="52" t="inlineStr">
        <is>
          <t>COMPRA</t>
        </is>
      </c>
      <c r="I557" s="177" t="n"/>
      <c r="J557" s="178">
        <f>IF(H557="VENDA",I557*F557*-1,0)</f>
        <v/>
      </c>
      <c r="K557" s="178">
        <f>IF(J557=0,0,J557+G557)</f>
        <v/>
      </c>
    </row>
    <row r="558">
      <c r="A558" s="47" t="n"/>
      <c r="B558" s="48" t="n"/>
      <c r="C558" s="49" t="n"/>
      <c r="D558" s="169" t="n"/>
      <c r="E558" s="50">
        <f>IFERROR(VLOOKUP(B558,'Dados B3'!A:G,2,FALSE),"-")</f>
        <v/>
      </c>
      <c r="F558" s="51">
        <f>IF(H558=P$4,(C558*(1)),IF(H558=P$3,(C558*(-1)),IF(H558=P$2,(C558*(1)))))</f>
        <v/>
      </c>
      <c r="G558" s="176">
        <f>F558*D558</f>
        <v/>
      </c>
      <c r="H558" s="52" t="inlineStr">
        <is>
          <t>VENDA</t>
        </is>
      </c>
      <c r="I558" s="177" t="n">
        <v>31.14</v>
      </c>
      <c r="J558" s="178">
        <f>IF(H558="VENDA",I558*F558*-1,0)</f>
        <v/>
      </c>
      <c r="K558" s="178">
        <f>IF(J558=0,0,J558+G558)</f>
        <v/>
      </c>
      <c r="M558" s="4" t="inlineStr">
        <is>
          <t>** QDO FAZER VENDAS ABAIXO DE 20K, Declarar LUCRO na Ficha "RENDIMENTOS ISENTOS E NÃO TRIBUTÁVEIS" | CÓDIGO: 20 |  FAZER A SOMATÓRIA DO ANO TODO E INFORMAR VALOR TOTAL **</t>
        </is>
      </c>
    </row>
    <row r="559">
      <c r="A559" s="47" t="n"/>
      <c r="B559" s="48" t="n"/>
      <c r="C559" s="49" t="n"/>
      <c r="D559" s="169" t="n"/>
      <c r="E559" s="50">
        <f>IFERROR(VLOOKUP(B559,'Dados B3'!A:G,2,FALSE),"-")</f>
        <v/>
      </c>
      <c r="F559" s="51">
        <f>IF(H559=P$4,(C559*(1)),IF(H559=P$3,(C559*(-1)),IF(H559=P$2,(C559*(1)))))</f>
        <v/>
      </c>
      <c r="G559" s="176">
        <f>F559*D559</f>
        <v/>
      </c>
      <c r="H559" s="52" t="inlineStr">
        <is>
          <t>COMPRA</t>
        </is>
      </c>
      <c r="I559" s="177" t="n"/>
      <c r="J559" s="178">
        <f>IF(H559="VENDA",I559*F559*-1,0)</f>
        <v/>
      </c>
      <c r="K559" s="178">
        <f>IF(J559=0,0,J559+G559)</f>
        <v/>
      </c>
    </row>
    <row r="560">
      <c r="A560" s="47" t="n"/>
      <c r="B560" s="48" t="n"/>
      <c r="C560" s="49" t="n"/>
      <c r="D560" s="169" t="n"/>
      <c r="E560" s="50">
        <f>IFERROR(VLOOKUP(B560,'Dados B3'!A:G,2,FALSE),"-")</f>
        <v/>
      </c>
      <c r="F560" s="51">
        <f>IF(H560=P$4,(C560*(1)),IF(H560=P$3,(C560*(-1)),IF(H560=P$2,(C560*(1)))))</f>
        <v/>
      </c>
      <c r="G560" s="176">
        <f>F560*D560</f>
        <v/>
      </c>
      <c r="H560" s="52" t="inlineStr">
        <is>
          <t>COMPRA</t>
        </is>
      </c>
      <c r="I560" s="177" t="n"/>
      <c r="J560" s="178">
        <f>IF(H560="VENDA",I560*F560*-1,0)</f>
        <v/>
      </c>
      <c r="K560" s="178">
        <f>IF(J560=0,0,J560+G560)</f>
        <v/>
      </c>
    </row>
    <row r="561">
      <c r="A561" s="47" t="n"/>
      <c r="B561" s="48" t="n"/>
      <c r="C561" s="49" t="n"/>
      <c r="D561" s="169" t="n"/>
      <c r="E561" s="50">
        <f>IFERROR(VLOOKUP(B561,'Dados B3'!A:G,2,FALSE),"-")</f>
        <v/>
      </c>
      <c r="F561" s="51">
        <f>IF(H561=P$4,(C561*(1)),IF(H561=P$3,(C561*(-1)),IF(H561=P$2,(C561*(1)))))</f>
        <v/>
      </c>
      <c r="G561" s="176">
        <f>F561*D561</f>
        <v/>
      </c>
      <c r="H561" s="52" t="inlineStr">
        <is>
          <t>COMPRA</t>
        </is>
      </c>
      <c r="I561" s="177" t="n"/>
      <c r="J561" s="178">
        <f>IF(H561="VENDA",I561*F561*-1,0)</f>
        <v/>
      </c>
      <c r="K561" s="178">
        <f>IF(J561=0,0,J561+G561)</f>
        <v/>
      </c>
    </row>
    <row r="562">
      <c r="A562" s="47" t="n"/>
      <c r="B562" s="48" t="n"/>
      <c r="C562" s="49" t="n"/>
      <c r="D562" s="169" t="n"/>
      <c r="E562" s="50">
        <f>IFERROR(VLOOKUP(B562,'Dados B3'!A:G,2,FALSE),"-")</f>
        <v/>
      </c>
      <c r="F562" s="51">
        <f>IF(H562=P$4,(C562*(1)),IF(H562=P$3,(C562*(-1)),IF(H562=P$2,(C562*(1)))))</f>
        <v/>
      </c>
      <c r="G562" s="176">
        <f>F562*D562</f>
        <v/>
      </c>
      <c r="H562" s="52" t="inlineStr">
        <is>
          <t>VENDA</t>
        </is>
      </c>
      <c r="I562" s="177" t="n">
        <v>55.6</v>
      </c>
      <c r="J562" s="178">
        <f>IF(H562="VENDA",I562*F562*-1,0)</f>
        <v/>
      </c>
      <c r="K562" s="178">
        <f>IF(J562=0,0,J562+G562)</f>
        <v/>
      </c>
      <c r="M562" s="4" t="inlineStr">
        <is>
          <t>** QDO FAZER VENDAS ABAIXO DE 20K, Declarar LUCRO na Ficha "RENDIMENTOS ISENTOS E NÃO TRIBUTÁVEIS" | CÓDIGO: 20 |  FAZER A SOMATÓRIA DO ANO TODO E INFORMAR VALOR TOTAL **</t>
        </is>
      </c>
    </row>
    <row r="563">
      <c r="A563" s="47" t="n"/>
      <c r="B563" s="48" t="n"/>
      <c r="C563" s="49" t="n"/>
      <c r="D563" s="169" t="n"/>
      <c r="E563" s="50">
        <f>IFERROR(VLOOKUP(B563,'Dados B3'!A:G,2,FALSE),"-")</f>
        <v/>
      </c>
      <c r="F563" s="51">
        <f>IF(H563=P$4,(C563*(1)),IF(H563=P$3,(C563*(-1)),IF(H563=P$2,(C563*(1)))))</f>
        <v/>
      </c>
      <c r="G563" s="176">
        <f>F563*D563</f>
        <v/>
      </c>
      <c r="H563" s="52" t="inlineStr">
        <is>
          <t>COMPRA</t>
        </is>
      </c>
      <c r="I563" s="177" t="n"/>
      <c r="J563" s="178">
        <f>IF(H563="VENDA",I563*F563*-1,0)</f>
        <v/>
      </c>
      <c r="K563" s="178">
        <f>IF(J563=0,0,J563+G563)</f>
        <v/>
      </c>
    </row>
    <row r="564">
      <c r="A564" s="47" t="n"/>
      <c r="B564" s="48" t="n"/>
      <c r="C564" s="49" t="n"/>
      <c r="D564" s="169" t="n"/>
      <c r="E564" s="50">
        <f>IFERROR(VLOOKUP(B564,'Dados B3'!A:G,2,FALSE),"-")</f>
        <v/>
      </c>
      <c r="F564" s="51">
        <f>IF(H564=P$4,(C564*(1)),IF(H564=P$3,(C564*(-1)),IF(H564=P$2,(C564*(1)))))</f>
        <v/>
      </c>
      <c r="G564" s="176">
        <f>F564*D564</f>
        <v/>
      </c>
      <c r="H564" s="52" t="inlineStr">
        <is>
          <t>COMPRA</t>
        </is>
      </c>
      <c r="I564" s="177" t="n"/>
      <c r="J564" s="178">
        <f>IF(H564="VENDA",I564*F564*-1,0)</f>
        <v/>
      </c>
      <c r="K564" s="178">
        <f>IF(J564=0,0,J564+G564)</f>
        <v/>
      </c>
    </row>
    <row r="565">
      <c r="A565" s="47" t="n"/>
      <c r="B565" s="48" t="n"/>
      <c r="C565" s="49" t="n"/>
      <c r="D565" s="169" t="n"/>
      <c r="E565" s="50">
        <f>IFERROR(VLOOKUP(B565,'Dados B3'!A:G,2,FALSE),"-")</f>
        <v/>
      </c>
      <c r="F565" s="51">
        <f>IF(H565=P$4,(C565*(1)),IF(H565=P$3,(C565*(-1)),IF(H565=P$2,(C565*(1)))))</f>
        <v/>
      </c>
      <c r="G565" s="176">
        <f>F565*D565</f>
        <v/>
      </c>
      <c r="H565" s="52" t="inlineStr">
        <is>
          <t>COMPRA</t>
        </is>
      </c>
      <c r="I565" s="177" t="n"/>
      <c r="J565" s="178">
        <f>IF(H565="VENDA",I565*F565*-1,0)</f>
        <v/>
      </c>
      <c r="K565" s="178">
        <f>IF(J565=0,0,J565+G565)</f>
        <v/>
      </c>
    </row>
    <row r="566">
      <c r="A566" s="47" t="n"/>
      <c r="B566" s="48" t="n"/>
      <c r="C566" s="49" t="n"/>
      <c r="D566" s="169" t="n"/>
      <c r="E566" s="50">
        <f>IFERROR(VLOOKUP(B566,'Dados B3'!A:G,2,FALSE),"-")</f>
        <v/>
      </c>
      <c r="F566" s="51">
        <f>IF(H566=P$4,(C566*(1)),IF(H566=P$3,(C566*(-1)),IF(H566=P$2,(C566*(1)))))</f>
        <v/>
      </c>
      <c r="G566" s="176">
        <f>F566*D566</f>
        <v/>
      </c>
      <c r="H566" s="52" t="inlineStr">
        <is>
          <t>COMPRA</t>
        </is>
      </c>
      <c r="I566" s="177" t="n"/>
      <c r="J566" s="178">
        <f>IF(H566="VENDA",I566*F566*-1,0)</f>
        <v/>
      </c>
      <c r="K566" s="178">
        <f>IF(J566=0,0,J566+G566)</f>
        <v/>
      </c>
    </row>
    <row r="567">
      <c r="A567" s="47" t="n"/>
      <c r="B567" s="48" t="n"/>
      <c r="C567" s="49" t="n"/>
      <c r="D567" s="169" t="n"/>
      <c r="E567" s="50">
        <f>IFERROR(VLOOKUP(B567,'Dados B3'!A:G,2,FALSE),"-")</f>
        <v/>
      </c>
      <c r="F567" s="51">
        <f>IF(H567=P$4,(C567*(1)),IF(H567=P$3,(C567*(-1)),IF(H567=P$2,(C567*(1)))))</f>
        <v/>
      </c>
      <c r="G567" s="176">
        <f>F567*D567</f>
        <v/>
      </c>
      <c r="H567" s="52" t="inlineStr">
        <is>
          <t>COMPRA</t>
        </is>
      </c>
      <c r="I567" s="177" t="n"/>
      <c r="J567" s="178">
        <f>IF(H567="VENDA",I567*F567*-1,0)</f>
        <v/>
      </c>
      <c r="K567" s="178">
        <f>IF(J567=0,0,J567+G567)</f>
        <v/>
      </c>
    </row>
    <row r="568">
      <c r="A568" s="47" t="n"/>
      <c r="B568" s="48" t="n"/>
      <c r="C568" s="49" t="n"/>
      <c r="D568" s="169" t="n"/>
      <c r="E568" s="50">
        <f>IFERROR(VLOOKUP(B568,'Dados B3'!A:G,2,FALSE),"-")</f>
        <v/>
      </c>
      <c r="F568" s="51">
        <f>IF(H568=P$4,(C568*(1)),IF(H568=P$3,(C568*(-1)),IF(H568=P$2,(C568*(1)))))</f>
        <v/>
      </c>
      <c r="G568" s="176">
        <f>F568*D568</f>
        <v/>
      </c>
      <c r="H568" s="52" t="inlineStr">
        <is>
          <t>COMPRA</t>
        </is>
      </c>
      <c r="I568" s="177" t="n"/>
      <c r="J568" s="178">
        <f>IF(H568="VENDA",I568*F568*-1,0)</f>
        <v/>
      </c>
      <c r="K568" s="178">
        <f>IF(J568=0,0,J568+G568)</f>
        <v/>
      </c>
    </row>
    <row r="569">
      <c r="A569" s="47" t="n"/>
      <c r="B569" s="48" t="n"/>
      <c r="C569" s="49" t="n"/>
      <c r="D569" s="169" t="n"/>
      <c r="E569" s="50">
        <f>IFERROR(VLOOKUP(B569,'Dados B3'!A:G,2,FALSE),"-")</f>
        <v/>
      </c>
      <c r="F569" s="51">
        <f>IF(H569=P$4,(C569*(1)),IF(H569=P$3,(C569*(-1)),IF(H569=P$2,(C569*(1)))))</f>
        <v/>
      </c>
      <c r="G569" s="176">
        <f>F569*D569</f>
        <v/>
      </c>
      <c r="H569" s="52" t="inlineStr">
        <is>
          <t>COMPRA</t>
        </is>
      </c>
      <c r="I569" s="177" t="n"/>
      <c r="J569" s="178">
        <f>IF(H569="VENDA",I569*F569*-1,0)</f>
        <v/>
      </c>
      <c r="K569" s="178">
        <f>IF(J569=0,0,J569+G569)</f>
        <v/>
      </c>
    </row>
    <row r="570">
      <c r="A570" s="47" t="n"/>
      <c r="B570" s="48" t="n"/>
      <c r="C570" s="49" t="n"/>
      <c r="D570" s="169" t="n"/>
      <c r="E570" s="50">
        <f>IFERROR(VLOOKUP(B570,'Dados B3'!A:G,2,FALSE),"-")</f>
        <v/>
      </c>
      <c r="F570" s="51">
        <f>IF(H570=P$4,(C570*(1)),IF(H570=P$3,(C570*(-1)),IF(H570=P$2,(C570*(1)))))</f>
        <v/>
      </c>
      <c r="G570" s="176">
        <f>F570*D570</f>
        <v/>
      </c>
      <c r="H570" s="52" t="inlineStr">
        <is>
          <t>COMPRA</t>
        </is>
      </c>
      <c r="I570" s="177" t="n"/>
      <c r="J570" s="178">
        <f>IF(H570="VENDA",I570*F570*-1,0)</f>
        <v/>
      </c>
      <c r="K570" s="178">
        <f>IF(J570=0,0,J570+G570)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FzBz3O6Tw88z/5bwJ9+QBA==" formatRows="1" sort="0" spinCount="100000" hashValue="osG8RsffvX/8q8WAuy2GZuT+UCVPQY9XLEDMxPbBNBob4V3skbzJukQuDfXW6ptn+1jepwbz8k3K0XpVqKrGgg=="/>
  <autoFilter ref="A1:K570">
    <sortState ref="A2:K570">
      <sortCondition ref="A1:A570"/>
    </sortState>
  </autoFilter>
  <mergeCells count="1">
    <mergeCell ref="M3:N11"/>
  </mergeCells>
  <conditionalFormatting sqref="E1 F1:G1048576 I2:K570">
    <cfRule type="cellIs" priority="53" operator="lessThan" dxfId="10">
      <formula>0</formula>
    </cfRule>
  </conditionalFormatting>
  <conditionalFormatting sqref="K2:K570">
    <cfRule type="cellIs" priority="1" operator="equal" dxfId="18">
      <formula>0</formula>
    </cfRule>
    <cfRule type="cellIs" priority="3" operator="greaterThan" dxfId="9">
      <formula>0</formula>
    </cfRule>
  </conditionalFormatting>
  <conditionalFormatting sqref="N1">
    <cfRule type="cellIs" priority="60" operator="equal" dxfId="13">
      <formula>0</formula>
    </cfRule>
    <cfRule type="cellIs" priority="61" operator="lessThan" dxfId="10">
      <formula>0</formula>
    </cfRule>
    <cfRule type="cellIs" priority="62" operator="greaterThan" dxfId="9">
      <formula>0</formula>
    </cfRule>
  </conditionalFormatting>
  <conditionalFormatting sqref="V1">
    <cfRule type="cellIs" priority="57" operator="equal" dxfId="13">
      <formula>0</formula>
    </cfRule>
    <cfRule type="cellIs" priority="58" operator="lessThan" dxfId="10">
      <formula>0</formula>
    </cfRule>
    <cfRule type="cellIs" priority="59" operator="greaterThan" dxfId="9">
      <formula>0</formula>
    </cfRule>
  </conditionalFormatting>
  <dataValidations count="1">
    <dataValidation sqref="H2:H570 H571:K1048576" showDropDown="0" showInputMessage="1" showErrorMessage="1" allowBlank="1" type="list">
      <formula1>$P$2:$P$4</formula1>
    </dataValidation>
  </dataValidation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181"/>
  <sheetViews>
    <sheetView showGridLines="0" zoomScale="80" zoomScaleNormal="80" workbookViewId="0">
      <pane ySplit="2" topLeftCell="A3" activePane="bottomLeft" state="frozen"/>
      <selection activeCell="E2" sqref="E2"/>
      <selection pane="bottomLeft" activeCell="S2" sqref="S2"/>
    </sheetView>
  </sheetViews>
  <sheetFormatPr baseColWidth="8" defaultColWidth="13.28515625" defaultRowHeight="15"/>
  <cols>
    <col width="20" bestFit="1" customWidth="1" style="86" min="1" max="1"/>
    <col width="12.5703125" bestFit="1" customWidth="1" style="88" min="2" max="2"/>
    <col width="10.28515625" bestFit="1" customWidth="1" style="88" min="3" max="3"/>
    <col width="19.140625" bestFit="1" customWidth="1" style="88" min="4" max="4"/>
    <col width="10.140625" bestFit="1" customWidth="1" style="180" min="5" max="5"/>
    <col width="15.28515625" customWidth="1" style="181" min="6" max="6"/>
    <col width="14.7109375" bestFit="1" customWidth="1" style="88" min="7" max="7"/>
    <col width="12.85546875" bestFit="1" customWidth="1" style="61" min="8" max="8"/>
    <col width="4.85546875" customWidth="1" style="61" min="9" max="9"/>
    <col width="8.5703125" bestFit="1" customWidth="1" style="88" min="10" max="10"/>
    <col width="19.140625" bestFit="1" customWidth="1" style="88" min="11" max="11"/>
    <col width="9.5703125" customWidth="1" style="88" min="12" max="12"/>
    <col width="12.42578125" bestFit="1" customWidth="1" style="88" min="13" max="13"/>
    <col width="15.28515625" bestFit="1" customWidth="1" style="182" min="14" max="14"/>
    <col width="14.85546875" bestFit="1" customWidth="1" style="182" min="15" max="15"/>
    <col width="14.5703125" bestFit="1" customWidth="1" style="182" min="16" max="16"/>
    <col width="14.28515625" bestFit="1" customWidth="1" style="88" min="17" max="17"/>
    <col width="10.42578125" customWidth="1" style="88" min="18" max="18"/>
    <col width="13.42578125" customWidth="1" style="88" min="19" max="19"/>
    <col width="16.140625" bestFit="1" customWidth="1" style="182" min="20" max="20"/>
    <col width="11.7109375" customWidth="1" style="182" min="21" max="21"/>
    <col width="6.7109375" customWidth="1" style="19" min="22" max="22"/>
    <col width="13.28515625" customWidth="1" style="19" min="23" max="56"/>
    <col width="13.28515625" customWidth="1" style="19" min="57" max="16384"/>
  </cols>
  <sheetData>
    <row r="1" ht="73.5" customHeight="1" s="107" thickBot="1">
      <c r="A1" s="160" t="inlineStr">
        <is>
          <t>CARTEIRA IDEAL</t>
        </is>
      </c>
      <c r="B1" s="158" t="n"/>
      <c r="C1" s="158" t="n"/>
      <c r="D1" s="158" t="n"/>
      <c r="E1" s="158" t="n"/>
      <c r="F1" s="158" t="n"/>
      <c r="G1" s="158" t="n"/>
      <c r="H1" s="159" t="n"/>
      <c r="J1" s="161" t="inlineStr">
        <is>
          <t>CARTEIRA ATUAL</t>
        </is>
      </c>
      <c r="K1" s="183" t="n"/>
      <c r="L1" s="183" t="n"/>
      <c r="M1" s="183" t="n"/>
      <c r="N1" s="183" t="n"/>
      <c r="O1" s="183" t="n"/>
      <c r="P1" s="183" t="n"/>
      <c r="Q1" s="183" t="n"/>
      <c r="R1" s="183" t="n"/>
      <c r="S1" s="164" t="inlineStr">
        <is>
          <t>SUGESTÕES BASEADAS EM FLUXO DE CAIXA</t>
        </is>
      </c>
      <c r="T1" s="183" t="n"/>
      <c r="U1" s="184" t="n"/>
    </row>
    <row r="2" ht="15.75" customHeight="1" s="107" thickBot="1">
      <c r="A2" s="185" t="inlineStr">
        <is>
          <t>PESO (%)</t>
        </is>
      </c>
      <c r="B2" s="62" t="inlineStr">
        <is>
          <t>ATIVO</t>
        </is>
      </c>
      <c r="C2" s="185" t="inlineStr">
        <is>
          <t>TIPO</t>
        </is>
      </c>
      <c r="D2" s="185" t="inlineStr">
        <is>
          <t>SEGMENTO</t>
        </is>
      </c>
      <c r="E2" s="185" t="inlineStr">
        <is>
          <t>QTDE</t>
        </is>
      </c>
      <c r="F2" s="186" t="inlineStr">
        <is>
          <t>PREÇO ATUAL</t>
        </is>
      </c>
      <c r="G2" s="63" t="inlineStr">
        <is>
          <t>VL TOTAL</t>
        </is>
      </c>
      <c r="H2" s="63" t="inlineStr">
        <is>
          <t>D.Y.</t>
        </is>
      </c>
      <c r="J2" s="64" t="inlineStr">
        <is>
          <t>TIPO</t>
        </is>
      </c>
      <c r="K2" s="65" t="inlineStr">
        <is>
          <t>SEGMENTO</t>
        </is>
      </c>
      <c r="L2" s="65" t="inlineStr">
        <is>
          <t>ATIVO</t>
        </is>
      </c>
      <c r="M2" s="65" t="inlineStr">
        <is>
          <t>QTDE ATUAL</t>
        </is>
      </c>
      <c r="N2" s="187" t="inlineStr">
        <is>
          <t>PREÇO MEDIO</t>
        </is>
      </c>
      <c r="O2" s="187" t="inlineStr">
        <is>
          <t>CUSTO TOTAL</t>
        </is>
      </c>
      <c r="P2" s="187" t="inlineStr">
        <is>
          <t>PATRIMONIO. ATUAL</t>
        </is>
      </c>
      <c r="Q2" s="66" t="inlineStr">
        <is>
          <t>DIFERENÇA</t>
        </is>
      </c>
      <c r="R2" s="67" t="inlineStr">
        <is>
          <t>%</t>
        </is>
      </c>
      <c r="S2" s="66" t="inlineStr">
        <is>
          <t>COMPRAR</t>
        </is>
      </c>
      <c r="T2" s="188" t="inlineStr">
        <is>
          <t>TOTAL APORTE</t>
        </is>
      </c>
      <c r="U2" s="67" t="inlineStr">
        <is>
          <t>VENDER</t>
        </is>
      </c>
    </row>
    <row r="3">
      <c r="A3" s="68">
        <f>IFERROR(H3/SUM($H$3:$H$42),0)</f>
        <v/>
      </c>
      <c r="B3" s="69" t="inlineStr">
        <is>
          <t>AAZQ11</t>
        </is>
      </c>
      <c r="C3" s="70">
        <f>IFERROR(VLOOKUP(B3,'Dados B3'!$1:$1048576,2,0),"-")</f>
        <v/>
      </c>
      <c r="D3" s="70">
        <f>IFERROR(VLOOKUP(B3,'Dados B3'!$1:$1048576,6,FALSE),"-")</f>
        <v/>
      </c>
      <c r="E3" s="189">
        <f>IFERROR((G3/F3)*100%,"0")</f>
        <v/>
      </c>
      <c r="F3" s="190">
        <f>IFERROR(VLOOKUP(B3,'Dados B3'!$1:$1048576,4,0),"0,00")</f>
        <v/>
      </c>
      <c r="G3" s="191">
        <f>SUM($P$3:$P$46)*A3</f>
        <v/>
      </c>
      <c r="H3" s="71">
        <f>IFERROR(_xlfn.NUMBERVALUE(VLOOKUP(B3,'Dados B3'!A:G,7,FALSE),","),0)</f>
        <v/>
      </c>
      <c r="J3" s="72">
        <f>C3</f>
        <v/>
      </c>
      <c r="K3" s="73">
        <f>D3</f>
        <v/>
      </c>
      <c r="L3" s="73">
        <f>B3</f>
        <v/>
      </c>
      <c r="M3" s="74">
        <f>SUMIF(OPERAÇÕES!B:B,L3,OPERAÇÕES!$F:F)</f>
        <v/>
      </c>
      <c r="N3" s="192">
        <f>IF(M3=0,0,SUMIF(OPERAÇÕES!B:B,L3,OPERAÇÕES!$G:G)/M3)</f>
        <v/>
      </c>
      <c r="O3" s="192">
        <f>N3*M3</f>
        <v/>
      </c>
      <c r="P3" s="193">
        <f>IFERROR(M3*F3,"0,00")</f>
        <v/>
      </c>
      <c r="Q3" s="194">
        <f>P3-O3</f>
        <v/>
      </c>
      <c r="R3" s="75">
        <f>IFERROR(Q3/O3,"0,00%")</f>
        <v/>
      </c>
      <c r="S3" s="195">
        <f>IFERROR(IF(AND(R3&lt;=SUM($R$3:$R$61))*E3-M3&lt;=0,"0",E3-M3),"0")</f>
        <v/>
      </c>
      <c r="T3" s="196">
        <f>IFERROR(IF(S3*F3&lt;F3*S3,0,S3*F3),"0,00")</f>
        <v/>
      </c>
      <c r="U3" s="197">
        <f>IFERROR(IF(R3&lt;H3,0,IF(M3&lt;E3,0,M3-E3)),"0")</f>
        <v/>
      </c>
    </row>
    <row r="4">
      <c r="A4" s="68">
        <f>IFERROR(H4/SUM($H$3:$H$42),0)</f>
        <v/>
      </c>
      <c r="B4" s="69" t="inlineStr">
        <is>
          <t>AMOB3</t>
        </is>
      </c>
      <c r="C4" s="70">
        <f>IFERROR(VLOOKUP(B4,'Dados B3'!$1:$1048576,2,0),"-")</f>
        <v/>
      </c>
      <c r="D4" s="70">
        <f>IFERROR(VLOOKUP(B4,'Dados B3'!$1:$1048576,6,FALSE),"-")</f>
        <v/>
      </c>
      <c r="E4" s="189">
        <f>IFERROR((G4/F4)*100%,"0")</f>
        <v/>
      </c>
      <c r="F4" s="190">
        <f>IFERROR(VLOOKUP(B4,'Dados B3'!$1:$1048576,4,0),"0,00")</f>
        <v/>
      </c>
      <c r="G4" s="191">
        <f>SUM($P$3:$P$46)*A4</f>
        <v/>
      </c>
      <c r="H4" s="71">
        <f>IFERROR(_xlfn.NUMBERVALUE(VLOOKUP(B4,'Dados B3'!A:G,7,FALSE),","),0)</f>
        <v/>
      </c>
      <c r="J4" s="76">
        <f>C4</f>
        <v/>
      </c>
      <c r="K4" s="77">
        <f>D4</f>
        <v/>
      </c>
      <c r="L4" s="77">
        <f>B4</f>
        <v/>
      </c>
      <c r="M4" s="78">
        <f>SUMIF(OPERAÇÕES!B:B,L4,OPERAÇÕES!$F:F)</f>
        <v/>
      </c>
      <c r="N4" s="198">
        <f>IF(M4=0,0,SUMIF(OPERAÇÕES!B:B,L4,OPERAÇÕES!$G:G)/M4)</f>
        <v/>
      </c>
      <c r="O4" s="198">
        <f>N4*M4</f>
        <v/>
      </c>
      <c r="P4" s="199">
        <f>IFERROR(M4*F4,"0,00")</f>
        <v/>
      </c>
      <c r="Q4" s="200">
        <f>P4-O4</f>
        <v/>
      </c>
      <c r="R4" s="79">
        <f>IFERROR(Q4/O4,"0,00%")</f>
        <v/>
      </c>
      <c r="S4" s="195">
        <f>IFERROR(IF(AND(R4&lt;=SUM($R$3:$R$61))*E4-M4&lt;=0,"0",E4-M4),"0")</f>
        <v/>
      </c>
      <c r="T4" s="201">
        <f>IFERROR(IF(S4*F4&lt;F4*S4,0,S4*F4),"0,00")</f>
        <v/>
      </c>
      <c r="U4" s="197">
        <f>IFERROR(IF(R4&lt;H4,0,IF(M4&lt;E4,0,M4-E4)),"0")</f>
        <v/>
      </c>
    </row>
    <row r="5">
      <c r="A5" s="68">
        <f>IFERROR(H5/SUM($H$3:$H$42),0)</f>
        <v/>
      </c>
      <c r="B5" s="69" t="inlineStr">
        <is>
          <t>ARRI11</t>
        </is>
      </c>
      <c r="C5" s="70">
        <f>IFERROR(VLOOKUP(B5,'Dados B3'!$1:$1048576,2,0),"-")</f>
        <v/>
      </c>
      <c r="D5" s="70">
        <f>IFERROR(VLOOKUP(B5,'Dados B3'!$1:$1048576,6,FALSE),"-")</f>
        <v/>
      </c>
      <c r="E5" s="189">
        <f>IFERROR((G5/F5)*100%,"0")</f>
        <v/>
      </c>
      <c r="F5" s="190">
        <f>IFERROR(VLOOKUP(B5,'Dados B3'!$1:$1048576,4,0),"0,00")</f>
        <v/>
      </c>
      <c r="G5" s="191">
        <f>SUM($P$3:$P$46)*A5</f>
        <v/>
      </c>
      <c r="H5" s="71">
        <f>IFERROR(_xlfn.NUMBERVALUE(VLOOKUP(B5,'Dados B3'!A:G,7,FALSE),","),0)</f>
        <v/>
      </c>
      <c r="J5" s="76">
        <f>C5</f>
        <v/>
      </c>
      <c r="K5" s="77">
        <f>D5</f>
        <v/>
      </c>
      <c r="L5" s="77">
        <f>B5</f>
        <v/>
      </c>
      <c r="M5" s="78">
        <f>SUMIF(OPERAÇÕES!B:B,L5,OPERAÇÕES!$F:F)</f>
        <v/>
      </c>
      <c r="N5" s="198">
        <f>IF(M5=0,0,SUMIF(OPERAÇÕES!B:B,L5,OPERAÇÕES!$G:G)/M5)</f>
        <v/>
      </c>
      <c r="O5" s="198">
        <f>N5*M5</f>
        <v/>
      </c>
      <c r="P5" s="199">
        <f>IFERROR(M5*F5,"0,00")</f>
        <v/>
      </c>
      <c r="Q5" s="200">
        <f>P5-O5</f>
        <v/>
      </c>
      <c r="R5" s="79">
        <f>IFERROR(Q5/O5,"0,00%")</f>
        <v/>
      </c>
      <c r="S5" s="195">
        <f>IFERROR(IF(AND(R5&lt;=SUM($R$3:$R$61))*E5-M5&lt;=0,"0",E5-M5),"0")</f>
        <v/>
      </c>
      <c r="T5" s="201">
        <f>IFERROR(IF(S5*F5&lt;F5*S5,0,S5*F5),"0,00")</f>
        <v/>
      </c>
      <c r="U5" s="197">
        <f>IFERROR(IF(R5&lt;H5,0,IF(M5&lt;E5,0,M5-E5)),"0")</f>
        <v/>
      </c>
    </row>
    <row r="6">
      <c r="A6" s="68">
        <f>IFERROR(H6/SUM($H$3:$H$42),0)</f>
        <v/>
      </c>
      <c r="B6" s="69" t="inlineStr">
        <is>
          <t>BBAS3</t>
        </is>
      </c>
      <c r="C6" s="70">
        <f>IFERROR(VLOOKUP(B6,'Dados B3'!$1:$1048576,2,0),"-")</f>
        <v/>
      </c>
      <c r="D6" s="70">
        <f>IFERROR(VLOOKUP(B6,'Dados B3'!$1:$1048576,6,FALSE),"-")</f>
        <v/>
      </c>
      <c r="E6" s="189">
        <f>IFERROR((G6/F6)*100%,"0")</f>
        <v/>
      </c>
      <c r="F6" s="190">
        <f>IFERROR(VLOOKUP(B6,'Dados B3'!$1:$1048576,4,0),"0,00")</f>
        <v/>
      </c>
      <c r="G6" s="191">
        <f>SUM($P$3:$P$46)*A6</f>
        <v/>
      </c>
      <c r="H6" s="71">
        <f>IFERROR(_xlfn.NUMBERVALUE(VLOOKUP(B6,'Dados B3'!A:G,7,FALSE),","),0)</f>
        <v/>
      </c>
      <c r="J6" s="76">
        <f>C6</f>
        <v/>
      </c>
      <c r="K6" s="77">
        <f>D6</f>
        <v/>
      </c>
      <c r="L6" s="77">
        <f>B6</f>
        <v/>
      </c>
      <c r="M6" s="78">
        <f>SUMIF(OPERAÇÕES!B:B,L6,OPERAÇÕES!$F:F)</f>
        <v/>
      </c>
      <c r="N6" s="198">
        <f>IF(M6=0,0,SUMIF(OPERAÇÕES!B:B,L6,OPERAÇÕES!$G:G)/M6)</f>
        <v/>
      </c>
      <c r="O6" s="198">
        <f>N6*M6</f>
        <v/>
      </c>
      <c r="P6" s="199">
        <f>IFERROR(M6*F6,"0,00")</f>
        <v/>
      </c>
      <c r="Q6" s="200">
        <f>P6-O6</f>
        <v/>
      </c>
      <c r="R6" s="79">
        <f>IFERROR(Q6/O6,"0,00%")</f>
        <v/>
      </c>
      <c r="S6" s="195">
        <f>IFERROR(IF(AND(R6&lt;=SUM($R$3:$R$61))*E6-M6&lt;=0,"0",E6-M6),"0")</f>
        <v/>
      </c>
      <c r="T6" s="201">
        <f>IFERROR(IF(S6*F6&lt;F6*S6,0,S6*F6),"0,00")</f>
        <v/>
      </c>
      <c r="U6" s="197">
        <f>IFERROR(IF(R6&lt;H6,0,IF(M6&lt;E6,0,M6-E6)),"0")</f>
        <v/>
      </c>
    </row>
    <row r="7">
      <c r="A7" s="68">
        <f>IFERROR(H7/SUM($H$3:$H$42),0)</f>
        <v/>
      </c>
      <c r="B7" s="69" t="inlineStr">
        <is>
          <t>BIME11</t>
        </is>
      </c>
      <c r="C7" s="70">
        <f>IFERROR(VLOOKUP(B7,'Dados B3'!$1:$1048576,2,0),"-")</f>
        <v/>
      </c>
      <c r="D7" s="70">
        <f>IFERROR(VLOOKUP(B7,'Dados B3'!$1:$1048576,6,FALSE),"-")</f>
        <v/>
      </c>
      <c r="E7" s="189">
        <f>IFERROR((G7/F7)*100%,"0")</f>
        <v/>
      </c>
      <c r="F7" s="190">
        <f>IFERROR(VLOOKUP(B7,'Dados B3'!$1:$1048576,4,0),"0,00")</f>
        <v/>
      </c>
      <c r="G7" s="191">
        <f>SUM($P$3:$P$46)*A7</f>
        <v/>
      </c>
      <c r="H7" s="71">
        <f>IFERROR(_xlfn.NUMBERVALUE(VLOOKUP(B7,'Dados B3'!A:G,7,FALSE),","),0)</f>
        <v/>
      </c>
      <c r="J7" s="76">
        <f>C7</f>
        <v/>
      </c>
      <c r="K7" s="77">
        <f>D7</f>
        <v/>
      </c>
      <c r="L7" s="77">
        <f>B7</f>
        <v/>
      </c>
      <c r="M7" s="78">
        <f>SUMIF(OPERAÇÕES!B:B,L7,OPERAÇÕES!$F:F)</f>
        <v/>
      </c>
      <c r="N7" s="198">
        <f>IF(M7=0,0,SUMIF(OPERAÇÕES!B:B,L7,OPERAÇÕES!$G:G)/M7)</f>
        <v/>
      </c>
      <c r="O7" s="198">
        <f>N7*M7</f>
        <v/>
      </c>
      <c r="P7" s="199">
        <f>IFERROR(M7*F7,"0,00")</f>
        <v/>
      </c>
      <c r="Q7" s="200">
        <f>P7-O7</f>
        <v/>
      </c>
      <c r="R7" s="79">
        <f>IFERROR(Q7/O7,"0,00%")</f>
        <v/>
      </c>
      <c r="S7" s="195">
        <f>IFERROR(IF(AND(R7&lt;=SUM($R$3:$R$61))*E7-M7&lt;=0,"0",E7-M7),"0")</f>
        <v/>
      </c>
      <c r="T7" s="201">
        <f>IFERROR(IF(S7*F7&lt;F7*S7,0,S7*F7),"0,00")</f>
        <v/>
      </c>
      <c r="U7" s="197">
        <f>IFERROR(IF(R7&lt;H7,0,IF(M7&lt;E7,0,M7-E7)),"0")</f>
        <v/>
      </c>
    </row>
    <row r="8">
      <c r="A8" s="68">
        <f>IFERROR(H8/SUM($H$3:$H$42),0)</f>
        <v/>
      </c>
      <c r="B8" s="69" t="inlineStr">
        <is>
          <t>BTHF11</t>
        </is>
      </c>
      <c r="C8" s="70">
        <f>IFERROR(VLOOKUP(B8,'Dados B3'!$1:$1048576,2,0),"-")</f>
        <v/>
      </c>
      <c r="D8" s="70">
        <f>IFERROR(VLOOKUP(B8,'Dados B3'!$1:$1048576,6,FALSE),"-")</f>
        <v/>
      </c>
      <c r="E8" s="189">
        <f>IFERROR((G8/F8)*100%,"0")</f>
        <v/>
      </c>
      <c r="F8" s="190">
        <f>IFERROR(VLOOKUP(B8,'Dados B3'!$1:$1048576,4,0),"0,00")</f>
        <v/>
      </c>
      <c r="G8" s="191">
        <f>SUM($P$3:$P$46)*A8</f>
        <v/>
      </c>
      <c r="H8" s="71">
        <f>IFERROR(_xlfn.NUMBERVALUE(VLOOKUP(B8,'Dados B3'!A:G,7,FALSE),","),0)</f>
        <v/>
      </c>
      <c r="J8" s="76">
        <f>C8</f>
        <v/>
      </c>
      <c r="K8" s="77">
        <f>D8</f>
        <v/>
      </c>
      <c r="L8" s="77">
        <f>B8</f>
        <v/>
      </c>
      <c r="M8" s="78">
        <f>SUMIF(OPERAÇÕES!B:B,L8,OPERAÇÕES!$F:F)</f>
        <v/>
      </c>
      <c r="N8" s="198">
        <f>IF(M8=0,0,SUMIF(OPERAÇÕES!B:B,L8,OPERAÇÕES!$G:G)/M8)</f>
        <v/>
      </c>
      <c r="O8" s="198">
        <f>N8*M8</f>
        <v/>
      </c>
      <c r="P8" s="199">
        <f>IFERROR(M8*F8,"0,00")</f>
        <v/>
      </c>
      <c r="Q8" s="200">
        <f>P8-O8</f>
        <v/>
      </c>
      <c r="R8" s="79">
        <f>IFERROR(Q8/O8,"0,00%")</f>
        <v/>
      </c>
      <c r="S8" s="195">
        <f>IFERROR(IF(AND(R8&lt;=SUM($R$3:$R$61))*E8-M8&lt;=0,"0",E8-M8),"0")</f>
        <v/>
      </c>
      <c r="T8" s="201">
        <f>IFERROR(IF(S8*F8&lt;F8*S8,0,S8*F8),"0,00")</f>
        <v/>
      </c>
      <c r="U8" s="197">
        <f>IFERROR(IF(R8&lt;H8,0,IF(M8&lt;E8,0,M8-E8)),"0")</f>
        <v/>
      </c>
    </row>
    <row r="9">
      <c r="A9" s="68">
        <f>IFERROR(H9/SUM($H$3:$H$42),0)</f>
        <v/>
      </c>
      <c r="B9" s="69" t="inlineStr">
        <is>
          <t>CMIG4</t>
        </is>
      </c>
      <c r="C9" s="70">
        <f>IFERROR(VLOOKUP(B9,'Dados B3'!$1:$1048576,2,0),"-")</f>
        <v/>
      </c>
      <c r="D9" s="70">
        <f>IFERROR(VLOOKUP(B9,'Dados B3'!$1:$1048576,6,FALSE),"-")</f>
        <v/>
      </c>
      <c r="E9" s="189">
        <f>IFERROR((G9/F9)*100%,"0")</f>
        <v/>
      </c>
      <c r="F9" s="190">
        <f>IFERROR(VLOOKUP(B9,'Dados B3'!$1:$1048576,4,0),"0,00")</f>
        <v/>
      </c>
      <c r="G9" s="191">
        <f>SUM($P$3:$P$46)*A9</f>
        <v/>
      </c>
      <c r="H9" s="71">
        <f>IFERROR(_xlfn.NUMBERVALUE(VLOOKUP(B9,'Dados B3'!A:G,7,FALSE),","),0)</f>
        <v/>
      </c>
      <c r="J9" s="76">
        <f>C9</f>
        <v/>
      </c>
      <c r="K9" s="77">
        <f>D9</f>
        <v/>
      </c>
      <c r="L9" s="77">
        <f>B9</f>
        <v/>
      </c>
      <c r="M9" s="78">
        <f>SUMIF(OPERAÇÕES!B:B,L9,OPERAÇÕES!$F:F)</f>
        <v/>
      </c>
      <c r="N9" s="198">
        <f>IF(M9=0,0,SUMIF(OPERAÇÕES!B:B,L9,OPERAÇÕES!$G:G)/M9)</f>
        <v/>
      </c>
      <c r="O9" s="198">
        <f>N9*M9</f>
        <v/>
      </c>
      <c r="P9" s="199">
        <f>IFERROR(M9*F9,"0,00")</f>
        <v/>
      </c>
      <c r="Q9" s="200">
        <f>P9-O9</f>
        <v/>
      </c>
      <c r="R9" s="79">
        <f>IFERROR(Q9/O9,"0,00%")</f>
        <v/>
      </c>
      <c r="S9" s="195">
        <f>IFERROR(IF(AND(R9&lt;=SUM($R$3:$R$61))*E9-M9&lt;=0,"0",E9-M9),"0")</f>
        <v/>
      </c>
      <c r="T9" s="201">
        <f>IFERROR(IF(S9*F9&lt;F9*S9,0,S9*F9),"0,00")</f>
        <v/>
      </c>
      <c r="U9" s="197">
        <f>IFERROR(IF(R9&lt;H9,0,IF(M9&lt;E9,0,M9-E9)),"0")</f>
        <v/>
      </c>
    </row>
    <row r="10">
      <c r="A10" s="68">
        <f>IFERROR(H10/SUM($H$3:$H$42),0)</f>
        <v/>
      </c>
      <c r="B10" s="69" t="inlineStr">
        <is>
          <t>CPSH11</t>
        </is>
      </c>
      <c r="C10" s="70">
        <f>IFERROR(VLOOKUP(B10,'Dados B3'!$1:$1048576,2,0),"-")</f>
        <v/>
      </c>
      <c r="D10" s="70">
        <f>IFERROR(VLOOKUP(B10,'Dados B3'!$1:$1048576,6,FALSE),"-")</f>
        <v/>
      </c>
      <c r="E10" s="189">
        <f>IFERROR((G10/F10)*100%,"0")</f>
        <v/>
      </c>
      <c r="F10" s="190">
        <f>IFERROR(VLOOKUP(B10,'Dados B3'!$1:$1048576,4,0),"0,00")</f>
        <v/>
      </c>
      <c r="G10" s="191">
        <f>SUM($P$3:$P$46)*A10</f>
        <v/>
      </c>
      <c r="H10" s="71">
        <f>IFERROR(_xlfn.NUMBERVALUE(VLOOKUP(B10,'Dados B3'!A:G,7,FALSE),","),0)</f>
        <v/>
      </c>
      <c r="J10" s="76">
        <f>C10</f>
        <v/>
      </c>
      <c r="K10" s="77">
        <f>D10</f>
        <v/>
      </c>
      <c r="L10" s="77">
        <f>B10</f>
        <v/>
      </c>
      <c r="M10" s="78">
        <f>SUMIF(OPERAÇÕES!B:B,L10,OPERAÇÕES!$F:F)</f>
        <v/>
      </c>
      <c r="N10" s="198">
        <f>IF(M10=0,0,SUMIF(OPERAÇÕES!B:B,L10,OPERAÇÕES!$G:G)/M10)</f>
        <v/>
      </c>
      <c r="O10" s="198">
        <f>N10*M10</f>
        <v/>
      </c>
      <c r="P10" s="199">
        <f>IFERROR(M10*F10,"0,00")</f>
        <v/>
      </c>
      <c r="Q10" s="200">
        <f>P10-O10</f>
        <v/>
      </c>
      <c r="R10" s="79">
        <f>IFERROR(Q10/O10,"0,00%")</f>
        <v/>
      </c>
      <c r="S10" s="195">
        <f>IFERROR(IF(AND(R10&lt;=SUM($R$3:$R$61))*E10-M10&lt;=0,"0",E10-M10),"0")</f>
        <v/>
      </c>
      <c r="T10" s="201">
        <f>IFERROR(IF(S10*F10&lt;F10*S10,0,S10*F10),"0,00")</f>
        <v/>
      </c>
      <c r="U10" s="197">
        <f>IFERROR(IF(R10&lt;H10,0,IF(M10&lt;E10,0,M10-E10)),"0")</f>
        <v/>
      </c>
    </row>
    <row r="11">
      <c r="A11" s="68">
        <f>IFERROR(H11/SUM($H$3:$H$42),0)</f>
        <v/>
      </c>
      <c r="B11" s="69" t="inlineStr">
        <is>
          <t>CPTS11</t>
        </is>
      </c>
      <c r="C11" s="70">
        <f>IFERROR(VLOOKUP(B11,'Dados B3'!$1:$1048576,2,0),"-")</f>
        <v/>
      </c>
      <c r="D11" s="70">
        <f>IFERROR(VLOOKUP(B11,'Dados B3'!$1:$1048576,6,FALSE),"-")</f>
        <v/>
      </c>
      <c r="E11" s="189">
        <f>IFERROR((G11/F11)*100%,"0")</f>
        <v/>
      </c>
      <c r="F11" s="190">
        <f>IFERROR(VLOOKUP(B11,'Dados B3'!$1:$1048576,4,0),"0,00")</f>
        <v/>
      </c>
      <c r="G11" s="191">
        <f>SUM($P$3:$P$46)*A11</f>
        <v/>
      </c>
      <c r="H11" s="71">
        <f>IFERROR(_xlfn.NUMBERVALUE(VLOOKUP(B11,'Dados B3'!A:G,7,FALSE),","),0)</f>
        <v/>
      </c>
      <c r="J11" s="76">
        <f>C11</f>
        <v/>
      </c>
      <c r="K11" s="77">
        <f>D11</f>
        <v/>
      </c>
      <c r="L11" s="77">
        <f>B11</f>
        <v/>
      </c>
      <c r="M11" s="78">
        <f>SUMIF(OPERAÇÕES!B:B,L11,OPERAÇÕES!$F:F)</f>
        <v/>
      </c>
      <c r="N11" s="198">
        <f>IF(M11=0,0,SUMIF(OPERAÇÕES!B:B,L11,OPERAÇÕES!$G:G)/M11)</f>
        <v/>
      </c>
      <c r="O11" s="198">
        <f>N11*M11</f>
        <v/>
      </c>
      <c r="P11" s="199">
        <f>IFERROR(M11*F11,"0,00")</f>
        <v/>
      </c>
      <c r="Q11" s="200">
        <f>P11-O11</f>
        <v/>
      </c>
      <c r="R11" s="79">
        <f>IFERROR(Q11/O11,"0,00%")</f>
        <v/>
      </c>
      <c r="S11" s="195">
        <f>IFERROR(IF(AND(R11&lt;=SUM($R$3:$R$61))*E11-M11&lt;=0,"0",E11-M11),"0")</f>
        <v/>
      </c>
      <c r="T11" s="201">
        <f>IFERROR(IF(S11*F11&lt;F11*S11,0,S11*F11),"0,00")</f>
        <v/>
      </c>
      <c r="U11" s="197">
        <f>IFERROR(IF(R11&lt;H11,0,IF(M11&lt;E11,0,M11-E11)),"0")</f>
        <v/>
      </c>
    </row>
    <row r="12">
      <c r="A12" s="68">
        <f>IFERROR(H12/SUM($H$3:$H$42),0)</f>
        <v/>
      </c>
      <c r="B12" s="69" t="inlineStr">
        <is>
          <t>CURY3</t>
        </is>
      </c>
      <c r="C12" s="70">
        <f>IFERROR(VLOOKUP(B12,'Dados B3'!$1:$1048576,2,0),"-")</f>
        <v/>
      </c>
      <c r="D12" s="70">
        <f>IFERROR(VLOOKUP(B12,'Dados B3'!$1:$1048576,6,FALSE),"-")</f>
        <v/>
      </c>
      <c r="E12" s="189">
        <f>IFERROR((G12/F12)*100%,"0")</f>
        <v/>
      </c>
      <c r="F12" s="190">
        <f>IFERROR(VLOOKUP(B12,'Dados B3'!$1:$1048576,4,0),"0,00")</f>
        <v/>
      </c>
      <c r="G12" s="191">
        <f>SUM($P$3:$P$46)*A12</f>
        <v/>
      </c>
      <c r="H12" s="71">
        <f>IFERROR(_xlfn.NUMBERVALUE(VLOOKUP(B12,'Dados B3'!A:G,7,FALSE),","),0)</f>
        <v/>
      </c>
      <c r="J12" s="76">
        <f>C12</f>
        <v/>
      </c>
      <c r="K12" s="77">
        <f>D12</f>
        <v/>
      </c>
      <c r="L12" s="77">
        <f>B12</f>
        <v/>
      </c>
      <c r="M12" s="78">
        <f>SUMIF(OPERAÇÕES!B:B,L12,OPERAÇÕES!$F:F)</f>
        <v/>
      </c>
      <c r="N12" s="198">
        <f>IF(M12=0,0,SUMIF(OPERAÇÕES!B:B,L12,OPERAÇÕES!$G:G)/M12)</f>
        <v/>
      </c>
      <c r="O12" s="198">
        <f>N12*M12</f>
        <v/>
      </c>
      <c r="P12" s="199">
        <f>IFERROR(M12*F12,"0,00")</f>
        <v/>
      </c>
      <c r="Q12" s="200">
        <f>P12-O12</f>
        <v/>
      </c>
      <c r="R12" s="79">
        <f>IFERROR(Q12/O12,"0,00%")</f>
        <v/>
      </c>
      <c r="S12" s="195">
        <f>IFERROR(IF(AND(R12&lt;=SUM($R$3:$R$61))*E12-M12&lt;=0,"0",E12-M12),"0")</f>
        <v/>
      </c>
      <c r="T12" s="201">
        <f>IFERROR(IF(S12*F12&lt;F12*S12,0,S12*F12),"0,00")</f>
        <v/>
      </c>
      <c r="U12" s="197">
        <f>IFERROR(IF(R12&lt;H12,0,IF(M12&lt;E12,0,M12-E12)),"0")</f>
        <v/>
      </c>
    </row>
    <row r="13">
      <c r="A13" s="68">
        <f>IFERROR(H13/SUM($H$3:$H$42),0)</f>
        <v/>
      </c>
      <c r="B13" s="69" t="inlineStr">
        <is>
          <t>CXSE3</t>
        </is>
      </c>
      <c r="C13" s="70">
        <f>IFERROR(VLOOKUP(B13,'Dados B3'!$1:$1048576,2,0),"-")</f>
        <v/>
      </c>
      <c r="D13" s="70">
        <f>IFERROR(VLOOKUP(B13,'Dados B3'!$1:$1048576,6,FALSE),"-")</f>
        <v/>
      </c>
      <c r="E13" s="189">
        <f>IFERROR((G13/F13)*100%,"0")</f>
        <v/>
      </c>
      <c r="F13" s="190">
        <f>IFERROR(VLOOKUP(B13,'Dados B3'!$1:$1048576,4,0),"0,00")</f>
        <v/>
      </c>
      <c r="G13" s="191">
        <f>SUM($P$3:$P$46)*A13</f>
        <v/>
      </c>
      <c r="H13" s="71">
        <f>IFERROR(_xlfn.NUMBERVALUE(VLOOKUP(B13,'Dados B3'!A:G,7,FALSE),","),0)</f>
        <v/>
      </c>
      <c r="J13" s="76">
        <f>C13</f>
        <v/>
      </c>
      <c r="K13" s="77">
        <f>D13</f>
        <v/>
      </c>
      <c r="L13" s="77">
        <f>B13</f>
        <v/>
      </c>
      <c r="M13" s="78">
        <f>SUMIF(OPERAÇÕES!B:B,L13,OPERAÇÕES!$F:F)</f>
        <v/>
      </c>
      <c r="N13" s="198">
        <f>IF(M13=0,0,SUMIF(OPERAÇÕES!B:B,L13,OPERAÇÕES!$G:G)/M13)</f>
        <v/>
      </c>
      <c r="O13" s="198">
        <f>N13*M13</f>
        <v/>
      </c>
      <c r="P13" s="199">
        <f>IFERROR(M13*F13,"0,00")</f>
        <v/>
      </c>
      <c r="Q13" s="200">
        <f>P13-O13</f>
        <v/>
      </c>
      <c r="R13" s="79">
        <f>IFERROR(Q13/O13,"0,00%")</f>
        <v/>
      </c>
      <c r="S13" s="195">
        <f>IFERROR(IF(AND(R13&lt;=SUM($R$3:$R$61))*E13-M13&lt;=0,"0",E13-M13),"0")</f>
        <v/>
      </c>
      <c r="T13" s="201">
        <f>IFERROR(IF(S13*F13&lt;F13*S13,0,S13*F13),"0,00")</f>
        <v/>
      </c>
      <c r="U13" s="197">
        <f>IFERROR(IF(R13&lt;H13,0,IF(M13&lt;E13,0,M13-E13)),"0")</f>
        <v/>
      </c>
    </row>
    <row r="14">
      <c r="A14" s="68">
        <f>IFERROR(H14/SUM($H$3:$H$42),0)</f>
        <v/>
      </c>
      <c r="B14" s="69" t="inlineStr">
        <is>
          <t>CYRE3</t>
        </is>
      </c>
      <c r="C14" s="70">
        <f>IFERROR(VLOOKUP(B14,'Dados B3'!$1:$1048576,2,0),"-")</f>
        <v/>
      </c>
      <c r="D14" s="70">
        <f>IFERROR(VLOOKUP(B14,'Dados B3'!$1:$1048576,6,FALSE),"-")</f>
        <v/>
      </c>
      <c r="E14" s="189">
        <f>IFERROR((G14/F14)*100%,"0")</f>
        <v/>
      </c>
      <c r="F14" s="190">
        <f>IFERROR(VLOOKUP(B14,'Dados B3'!$1:$1048576,4,0),"0,00")</f>
        <v/>
      </c>
      <c r="G14" s="191">
        <f>SUM($P$3:$P$46)*A14</f>
        <v/>
      </c>
      <c r="H14" s="71">
        <f>IFERROR(_xlfn.NUMBERVALUE(VLOOKUP(B14,'Dados B3'!A:G,7,FALSE),","),0)</f>
        <v/>
      </c>
      <c r="J14" s="76">
        <f>C14</f>
        <v/>
      </c>
      <c r="K14" s="77">
        <f>D14</f>
        <v/>
      </c>
      <c r="L14" s="77">
        <f>B14</f>
        <v/>
      </c>
      <c r="M14" s="78">
        <f>SUMIF(OPERAÇÕES!B:B,L14,OPERAÇÕES!$F:F)</f>
        <v/>
      </c>
      <c r="N14" s="198">
        <f>IF(M14=0,0,SUMIF(OPERAÇÕES!B:B,L14,OPERAÇÕES!$G:G)/M14)</f>
        <v/>
      </c>
      <c r="O14" s="198">
        <f>N14*M14</f>
        <v/>
      </c>
      <c r="P14" s="199">
        <f>IFERROR(M14*F14,"0,00")</f>
        <v/>
      </c>
      <c r="Q14" s="200">
        <f>P14-O14</f>
        <v/>
      </c>
      <c r="R14" s="79">
        <f>IFERROR(Q14/O14,"0,00%")</f>
        <v/>
      </c>
      <c r="S14" s="195">
        <f>IFERROR(IF(AND(R14&lt;=SUM($R$3:$R$61))*E14-M14&lt;=0,"0",E14-M14),"0")</f>
        <v/>
      </c>
      <c r="T14" s="201">
        <f>IFERROR(IF(S14*F14&lt;F14*S14,0,S14*F14),"0,00")</f>
        <v/>
      </c>
      <c r="U14" s="197">
        <f>IFERROR(IF(R14&lt;H14,0,IF(M14&lt;E14,0,M14-E14)),"0")</f>
        <v/>
      </c>
    </row>
    <row r="15">
      <c r="A15" s="68">
        <f>IFERROR(H15/SUM($H$3:$H$42),0)</f>
        <v/>
      </c>
      <c r="B15" s="69" t="inlineStr">
        <is>
          <t>DEVA11</t>
        </is>
      </c>
      <c r="C15" s="70">
        <f>IFERROR(VLOOKUP(B15,'Dados B3'!$1:$1048576,2,0),"-")</f>
        <v/>
      </c>
      <c r="D15" s="70">
        <f>IFERROR(VLOOKUP(B15,'Dados B3'!$1:$1048576,6,FALSE),"-")</f>
        <v/>
      </c>
      <c r="E15" s="189">
        <f>IFERROR((G15/F15)*100%,"0")</f>
        <v/>
      </c>
      <c r="F15" s="190">
        <f>IFERROR(VLOOKUP(B15,'Dados B3'!$1:$1048576,4,0),"0,00")</f>
        <v/>
      </c>
      <c r="G15" s="191">
        <f>SUM($P$3:$P$46)*A15</f>
        <v/>
      </c>
      <c r="H15" s="71">
        <f>IFERROR(_xlfn.NUMBERVALUE(VLOOKUP(B15,'Dados B3'!A:G,7,FALSE),","),0)</f>
        <v/>
      </c>
      <c r="J15" s="76">
        <f>C15</f>
        <v/>
      </c>
      <c r="K15" s="77">
        <f>D15</f>
        <v/>
      </c>
      <c r="L15" s="77">
        <f>B15</f>
        <v/>
      </c>
      <c r="M15" s="78">
        <f>SUMIF(OPERAÇÕES!B:B,L15,OPERAÇÕES!$F:F)</f>
        <v/>
      </c>
      <c r="N15" s="198">
        <f>IF(M15=0,0,SUMIF(OPERAÇÕES!B:B,L15,OPERAÇÕES!$G:G)/M15)</f>
        <v/>
      </c>
      <c r="O15" s="198">
        <f>N15*M15</f>
        <v/>
      </c>
      <c r="P15" s="199">
        <f>IFERROR(M15*F15,"0,00")</f>
        <v/>
      </c>
      <c r="Q15" s="200">
        <f>P15-O15</f>
        <v/>
      </c>
      <c r="R15" s="79">
        <f>IFERROR(Q15/O15,"0,00%")</f>
        <v/>
      </c>
      <c r="S15" s="195">
        <f>IFERROR(IF(AND(R15&lt;=SUM($R$3:$R$61))*E15-M15&lt;=0,"0",E15-M15),"0")</f>
        <v/>
      </c>
      <c r="T15" s="201">
        <f>IFERROR(IF(S15*F15&lt;F15*S15,0,S15*F15),"0,00")</f>
        <v/>
      </c>
      <c r="U15" s="197">
        <f>IFERROR(IF(R15&lt;H15,0,IF(M15&lt;E15,0,M15-E15)),"0")</f>
        <v/>
      </c>
    </row>
    <row r="16">
      <c r="A16" s="68">
        <f>IFERROR(H16/SUM($H$3:$H$42),0)</f>
        <v/>
      </c>
      <c r="B16" s="69" t="inlineStr">
        <is>
          <t>DIRR3</t>
        </is>
      </c>
      <c r="C16" s="70">
        <f>IFERROR(VLOOKUP(B16,'Dados B3'!$1:$1048576,2,0),"-")</f>
        <v/>
      </c>
      <c r="D16" s="70">
        <f>IFERROR(VLOOKUP(B16,'Dados B3'!$1:$1048576,6,FALSE),"-")</f>
        <v/>
      </c>
      <c r="E16" s="189">
        <f>IFERROR((G16/F16)*100%,"0")</f>
        <v/>
      </c>
      <c r="F16" s="190">
        <f>IFERROR(VLOOKUP(B16,'Dados B3'!$1:$1048576,4,0),"0,00")</f>
        <v/>
      </c>
      <c r="G16" s="191">
        <f>SUM($P$3:$P$46)*A16</f>
        <v/>
      </c>
      <c r="H16" s="71">
        <f>IFERROR(_xlfn.NUMBERVALUE(VLOOKUP(B16,'Dados B3'!A:G,7,FALSE),","),0)</f>
        <v/>
      </c>
      <c r="J16" s="76">
        <f>C16</f>
        <v/>
      </c>
      <c r="K16" s="77">
        <f>D16</f>
        <v/>
      </c>
      <c r="L16" s="77">
        <f>B16</f>
        <v/>
      </c>
      <c r="M16" s="78">
        <f>SUMIF(OPERAÇÕES!B:B,L16,OPERAÇÕES!$F:F)</f>
        <v/>
      </c>
      <c r="N16" s="198">
        <f>IF(M16=0,0,SUMIF(OPERAÇÕES!B:B,L16,OPERAÇÕES!$G:G)/M16)</f>
        <v/>
      </c>
      <c r="O16" s="198">
        <f>N16*M16</f>
        <v/>
      </c>
      <c r="P16" s="199">
        <f>IFERROR(M16*F16,"0,00")</f>
        <v/>
      </c>
      <c r="Q16" s="200">
        <f>P16-O16</f>
        <v/>
      </c>
      <c r="R16" s="79">
        <f>IFERROR(Q16/O16,"0,00%")</f>
        <v/>
      </c>
      <c r="S16" s="195">
        <f>IFERROR(IF(AND(R16&lt;=SUM($R$3:$R$61))*E16-M16&lt;=0,"0",E16-M16),"0")</f>
        <v/>
      </c>
      <c r="T16" s="201">
        <f>IFERROR(IF(S16*F16&lt;F16*S16,0,S16*F16),"0,00")</f>
        <v/>
      </c>
      <c r="U16" s="197">
        <f>IFERROR(IF(R16&lt;H16,0,IF(M16&lt;E16,0,M16-E16)),"0")</f>
        <v/>
      </c>
    </row>
    <row r="17">
      <c r="A17" s="68">
        <f>IFERROR(H17/SUM($H$3:$H$42),0)</f>
        <v/>
      </c>
      <c r="B17" s="69" t="inlineStr">
        <is>
          <t>EQIR11</t>
        </is>
      </c>
      <c r="C17" s="70">
        <f>IFERROR(VLOOKUP(B17,'Dados B3'!$1:$1048576,2,0),"-")</f>
        <v/>
      </c>
      <c r="D17" s="70">
        <f>IFERROR(VLOOKUP(B17,'Dados B3'!$1:$1048576,6,FALSE),"-")</f>
        <v/>
      </c>
      <c r="E17" s="189">
        <f>IFERROR((G17/F17)*100%,"0")</f>
        <v/>
      </c>
      <c r="F17" s="190">
        <f>IFERROR(VLOOKUP(B17,'Dados B3'!$1:$1048576,4,0),"0,00")</f>
        <v/>
      </c>
      <c r="G17" s="191">
        <f>SUM($P$3:$P$46)*A17</f>
        <v/>
      </c>
      <c r="H17" s="71">
        <f>IFERROR(_xlfn.NUMBERVALUE(VLOOKUP(B17,'Dados B3'!A:G,7,FALSE),","),0)</f>
        <v/>
      </c>
      <c r="J17" s="76">
        <f>C17</f>
        <v/>
      </c>
      <c r="K17" s="77">
        <f>D17</f>
        <v/>
      </c>
      <c r="L17" s="77">
        <f>B17</f>
        <v/>
      </c>
      <c r="M17" s="78">
        <f>SUMIF(OPERAÇÕES!B:B,L17,OPERAÇÕES!$F:F)</f>
        <v/>
      </c>
      <c r="N17" s="198">
        <f>IF(M17=0,0,SUMIF(OPERAÇÕES!B:B,L17,OPERAÇÕES!$G:G)/M17)</f>
        <v/>
      </c>
      <c r="O17" s="198">
        <f>N17*M17</f>
        <v/>
      </c>
      <c r="P17" s="199">
        <f>IFERROR(M17*F17,"0,00")</f>
        <v/>
      </c>
      <c r="Q17" s="200">
        <f>P17-O17</f>
        <v/>
      </c>
      <c r="R17" s="79">
        <f>IFERROR(Q17/O17,"0,00%")</f>
        <v/>
      </c>
      <c r="S17" s="195">
        <f>IFERROR(IF(AND(R17&lt;=SUM($R$3:$R$61))*E17-M17&lt;=0,"0",E17-M17),"0")</f>
        <v/>
      </c>
      <c r="T17" s="201">
        <f>IFERROR(IF(S17*F17&lt;F17*S17,0,S17*F17),"0,00")</f>
        <v/>
      </c>
      <c r="U17" s="197">
        <f>IFERROR(IF(R17&lt;H17,0,IF(M17&lt;E17,0,M17-E17)),"0")</f>
        <v/>
      </c>
    </row>
    <row r="18">
      <c r="A18" s="68">
        <f>IFERROR(H18/SUM($H$3:$H$42),0)</f>
        <v/>
      </c>
      <c r="B18" s="69" t="inlineStr">
        <is>
          <t>FYTO11</t>
        </is>
      </c>
      <c r="C18" s="70">
        <f>IFERROR(VLOOKUP(B18,'Dados B3'!$1:$1048576,2,0),"-")</f>
        <v/>
      </c>
      <c r="D18" s="70">
        <f>IFERROR(VLOOKUP(B18,'Dados B3'!$1:$1048576,6,FALSE),"-")</f>
        <v/>
      </c>
      <c r="E18" s="189">
        <f>IFERROR((G18/F18)*100%,"0")</f>
        <v/>
      </c>
      <c r="F18" s="190">
        <f>IFERROR(VLOOKUP(B18,'Dados B3'!$1:$1048576,4,0),"0,00")</f>
        <v/>
      </c>
      <c r="G18" s="191">
        <f>SUM($P$3:$P$46)*A18</f>
        <v/>
      </c>
      <c r="H18" s="71">
        <f>IFERROR(_xlfn.NUMBERVALUE(VLOOKUP(B18,'Dados B3'!A:G,7,FALSE),","),0)</f>
        <v/>
      </c>
      <c r="J18" s="76">
        <f>C18</f>
        <v/>
      </c>
      <c r="K18" s="77">
        <f>D18</f>
        <v/>
      </c>
      <c r="L18" s="77">
        <f>B18</f>
        <v/>
      </c>
      <c r="M18" s="78">
        <f>SUMIF(OPERAÇÕES!B:B,L18,OPERAÇÕES!$F:F)</f>
        <v/>
      </c>
      <c r="N18" s="198">
        <f>IF(M18=0,0,SUMIF(OPERAÇÕES!B:B,L18,OPERAÇÕES!$G:G)/M18)</f>
        <v/>
      </c>
      <c r="O18" s="198">
        <f>N18*M18</f>
        <v/>
      </c>
      <c r="P18" s="199">
        <f>IFERROR(M18*F18,"0,00")</f>
        <v/>
      </c>
      <c r="Q18" s="200">
        <f>P18-O18</f>
        <v/>
      </c>
      <c r="R18" s="79">
        <f>IFERROR(Q18/O18,"0,00%")</f>
        <v/>
      </c>
      <c r="S18" s="195">
        <f>IFERROR(IF(AND(R18&lt;=SUM($R$3:$R$61))*E18-M18&lt;=0,"0",E18-M18),"0")</f>
        <v/>
      </c>
      <c r="T18" s="201">
        <f>IFERROR(IF(S18*F18&lt;F18*S18,0,S18*F18),"0,00")</f>
        <v/>
      </c>
      <c r="U18" s="197">
        <f>IFERROR(IF(R18&lt;H18,0,IF(M18&lt;E18,0,M18-E18)),"0")</f>
        <v/>
      </c>
    </row>
    <row r="19">
      <c r="A19" s="68">
        <f>IFERROR(H19/SUM($H$3:$H$42),0)</f>
        <v/>
      </c>
      <c r="B19" s="69" t="inlineStr">
        <is>
          <t>GARE11</t>
        </is>
      </c>
      <c r="C19" s="70">
        <f>IFERROR(VLOOKUP(B19,'Dados B3'!$1:$1048576,2,0),"-")</f>
        <v/>
      </c>
      <c r="D19" s="70">
        <f>IFERROR(VLOOKUP(B19,'Dados B3'!$1:$1048576,6,FALSE),"-")</f>
        <v/>
      </c>
      <c r="E19" s="189">
        <f>IFERROR((G19/F19)*100%,"0")</f>
        <v/>
      </c>
      <c r="F19" s="190">
        <f>IFERROR(VLOOKUP(B19,'Dados B3'!$1:$1048576,4,0),"0,00")</f>
        <v/>
      </c>
      <c r="G19" s="191">
        <f>SUM($P$3:$P$46)*A19</f>
        <v/>
      </c>
      <c r="H19" s="71">
        <f>IFERROR(_xlfn.NUMBERVALUE(VLOOKUP(B19,'Dados B3'!A:G,7,FALSE),","),0)</f>
        <v/>
      </c>
      <c r="J19" s="76">
        <f>C19</f>
        <v/>
      </c>
      <c r="K19" s="77">
        <f>D19</f>
        <v/>
      </c>
      <c r="L19" s="77">
        <f>B19</f>
        <v/>
      </c>
      <c r="M19" s="78">
        <f>SUMIF(OPERAÇÕES!B:B,L19,OPERAÇÕES!$F:F)</f>
        <v/>
      </c>
      <c r="N19" s="198">
        <f>IF(M19=0,0,SUMIF(OPERAÇÕES!B:B,L19,OPERAÇÕES!$G:G)/M19)</f>
        <v/>
      </c>
      <c r="O19" s="198">
        <f>N19*M19</f>
        <v/>
      </c>
      <c r="P19" s="199">
        <f>IFERROR(M19*F19,"0,00")</f>
        <v/>
      </c>
      <c r="Q19" s="200">
        <f>P19-O19</f>
        <v/>
      </c>
      <c r="R19" s="79">
        <f>IFERROR(Q19/O19,"0,00%")</f>
        <v/>
      </c>
      <c r="S19" s="195">
        <f>IFERROR(IF(AND(R19&lt;=SUM($R$3:$R$61))*E19-M19&lt;=0,"0",E19-M19),"0")</f>
        <v/>
      </c>
      <c r="T19" s="201">
        <f>IFERROR(IF(S19*F19&lt;F19*S19,0,S19*F19),"0,00")</f>
        <v/>
      </c>
      <c r="U19" s="197">
        <f>IFERROR(IF(R19&lt;H19,0,IF(M19&lt;E19,0,M19-E19)),"0")</f>
        <v/>
      </c>
    </row>
    <row r="20">
      <c r="A20" s="68">
        <f>IFERROR(H20/SUM($H$3:$H$42),0)</f>
        <v/>
      </c>
      <c r="B20" s="69" t="inlineStr">
        <is>
          <t>HGBL11</t>
        </is>
      </c>
      <c r="C20" s="70">
        <f>IFERROR(VLOOKUP(B20,'Dados B3'!$1:$1048576,2,0),"-")</f>
        <v/>
      </c>
      <c r="D20" s="70">
        <f>IFERROR(VLOOKUP(B20,'Dados B3'!$1:$1048576,6,FALSE),"-")</f>
        <v/>
      </c>
      <c r="E20" s="189">
        <f>IFERROR((G20/F20)*100%,"0")</f>
        <v/>
      </c>
      <c r="F20" s="190">
        <f>IFERROR(VLOOKUP(B20,'Dados B3'!$1:$1048576,4,0),"0,00")</f>
        <v/>
      </c>
      <c r="G20" s="191">
        <f>SUM($P$3:$P$46)*A20</f>
        <v/>
      </c>
      <c r="H20" s="71">
        <f>IFERROR(_xlfn.NUMBERVALUE(VLOOKUP(B20,'Dados B3'!A:G,7,FALSE),","),0)</f>
        <v/>
      </c>
      <c r="J20" s="76">
        <f>C20</f>
        <v/>
      </c>
      <c r="K20" s="77">
        <f>D20</f>
        <v/>
      </c>
      <c r="L20" s="77">
        <f>B20</f>
        <v/>
      </c>
      <c r="M20" s="78">
        <f>SUMIF(OPERAÇÕES!B:B,L20,OPERAÇÕES!$F:F)</f>
        <v/>
      </c>
      <c r="N20" s="198">
        <f>IF(M20=0,0,SUMIF(OPERAÇÕES!B:B,L20,OPERAÇÕES!$G:G)/M20)</f>
        <v/>
      </c>
      <c r="O20" s="198">
        <f>N20*M20</f>
        <v/>
      </c>
      <c r="P20" s="199">
        <f>IFERROR(M20*F20,"0,00")</f>
        <v/>
      </c>
      <c r="Q20" s="200">
        <f>P20-O20</f>
        <v/>
      </c>
      <c r="R20" s="79">
        <f>IFERROR(Q20/O20,"0,00%")</f>
        <v/>
      </c>
      <c r="S20" s="195">
        <f>IFERROR(IF(AND(R20&lt;=SUM($R$3:$R$61))*E20-M20&lt;=0,"0",E20-M20),"0")</f>
        <v/>
      </c>
      <c r="T20" s="201">
        <f>IFERROR(IF(S20*F20&lt;F20*S20,0,S20*F20),"0,00")</f>
        <v/>
      </c>
      <c r="U20" s="197">
        <f>IFERROR(IF(R20&lt;H20,0,IF(M20&lt;E20,0,M20-E20)),"0")</f>
        <v/>
      </c>
    </row>
    <row r="21">
      <c r="A21" s="68">
        <f>IFERROR(H21/SUM($H$3:$H$42),0)</f>
        <v/>
      </c>
      <c r="B21" s="69" t="inlineStr">
        <is>
          <t>IRIM11</t>
        </is>
      </c>
      <c r="C21" s="70">
        <f>IFERROR(VLOOKUP(B21,'Dados B3'!$1:$1048576,2,0),"-")</f>
        <v/>
      </c>
      <c r="D21" s="70">
        <f>IFERROR(VLOOKUP(B21,'Dados B3'!$1:$1048576,6,FALSE),"-")</f>
        <v/>
      </c>
      <c r="E21" s="189">
        <f>IFERROR((G21/F21)*100%,"0")</f>
        <v/>
      </c>
      <c r="F21" s="190">
        <f>IFERROR(VLOOKUP(B21,'Dados B3'!$1:$1048576,4,0),"0,00")</f>
        <v/>
      </c>
      <c r="G21" s="191">
        <f>SUM($P$3:$P$46)*A21</f>
        <v/>
      </c>
      <c r="H21" s="71">
        <f>IFERROR(_xlfn.NUMBERVALUE(VLOOKUP(B21,'Dados B3'!A:G,7,FALSE),","),0)</f>
        <v/>
      </c>
      <c r="J21" s="76">
        <f>C21</f>
        <v/>
      </c>
      <c r="K21" s="77">
        <f>D21</f>
        <v/>
      </c>
      <c r="L21" s="77">
        <f>B21</f>
        <v/>
      </c>
      <c r="M21" s="78">
        <f>SUMIF(OPERAÇÕES!B:B,L21,OPERAÇÕES!$F:F)</f>
        <v/>
      </c>
      <c r="N21" s="198">
        <f>IF(M21=0,0,SUMIF(OPERAÇÕES!B:B,L21,OPERAÇÕES!$G:G)/M21)</f>
        <v/>
      </c>
      <c r="O21" s="198">
        <f>N21*M21</f>
        <v/>
      </c>
      <c r="P21" s="199">
        <f>IFERROR(M21*F21,"0,00")</f>
        <v/>
      </c>
      <c r="Q21" s="200">
        <f>P21-O21</f>
        <v/>
      </c>
      <c r="R21" s="79">
        <f>IFERROR(Q21/O21,"0,00%")</f>
        <v/>
      </c>
      <c r="S21" s="195">
        <f>IFERROR(IF(AND(R21&lt;=SUM($R$3:$R$61))*E21-M21&lt;=0,"0",E21-M21),"0")</f>
        <v/>
      </c>
      <c r="T21" s="201">
        <f>IFERROR(IF(S21*F21&lt;F21*S21,0,S21*F21),"0,00")</f>
        <v/>
      </c>
      <c r="U21" s="197">
        <f>IFERROR(IF(R21&lt;H21,0,IF(M21&lt;E21,0,M21-E21)),"0")</f>
        <v/>
      </c>
    </row>
    <row r="22">
      <c r="A22" s="68">
        <f>IFERROR(H22/SUM($H$3:$H$42),0)</f>
        <v/>
      </c>
      <c r="B22" s="69" t="inlineStr">
        <is>
          <t>ITSA4</t>
        </is>
      </c>
      <c r="C22" s="70">
        <f>IFERROR(VLOOKUP(B22,'Dados B3'!$1:$1048576,2,0),"-")</f>
        <v/>
      </c>
      <c r="D22" s="70">
        <f>IFERROR(VLOOKUP(B22,'Dados B3'!$1:$1048576,6,FALSE),"-")</f>
        <v/>
      </c>
      <c r="E22" s="189">
        <f>IFERROR((G22/F22)*100%,"0")</f>
        <v/>
      </c>
      <c r="F22" s="190">
        <f>IFERROR(VLOOKUP(B22,'Dados B3'!$1:$1048576,4,0),"0,00")</f>
        <v/>
      </c>
      <c r="G22" s="191">
        <f>SUM($P$3:$P$46)*A22</f>
        <v/>
      </c>
      <c r="H22" s="71">
        <f>IFERROR(_xlfn.NUMBERVALUE(VLOOKUP(B22,'Dados B3'!A:G,7,FALSE),","),0)</f>
        <v/>
      </c>
      <c r="J22" s="76">
        <f>C22</f>
        <v/>
      </c>
      <c r="K22" s="77">
        <f>D22</f>
        <v/>
      </c>
      <c r="L22" s="77">
        <f>B22</f>
        <v/>
      </c>
      <c r="M22" s="78">
        <f>SUMIF(OPERAÇÕES!B:B,L22,OPERAÇÕES!$F:F)</f>
        <v/>
      </c>
      <c r="N22" s="198">
        <f>IF(M22=0,0,SUMIF(OPERAÇÕES!B:B,L22,OPERAÇÕES!$G:G)/M22)</f>
        <v/>
      </c>
      <c r="O22" s="198">
        <f>N22*M22</f>
        <v/>
      </c>
      <c r="P22" s="199">
        <f>IFERROR(M22*F22,"0,00")</f>
        <v/>
      </c>
      <c r="Q22" s="200">
        <f>P22-O22</f>
        <v/>
      </c>
      <c r="R22" s="79">
        <f>IFERROR(Q22/O22,"0,00%")</f>
        <v/>
      </c>
      <c r="S22" s="195">
        <f>IFERROR(IF(AND(R22&lt;=SUM($R$3:$R$61))*E22-M22&lt;=0,"0",E22-M22),"0")</f>
        <v/>
      </c>
      <c r="T22" s="201">
        <f>IFERROR(IF(S22*F22&lt;F22*S22,0,S22*F22),"0,00")</f>
        <v/>
      </c>
      <c r="U22" s="197">
        <f>IFERROR(IF(R22&lt;H22,0,IF(M22&lt;E22,0,M22-E22)),"0")</f>
        <v/>
      </c>
    </row>
    <row r="23">
      <c r="A23" s="68">
        <f>IFERROR(H23/SUM($H$3:$H$42),0)</f>
        <v/>
      </c>
      <c r="B23" s="69" t="inlineStr">
        <is>
          <t>ITUB4</t>
        </is>
      </c>
      <c r="C23" s="70">
        <f>IFERROR(VLOOKUP(B23,'Dados B3'!$1:$1048576,2,0),"-")</f>
        <v/>
      </c>
      <c r="D23" s="70">
        <f>IFERROR(VLOOKUP(B23,'Dados B3'!$1:$1048576,6,FALSE),"-")</f>
        <v/>
      </c>
      <c r="E23" s="189">
        <f>IFERROR((G23/F23)*100%,"0")</f>
        <v/>
      </c>
      <c r="F23" s="190">
        <f>IFERROR(VLOOKUP(B23,'Dados B3'!$1:$1048576,4,0),"0,00")</f>
        <v/>
      </c>
      <c r="G23" s="191">
        <f>SUM($P$3:$P$46)*A23</f>
        <v/>
      </c>
      <c r="H23" s="71">
        <f>IFERROR(_xlfn.NUMBERVALUE(VLOOKUP(B23,'Dados B3'!A:G,7,FALSE),","),0)</f>
        <v/>
      </c>
      <c r="J23" s="76">
        <f>C23</f>
        <v/>
      </c>
      <c r="K23" s="77">
        <f>D23</f>
        <v/>
      </c>
      <c r="L23" s="77">
        <f>B23</f>
        <v/>
      </c>
      <c r="M23" s="78">
        <f>SUMIF(OPERAÇÕES!B:B,L23,OPERAÇÕES!$F:F)</f>
        <v/>
      </c>
      <c r="N23" s="198">
        <f>IF(M23=0,0,SUMIF(OPERAÇÕES!B:B,L23,OPERAÇÕES!$G:G)/M23)</f>
        <v/>
      </c>
      <c r="O23" s="198">
        <f>N23*M23</f>
        <v/>
      </c>
      <c r="P23" s="199">
        <f>IFERROR(M23*F23,"0,00")</f>
        <v/>
      </c>
      <c r="Q23" s="200">
        <f>P23-O23</f>
        <v/>
      </c>
      <c r="R23" s="79">
        <f>IFERROR(Q23/O23,"0,00%")</f>
        <v/>
      </c>
      <c r="S23" s="195">
        <f>IFERROR(IF(AND(R23&lt;=SUM($R$3:$R$61))*E23-M23&lt;=0,"0",E23-M23),"0")</f>
        <v/>
      </c>
      <c r="T23" s="201">
        <f>IFERROR(IF(S23*F23&lt;F23*S23,0,S23*F23),"0,00")</f>
        <v/>
      </c>
      <c r="U23" s="197">
        <f>IFERROR(IF(R23&lt;H23,0,IF(M23&lt;E23,0,M23-E23)),"0")</f>
        <v/>
      </c>
    </row>
    <row r="24">
      <c r="A24" s="68">
        <f>IFERROR(H24/SUM($H$3:$H$42),0)</f>
        <v/>
      </c>
      <c r="B24" s="69" t="inlineStr">
        <is>
          <t>KISU11</t>
        </is>
      </c>
      <c r="C24" s="70">
        <f>IFERROR(VLOOKUP(B24,'Dados B3'!$1:$1048576,2,0),"-")</f>
        <v/>
      </c>
      <c r="D24" s="70">
        <f>IFERROR(VLOOKUP(B24,'Dados B3'!$1:$1048576,6,FALSE),"-")</f>
        <v/>
      </c>
      <c r="E24" s="189">
        <f>IFERROR((G24/F24)*100%,"0")</f>
        <v/>
      </c>
      <c r="F24" s="190">
        <f>IFERROR(VLOOKUP(B24,'Dados B3'!$1:$1048576,4,0),"0,00")</f>
        <v/>
      </c>
      <c r="G24" s="191">
        <f>SUM($P$3:$P$46)*A24</f>
        <v/>
      </c>
      <c r="H24" s="71">
        <f>IFERROR(_xlfn.NUMBERVALUE(VLOOKUP(B24,'Dados B3'!A:G,7,FALSE),","),0)</f>
        <v/>
      </c>
      <c r="J24" s="76">
        <f>C24</f>
        <v/>
      </c>
      <c r="K24" s="77">
        <f>D24</f>
        <v/>
      </c>
      <c r="L24" s="77">
        <f>B24</f>
        <v/>
      </c>
      <c r="M24" s="78">
        <f>SUMIF(OPERAÇÕES!B:B,L24,OPERAÇÕES!$F:F)</f>
        <v/>
      </c>
      <c r="N24" s="198">
        <f>IF(M24=0,0,SUMIF(OPERAÇÕES!B:B,L24,OPERAÇÕES!$G:G)/M24)</f>
        <v/>
      </c>
      <c r="O24" s="198">
        <f>N24*M24</f>
        <v/>
      </c>
      <c r="P24" s="199">
        <f>IFERROR(M24*F24,"0,00")</f>
        <v/>
      </c>
      <c r="Q24" s="200">
        <f>P24-O24</f>
        <v/>
      </c>
      <c r="R24" s="79">
        <f>IFERROR(Q24/O24,"0,00%")</f>
        <v/>
      </c>
      <c r="S24" s="195">
        <f>IFERROR(IF(AND(R24&lt;=SUM($R$3:$R$61))*E24-M24&lt;=0,"0",E24-M24),"0")</f>
        <v/>
      </c>
      <c r="T24" s="201">
        <f>IFERROR(IF(S24*F24&lt;F24*S24,0,S24*F24),"0,00")</f>
        <v/>
      </c>
      <c r="U24" s="197">
        <f>IFERROR(IF(R24&lt;H24,0,IF(M24&lt;E24,0,M24-E24)),"0")</f>
        <v/>
      </c>
    </row>
    <row r="25">
      <c r="A25" s="68">
        <f>IFERROR(H25/SUM($H$3:$H$42),0)</f>
        <v/>
      </c>
      <c r="B25" s="69" t="inlineStr">
        <is>
          <t>LIFE11</t>
        </is>
      </c>
      <c r="C25" s="70">
        <f>IFERROR(VLOOKUP(B25,'Dados B3'!$1:$1048576,2,0),"-")</f>
        <v/>
      </c>
      <c r="D25" s="70">
        <f>IFERROR(VLOOKUP(B25,'Dados B3'!$1:$1048576,6,FALSE),"-")</f>
        <v/>
      </c>
      <c r="E25" s="189">
        <f>IFERROR((G25/F25)*100%,"0")</f>
        <v/>
      </c>
      <c r="F25" s="190">
        <f>IFERROR(VLOOKUP(B25,'Dados B3'!$1:$1048576,4,0),"0,00")</f>
        <v/>
      </c>
      <c r="G25" s="191">
        <f>SUM($P$3:$P$46)*A25</f>
        <v/>
      </c>
      <c r="H25" s="71">
        <f>IFERROR(_xlfn.NUMBERVALUE(VLOOKUP(B25,'Dados B3'!A:G,7,FALSE),","),0)</f>
        <v/>
      </c>
      <c r="J25" s="76">
        <f>C25</f>
        <v/>
      </c>
      <c r="K25" s="77">
        <f>D25</f>
        <v/>
      </c>
      <c r="L25" s="77">
        <f>B25</f>
        <v/>
      </c>
      <c r="M25" s="78">
        <f>SUMIF(OPERAÇÕES!B:B,L25,OPERAÇÕES!$F:F)</f>
        <v/>
      </c>
      <c r="N25" s="198">
        <f>IF(M25=0,0,SUMIF(OPERAÇÕES!B:B,L25,OPERAÇÕES!$G:G)/M25)</f>
        <v/>
      </c>
      <c r="O25" s="198">
        <f>N25*M25</f>
        <v/>
      </c>
      <c r="P25" s="199">
        <f>IFERROR(M25*F25,"0,00")</f>
        <v/>
      </c>
      <c r="Q25" s="200">
        <f>P25-O25</f>
        <v/>
      </c>
      <c r="R25" s="79">
        <f>IFERROR(Q25/O25,"0,00%")</f>
        <v/>
      </c>
      <c r="S25" s="195">
        <f>IFERROR(IF(AND(R25&lt;=SUM($R$3:$R$61))*E25-M25&lt;=0,"0",E25-M25),"0")</f>
        <v/>
      </c>
      <c r="T25" s="201">
        <f>IFERROR(IF(S25*F25&lt;F25*S25,0,S25*F25),"0,00")</f>
        <v/>
      </c>
      <c r="U25" s="197">
        <f>IFERROR(IF(R25&lt;H25,0,IF(M25&lt;E25,0,M25-E25)),"0")</f>
        <v/>
      </c>
    </row>
    <row r="26">
      <c r="A26" s="68">
        <f>IFERROR(H26/SUM($H$3:$H$42),0)</f>
        <v/>
      </c>
      <c r="B26" s="69" t="inlineStr">
        <is>
          <t>MCCI11</t>
        </is>
      </c>
      <c r="C26" s="70">
        <f>IFERROR(VLOOKUP(B26,'Dados B3'!$1:$1048576,2,0),"-")</f>
        <v/>
      </c>
      <c r="D26" s="70">
        <f>IFERROR(VLOOKUP(B26,'Dados B3'!$1:$1048576,6,FALSE),"-")</f>
        <v/>
      </c>
      <c r="E26" s="189">
        <f>IFERROR((G26/F26)*100%,"0")</f>
        <v/>
      </c>
      <c r="F26" s="190">
        <f>IFERROR(VLOOKUP(B26,'Dados B3'!$1:$1048576,4,0),"0,00")</f>
        <v/>
      </c>
      <c r="G26" s="191">
        <f>SUM($P$3:$P$46)*A26</f>
        <v/>
      </c>
      <c r="H26" s="71">
        <f>IFERROR(_xlfn.NUMBERVALUE(VLOOKUP(B26,'Dados B3'!A:G,7,FALSE),","),0)</f>
        <v/>
      </c>
      <c r="J26" s="76">
        <f>C26</f>
        <v/>
      </c>
      <c r="K26" s="77">
        <f>D26</f>
        <v/>
      </c>
      <c r="L26" s="77">
        <f>B26</f>
        <v/>
      </c>
      <c r="M26" s="78">
        <f>SUMIF(OPERAÇÕES!B:B,L26,OPERAÇÕES!$F:F)</f>
        <v/>
      </c>
      <c r="N26" s="198">
        <f>IF(M26=0,0,SUMIF(OPERAÇÕES!B:B,L26,OPERAÇÕES!$G:G)/M26)</f>
        <v/>
      </c>
      <c r="O26" s="198">
        <f>N26*M26</f>
        <v/>
      </c>
      <c r="P26" s="199">
        <f>IFERROR(M26*F26,"0,00")</f>
        <v/>
      </c>
      <c r="Q26" s="200">
        <f>P26-O26</f>
        <v/>
      </c>
      <c r="R26" s="79">
        <f>IFERROR(Q26/O26,"0,00%")</f>
        <v/>
      </c>
      <c r="S26" s="195">
        <f>IFERROR(IF(AND(R26&lt;=SUM($R$3:$R$61))*E26-M26&lt;=0,"0",E26-M26),"0")</f>
        <v/>
      </c>
      <c r="T26" s="201">
        <f>IFERROR(IF(S26*F26&lt;F26*S26,0,S26*F26),"0,00")</f>
        <v/>
      </c>
      <c r="U26" s="197">
        <f>IFERROR(IF(R26&lt;H26,0,IF(M26&lt;E26,0,M26-E26)),"0")</f>
        <v/>
      </c>
    </row>
    <row r="27">
      <c r="A27" s="68">
        <f>IFERROR(H27/SUM($H$3:$H$42),0)</f>
        <v/>
      </c>
      <c r="B27" s="69" t="inlineStr">
        <is>
          <t>PETR4</t>
        </is>
      </c>
      <c r="C27" s="70">
        <f>IFERROR(VLOOKUP(B27,'Dados B3'!$1:$1048576,2,0),"-")</f>
        <v/>
      </c>
      <c r="D27" s="70">
        <f>IFERROR(VLOOKUP(B27,'Dados B3'!$1:$1048576,6,FALSE),"-")</f>
        <v/>
      </c>
      <c r="E27" s="189">
        <f>IFERROR((G27/F27)*100%,"0")</f>
        <v/>
      </c>
      <c r="F27" s="190">
        <f>IFERROR(VLOOKUP(B27,'Dados B3'!$1:$1048576,4,0),"0,00")</f>
        <v/>
      </c>
      <c r="G27" s="191">
        <f>SUM($P$3:$P$46)*A27</f>
        <v/>
      </c>
      <c r="H27" s="71">
        <f>IFERROR(_xlfn.NUMBERVALUE(VLOOKUP(B27,'Dados B3'!A:G,7,FALSE),","),0)</f>
        <v/>
      </c>
      <c r="J27" s="76">
        <f>C27</f>
        <v/>
      </c>
      <c r="K27" s="77">
        <f>D27</f>
        <v/>
      </c>
      <c r="L27" s="77">
        <f>B27</f>
        <v/>
      </c>
      <c r="M27" s="78">
        <f>SUMIF(OPERAÇÕES!B:B,L27,OPERAÇÕES!$F:F)</f>
        <v/>
      </c>
      <c r="N27" s="198">
        <f>IF(M27=0,0,SUMIF(OPERAÇÕES!B:B,L27,OPERAÇÕES!$G:G)/M27)</f>
        <v/>
      </c>
      <c r="O27" s="198">
        <f>N27*M27</f>
        <v/>
      </c>
      <c r="P27" s="199">
        <f>IFERROR(M27*F27,"0,00")</f>
        <v/>
      </c>
      <c r="Q27" s="200">
        <f>P27-O27</f>
        <v/>
      </c>
      <c r="R27" s="79">
        <f>IFERROR(Q27/O27,"0,00%")</f>
        <v/>
      </c>
      <c r="S27" s="195">
        <f>IFERROR(IF(AND(R27&lt;=SUM($R$3:$R$61))*E27-M27&lt;=0,"0",E27-M27),"0")</f>
        <v/>
      </c>
      <c r="T27" s="201">
        <f>IFERROR(IF(S27*F27&lt;F27*S27,0,S27*F27),"0,00")</f>
        <v/>
      </c>
      <c r="U27" s="197">
        <f>IFERROR(IF(R27&lt;H27,0,IF(M27&lt;E27,0,M27-E27)),"0")</f>
        <v/>
      </c>
    </row>
    <row r="28">
      <c r="A28" s="68">
        <f>IFERROR(H28/SUM($H$3:$H$42),0)</f>
        <v/>
      </c>
      <c r="B28" s="69" t="inlineStr">
        <is>
          <t>POMO4</t>
        </is>
      </c>
      <c r="C28" s="70">
        <f>IFERROR(VLOOKUP(B28,'Dados B3'!$1:$1048576,2,0),"-")</f>
        <v/>
      </c>
      <c r="D28" s="70">
        <f>IFERROR(VLOOKUP(B28,'Dados B3'!$1:$1048576,6,FALSE),"-")</f>
        <v/>
      </c>
      <c r="E28" s="189">
        <f>IFERROR((G28/F28)*100%,"0")</f>
        <v/>
      </c>
      <c r="F28" s="190">
        <f>IFERROR(VLOOKUP(B28,'Dados B3'!$1:$1048576,4,0),"0,00")</f>
        <v/>
      </c>
      <c r="G28" s="191">
        <f>SUM($P$3:$P$46)*A28</f>
        <v/>
      </c>
      <c r="H28" s="71">
        <f>IFERROR(_xlfn.NUMBERVALUE(VLOOKUP(B28,'Dados B3'!A:G,7,FALSE),","),0)</f>
        <v/>
      </c>
      <c r="J28" s="76">
        <f>C28</f>
        <v/>
      </c>
      <c r="K28" s="77">
        <f>D28</f>
        <v/>
      </c>
      <c r="L28" s="77">
        <f>B28</f>
        <v/>
      </c>
      <c r="M28" s="78">
        <f>SUMIF(OPERAÇÕES!B:B,L28,OPERAÇÕES!$F:F)</f>
        <v/>
      </c>
      <c r="N28" s="198">
        <f>IF(M28=0,0,SUMIF(OPERAÇÕES!B:B,L28,OPERAÇÕES!$G:G)/M28)</f>
        <v/>
      </c>
      <c r="O28" s="198">
        <f>N28*M28</f>
        <v/>
      </c>
      <c r="P28" s="199">
        <f>IFERROR(M28*F28,"0,00")</f>
        <v/>
      </c>
      <c r="Q28" s="200">
        <f>P28-O28</f>
        <v/>
      </c>
      <c r="R28" s="79">
        <f>IFERROR(Q28/O28,"0,00%")</f>
        <v/>
      </c>
      <c r="S28" s="195">
        <f>IFERROR(IF(AND(R28&lt;=SUM($R$3:$R$61))*E28-M28&lt;=0,"0",E28-M28),"0")</f>
        <v/>
      </c>
      <c r="T28" s="201">
        <f>IFERROR(IF(S28*F28&lt;F28*S28,0,S28*F28),"0,00")</f>
        <v/>
      </c>
      <c r="U28" s="197">
        <f>IFERROR(IF(R28&lt;H28,0,IF(M28&lt;E28,0,M28-E28)),"0")</f>
        <v/>
      </c>
    </row>
    <row r="29">
      <c r="A29" s="68">
        <f>IFERROR(H29/SUM($H$3:$H$42),0)</f>
        <v/>
      </c>
      <c r="B29" s="69" t="inlineStr">
        <is>
          <t>RAIZ4</t>
        </is>
      </c>
      <c r="C29" s="70">
        <f>IFERROR(VLOOKUP(B29,'Dados B3'!$1:$1048576,2,0),"-")</f>
        <v/>
      </c>
      <c r="D29" s="70">
        <f>IFERROR(VLOOKUP(B29,'Dados B3'!$1:$1048576,6,FALSE),"-")</f>
        <v/>
      </c>
      <c r="E29" s="189">
        <f>IFERROR((G29/F29)*100%,"0")</f>
        <v/>
      </c>
      <c r="F29" s="190">
        <f>IFERROR(VLOOKUP(B29,'Dados B3'!$1:$1048576,4,0),"0,00")</f>
        <v/>
      </c>
      <c r="G29" s="191">
        <f>SUM($P$3:$P$46)*A29</f>
        <v/>
      </c>
      <c r="H29" s="71">
        <f>IFERROR(_xlfn.NUMBERVALUE(VLOOKUP(B29,'Dados B3'!A:G,7,FALSE),","),0)</f>
        <v/>
      </c>
      <c r="J29" s="76">
        <f>C29</f>
        <v/>
      </c>
      <c r="K29" s="77">
        <f>D29</f>
        <v/>
      </c>
      <c r="L29" s="77">
        <f>B29</f>
        <v/>
      </c>
      <c r="M29" s="78">
        <f>SUMIF(OPERAÇÕES!B:B,L29,OPERAÇÕES!$F:F)</f>
        <v/>
      </c>
      <c r="N29" s="198">
        <f>IF(M29=0,0,SUMIF(OPERAÇÕES!B:B,L29,OPERAÇÕES!$G:G)/M29)</f>
        <v/>
      </c>
      <c r="O29" s="198">
        <f>N29*M29</f>
        <v/>
      </c>
      <c r="P29" s="199">
        <f>IFERROR(M29*F29,"0,00")</f>
        <v/>
      </c>
      <c r="Q29" s="200">
        <f>P29-O29</f>
        <v/>
      </c>
      <c r="R29" s="79">
        <f>IFERROR(Q29/O29,"0,00%")</f>
        <v/>
      </c>
      <c r="S29" s="195">
        <f>IFERROR(IF(AND(R29&lt;=SUM($R$3:$R$61))*E29-M29&lt;=0,"0",E29-M29),"0")</f>
        <v/>
      </c>
      <c r="T29" s="201">
        <f>IFERROR(IF(S29*F29&lt;F29*S29,0,S29*F29),"0,00")</f>
        <v/>
      </c>
      <c r="U29" s="197">
        <f>IFERROR(IF(R29&lt;H29,0,IF(M29&lt;E29,0,M29-E29)),"0")</f>
        <v/>
      </c>
    </row>
    <row r="30">
      <c r="A30" s="68">
        <f>IFERROR(H30/SUM($H$3:$H$42),0)</f>
        <v/>
      </c>
      <c r="B30" s="69" t="inlineStr">
        <is>
          <t>RECV3</t>
        </is>
      </c>
      <c r="C30" s="70">
        <f>IFERROR(VLOOKUP(B30,'Dados B3'!$1:$1048576,2,0),"-")</f>
        <v/>
      </c>
      <c r="D30" s="70">
        <f>IFERROR(VLOOKUP(B30,'Dados B3'!$1:$1048576,6,FALSE),"-")</f>
        <v/>
      </c>
      <c r="E30" s="189">
        <f>IFERROR((G30/F30)*100%,"0")</f>
        <v/>
      </c>
      <c r="F30" s="190">
        <f>IFERROR(VLOOKUP(B30,'Dados B3'!$1:$1048576,4,0),"0,00")</f>
        <v/>
      </c>
      <c r="G30" s="191">
        <f>SUM($P$3:$P$46)*A30</f>
        <v/>
      </c>
      <c r="H30" s="71">
        <f>IFERROR(_xlfn.NUMBERVALUE(VLOOKUP(B30,'Dados B3'!A:G,7,FALSE),","),0)</f>
        <v/>
      </c>
      <c r="J30" s="76">
        <f>C30</f>
        <v/>
      </c>
      <c r="K30" s="77">
        <f>D30</f>
        <v/>
      </c>
      <c r="L30" s="77">
        <f>B30</f>
        <v/>
      </c>
      <c r="M30" s="78">
        <f>SUMIF(OPERAÇÕES!B:B,L30,OPERAÇÕES!$F:F)</f>
        <v/>
      </c>
      <c r="N30" s="198">
        <f>IF(M30=0,0,SUMIF(OPERAÇÕES!B:B,L30,OPERAÇÕES!$G:G)/M30)</f>
        <v/>
      </c>
      <c r="O30" s="198">
        <f>N30*M30</f>
        <v/>
      </c>
      <c r="P30" s="199">
        <f>IFERROR(M30*F30,"0,00")</f>
        <v/>
      </c>
      <c r="Q30" s="200">
        <f>P30-O30</f>
        <v/>
      </c>
      <c r="R30" s="79">
        <f>IFERROR(Q30/O30,"0,00%")</f>
        <v/>
      </c>
      <c r="S30" s="195">
        <f>IFERROR(IF(AND(R30&lt;=SUM($R$3:$R$61))*E30-M30&lt;=0,"0",E30-M30),"0")</f>
        <v/>
      </c>
      <c r="T30" s="201">
        <f>IFERROR(IF(S30*F30&lt;F30*S30,0,S30*F30),"0,00")</f>
        <v/>
      </c>
      <c r="U30" s="197">
        <f>IFERROR(IF(R30&lt;H30,0,IF(M30&lt;E30,0,M30-E30)),"0")</f>
        <v/>
      </c>
    </row>
    <row r="31">
      <c r="A31" s="68">
        <f>IFERROR(H31/SUM($H$3:$H$42),0)</f>
        <v/>
      </c>
      <c r="B31" s="48" t="inlineStr">
        <is>
          <t>SNAG11</t>
        </is>
      </c>
      <c r="C31" s="70">
        <f>IFERROR(VLOOKUP(B31,'Dados B3'!$1:$1048576,2,0),"-")</f>
        <v/>
      </c>
      <c r="D31" s="70">
        <f>IFERROR(VLOOKUP(B31,'Dados B3'!$1:$1048576,6,FALSE),"-")</f>
        <v/>
      </c>
      <c r="E31" s="189">
        <f>IFERROR((G31/F31)*100%,"0")</f>
        <v/>
      </c>
      <c r="F31" s="190">
        <f>IFERROR(VLOOKUP(B31,'Dados B3'!$1:$1048576,4,0),"0,00")</f>
        <v/>
      </c>
      <c r="G31" s="191">
        <f>SUM($P$3:$P$46)*A31</f>
        <v/>
      </c>
      <c r="H31" s="71">
        <f>IFERROR(_xlfn.NUMBERVALUE(VLOOKUP(B31,'Dados B3'!A:G,7,FALSE),","),0)</f>
        <v/>
      </c>
      <c r="J31" s="76">
        <f>C31</f>
        <v/>
      </c>
      <c r="K31" s="77">
        <f>D31</f>
        <v/>
      </c>
      <c r="L31" s="77">
        <f>B31</f>
        <v/>
      </c>
      <c r="M31" s="78">
        <f>SUMIF(OPERAÇÕES!B:B,L31,OPERAÇÕES!$F:F)</f>
        <v/>
      </c>
      <c r="N31" s="198">
        <f>IF(M31=0,0,SUMIF(OPERAÇÕES!B:B,L31,OPERAÇÕES!$G:G)/M31)</f>
        <v/>
      </c>
      <c r="O31" s="198">
        <f>N31*M31</f>
        <v/>
      </c>
      <c r="P31" s="199">
        <f>IFERROR(M31*F31,"0,00")</f>
        <v/>
      </c>
      <c r="Q31" s="200">
        <f>P31-O31</f>
        <v/>
      </c>
      <c r="R31" s="79">
        <f>IFERROR(Q31/O31,"0,00%")</f>
        <v/>
      </c>
      <c r="S31" s="195">
        <f>IFERROR(IF(AND(R31&lt;=SUM($R$3:$R$61))*E31-M31&lt;=0,"0",E31-M31),"0")</f>
        <v/>
      </c>
      <c r="T31" s="201">
        <f>IFERROR(IF(S31*F31&lt;F31*S31,0,S31*F31),"0,00")</f>
        <v/>
      </c>
      <c r="U31" s="197">
        <f>IFERROR(IF(R31&lt;H31,0,IF(M31&lt;E31,0,M31-E31)),"0")</f>
        <v/>
      </c>
    </row>
    <row r="32">
      <c r="A32" s="68">
        <f>IFERROR(H32/SUM($H$3:$H$42),0)</f>
        <v/>
      </c>
      <c r="B32" s="48" t="inlineStr">
        <is>
          <t>TEPP11</t>
        </is>
      </c>
      <c r="C32" s="70">
        <f>IFERROR(VLOOKUP(B32,'Dados B3'!$1:$1048576,2,0),"-")</f>
        <v/>
      </c>
      <c r="D32" s="70">
        <f>IFERROR(VLOOKUP(B32,'Dados B3'!$1:$1048576,6,FALSE),"-")</f>
        <v/>
      </c>
      <c r="E32" s="189">
        <f>IFERROR((G32/F32)*100%,"0")</f>
        <v/>
      </c>
      <c r="F32" s="190">
        <f>IFERROR(VLOOKUP(B32,'Dados B3'!$1:$1048576,4,0),"0,00")</f>
        <v/>
      </c>
      <c r="G32" s="191">
        <f>SUM($P$3:$P$46)*A32</f>
        <v/>
      </c>
      <c r="H32" s="71">
        <f>IFERROR(_xlfn.NUMBERVALUE(VLOOKUP(B32,'Dados B3'!A:G,7,FALSE),","),0)</f>
        <v/>
      </c>
      <c r="J32" s="76">
        <f>C32</f>
        <v/>
      </c>
      <c r="K32" s="77">
        <f>D32</f>
        <v/>
      </c>
      <c r="L32" s="77">
        <f>B32</f>
        <v/>
      </c>
      <c r="M32" s="78">
        <f>SUMIF(OPERAÇÕES!B:B,L32,OPERAÇÕES!$F:F)</f>
        <v/>
      </c>
      <c r="N32" s="198">
        <f>IF(M32=0,0,SUMIF(OPERAÇÕES!B:B,L32,OPERAÇÕES!$G:G)/M32)</f>
        <v/>
      </c>
      <c r="O32" s="198">
        <f>N32*M32</f>
        <v/>
      </c>
      <c r="P32" s="199">
        <f>IFERROR(M32*F32,"0,00")</f>
        <v/>
      </c>
      <c r="Q32" s="200">
        <f>P32-O32</f>
        <v/>
      </c>
      <c r="R32" s="79">
        <f>IFERROR(Q32/O32,"0,00%")</f>
        <v/>
      </c>
      <c r="S32" s="195">
        <f>IFERROR(IF(AND(R32&lt;=SUM($R$3:$R$61))*E32-M32&lt;=0,"0",E32-M32),"0")</f>
        <v/>
      </c>
      <c r="T32" s="201">
        <f>IFERROR(IF(S32*F32&lt;F32*S32,0,S32*F32),"0,00")</f>
        <v/>
      </c>
      <c r="U32" s="197">
        <f>IFERROR(IF(R32&lt;H32,0,IF(M32&lt;E32,0,M32-E32)),"0")</f>
        <v/>
      </c>
    </row>
    <row r="33">
      <c r="A33" s="68">
        <f>IFERROR(H33/SUM($H$3:$H$42),0)</f>
        <v/>
      </c>
      <c r="B33" s="48" t="inlineStr">
        <is>
          <t>TRXF11</t>
        </is>
      </c>
      <c r="C33" s="70">
        <f>IFERROR(VLOOKUP(B33,'Dados B3'!$1:$1048576,2,0),"-")</f>
        <v/>
      </c>
      <c r="D33" s="70">
        <f>IFERROR(VLOOKUP(B33,'Dados B3'!$1:$1048576,6,FALSE),"-")</f>
        <v/>
      </c>
      <c r="E33" s="189">
        <f>IFERROR((G33/F33)*100%,"0")</f>
        <v/>
      </c>
      <c r="F33" s="190">
        <f>IFERROR(VLOOKUP(B33,'Dados B3'!$1:$1048576,4,0),"0,00")</f>
        <v/>
      </c>
      <c r="G33" s="191">
        <f>SUM($P$3:$P$46)*A33</f>
        <v/>
      </c>
      <c r="H33" s="71">
        <f>IFERROR(_xlfn.NUMBERVALUE(VLOOKUP(B33,'Dados B3'!A:G,7,FALSE),","),0)</f>
        <v/>
      </c>
      <c r="J33" s="76">
        <f>C33</f>
        <v/>
      </c>
      <c r="K33" s="77">
        <f>D33</f>
        <v/>
      </c>
      <c r="L33" s="77">
        <f>B33</f>
        <v/>
      </c>
      <c r="M33" s="78">
        <f>SUMIF(OPERAÇÕES!B:B,L33,OPERAÇÕES!$F:F)</f>
        <v/>
      </c>
      <c r="N33" s="198">
        <f>IF(M33=0,0,SUMIF(OPERAÇÕES!B:B,L33,OPERAÇÕES!$G:G)/M33)</f>
        <v/>
      </c>
      <c r="O33" s="198">
        <f>N33*M33</f>
        <v/>
      </c>
      <c r="P33" s="199">
        <f>IFERROR(M33*F33,"0,00")</f>
        <v/>
      </c>
      <c r="Q33" s="200">
        <f>P33-O33</f>
        <v/>
      </c>
      <c r="R33" s="79">
        <f>IFERROR(Q33/O33,"0,00%")</f>
        <v/>
      </c>
      <c r="S33" s="195">
        <f>IFERROR(IF(AND(R33&lt;=SUM($R$3:$R$61))*E33-M33&lt;=0,"0",E33-M33),"0")</f>
        <v/>
      </c>
      <c r="T33" s="201">
        <f>IFERROR(IF(S33*F33&lt;F33*S33,0,S33*F33),"0,00")</f>
        <v/>
      </c>
      <c r="U33" s="197">
        <f>IFERROR(IF(R33&lt;H33,0,IF(M33&lt;E33,0,M33-E33)),"0")</f>
        <v/>
      </c>
    </row>
    <row r="34">
      <c r="A34" s="68">
        <f>IFERROR(H34/SUM($H$3:$H$42),0)</f>
        <v/>
      </c>
      <c r="B34" s="48" t="inlineStr">
        <is>
          <t>VALE3</t>
        </is>
      </c>
      <c r="C34" s="70">
        <f>IFERROR(VLOOKUP(B34,'Dados B3'!$1:$1048576,2,0),"-")</f>
        <v/>
      </c>
      <c r="D34" s="70">
        <f>IFERROR(VLOOKUP(B34,'Dados B3'!$1:$1048576,6,FALSE),"-")</f>
        <v/>
      </c>
      <c r="E34" s="189">
        <f>IFERROR((G34/F34)*100%,"0")</f>
        <v/>
      </c>
      <c r="F34" s="190">
        <f>IFERROR(VLOOKUP(B34,'Dados B3'!$1:$1048576,4,0),"0,00")</f>
        <v/>
      </c>
      <c r="G34" s="191">
        <f>SUM($P$3:$P$46)*A34</f>
        <v/>
      </c>
      <c r="H34" s="71">
        <f>IFERROR(_xlfn.NUMBERVALUE(VLOOKUP(B34,'Dados B3'!A:G,7,FALSE),","),0)</f>
        <v/>
      </c>
      <c r="J34" s="76">
        <f>C34</f>
        <v/>
      </c>
      <c r="K34" s="77">
        <f>D34</f>
        <v/>
      </c>
      <c r="L34" s="77">
        <f>B34</f>
        <v/>
      </c>
      <c r="M34" s="78">
        <f>SUMIF(OPERAÇÕES!B:B,L34,OPERAÇÕES!$F:F)</f>
        <v/>
      </c>
      <c r="N34" s="198">
        <f>IF(M34=0,0,SUMIF(OPERAÇÕES!B:B,L34,OPERAÇÕES!$G:G)/M34)</f>
        <v/>
      </c>
      <c r="O34" s="198">
        <f>N34*M34</f>
        <v/>
      </c>
      <c r="P34" s="199">
        <f>IFERROR(M34*F34,"0,00")</f>
        <v/>
      </c>
      <c r="Q34" s="200">
        <f>P34-O34</f>
        <v/>
      </c>
      <c r="R34" s="79">
        <f>IFERROR(Q34/O34,"0,00%")</f>
        <v/>
      </c>
      <c r="S34" s="195">
        <f>IFERROR(IF(AND(R34&lt;=SUM($R$3:$R$61))*E34-M34&lt;=0,"0",E34-M34),"0")</f>
        <v/>
      </c>
      <c r="T34" s="201">
        <f>IFERROR(IF(S34*F34&lt;F34*S34,0,S34*F34),"0,00")</f>
        <v/>
      </c>
      <c r="U34" s="197">
        <f>IFERROR(IF(R34&lt;H34,0,IF(M34&lt;E34,0,M34-E34)),"0")</f>
        <v/>
      </c>
    </row>
    <row r="35">
      <c r="A35" s="68">
        <f>IFERROR(H35/SUM($H$3:$H$42),0)</f>
        <v/>
      </c>
      <c r="B35" s="48" t="inlineStr">
        <is>
          <t>VGRI11</t>
        </is>
      </c>
      <c r="C35" s="70">
        <f>IFERROR(VLOOKUP(B35,'Dados B3'!$1:$1048576,2,0),"-")</f>
        <v/>
      </c>
      <c r="D35" s="70">
        <f>IFERROR(VLOOKUP(B35,'Dados B3'!$1:$1048576,6,FALSE),"-")</f>
        <v/>
      </c>
      <c r="E35" s="189">
        <f>IFERROR((G35/F35)*100%,"0")</f>
        <v/>
      </c>
      <c r="F35" s="190">
        <f>IFERROR(VLOOKUP(B35,'Dados B3'!$1:$1048576,4,0),"0,00")</f>
        <v/>
      </c>
      <c r="G35" s="191">
        <f>SUM($P$3:$P$46)*A35</f>
        <v/>
      </c>
      <c r="H35" s="71">
        <f>IFERROR(_xlfn.NUMBERVALUE(VLOOKUP(B35,'Dados B3'!A:G,7,FALSE),","),0)</f>
        <v/>
      </c>
      <c r="J35" s="76">
        <f>C35</f>
        <v/>
      </c>
      <c r="K35" s="77">
        <f>D35</f>
        <v/>
      </c>
      <c r="L35" s="77">
        <f>B35</f>
        <v/>
      </c>
      <c r="M35" s="78">
        <f>SUMIF(OPERAÇÕES!B:B,L35,OPERAÇÕES!$F:F)</f>
        <v/>
      </c>
      <c r="N35" s="198">
        <f>IF(M35=0,0,SUMIF(OPERAÇÕES!B:B,L35,OPERAÇÕES!$G:G)/M35)</f>
        <v/>
      </c>
      <c r="O35" s="198">
        <f>N35*M35</f>
        <v/>
      </c>
      <c r="P35" s="199">
        <f>IFERROR(M35*F35,"0,00")</f>
        <v/>
      </c>
      <c r="Q35" s="200">
        <f>P35-O35</f>
        <v/>
      </c>
      <c r="R35" s="79">
        <f>IFERROR(Q35/O35,"0,00%")</f>
        <v/>
      </c>
      <c r="S35" s="195">
        <f>IFERROR(IF(AND(R35&lt;=SUM($R$3:$R$61))*E35-M35&lt;=0,"0",E35-M35),"0")</f>
        <v/>
      </c>
      <c r="T35" s="201">
        <f>IFERROR(IF(S35*F35&lt;F35*S35,0,S35*F35),"0,00")</f>
        <v/>
      </c>
      <c r="U35" s="197">
        <f>IFERROR(IF(R35&lt;H35,0,IF(M35&lt;E35,0,M35-E35)),"0")</f>
        <v/>
      </c>
    </row>
    <row r="36">
      <c r="A36" s="68">
        <f>IFERROR(H36/SUM($H$3:$H$42),0)</f>
        <v/>
      </c>
      <c r="B36" s="80" t="inlineStr">
        <is>
          <t>VINO11</t>
        </is>
      </c>
      <c r="C36" s="70">
        <f>IFERROR(VLOOKUP(B36,'Dados B3'!$1:$1048576,2,0),"-")</f>
        <v/>
      </c>
      <c r="D36" s="70">
        <f>IFERROR(VLOOKUP(B36,'Dados B3'!$1:$1048576,6,FALSE),"-")</f>
        <v/>
      </c>
      <c r="E36" s="189">
        <f>IFERROR((G36/F36)*100%,"0")</f>
        <v/>
      </c>
      <c r="F36" s="190">
        <f>IFERROR(VLOOKUP(B36,'Dados B3'!$1:$1048576,4,0),"0,00")</f>
        <v/>
      </c>
      <c r="G36" s="191">
        <f>SUM($P$3:$P$46)*A36</f>
        <v/>
      </c>
      <c r="H36" s="71">
        <f>IFERROR(_xlfn.NUMBERVALUE(VLOOKUP(B36,'Dados B3'!A:G,7,FALSE),","),0)</f>
        <v/>
      </c>
      <c r="J36" s="76">
        <f>C36</f>
        <v/>
      </c>
      <c r="K36" s="77">
        <f>D36</f>
        <v/>
      </c>
      <c r="L36" s="77">
        <f>B36</f>
        <v/>
      </c>
      <c r="M36" s="78">
        <f>SUMIF(OPERAÇÕES!B:B,L36,OPERAÇÕES!$F:F)</f>
        <v/>
      </c>
      <c r="N36" s="198">
        <f>IF(M36=0,0,SUMIF(OPERAÇÕES!B:B,L36,OPERAÇÕES!$G:G)/M36)</f>
        <v/>
      </c>
      <c r="O36" s="198">
        <f>N36*M36</f>
        <v/>
      </c>
      <c r="P36" s="199">
        <f>IFERROR(M36*F36,"0,00")</f>
        <v/>
      </c>
      <c r="Q36" s="200">
        <f>P36-O36</f>
        <v/>
      </c>
      <c r="R36" s="79">
        <f>IFERROR(Q36/O36,"0,00%")</f>
        <v/>
      </c>
      <c r="S36" s="195">
        <f>IFERROR(IF(AND(R36&lt;=SUM($R$3:$R$61))*E36-M36&lt;=0,"0",E36-M36),"0")</f>
        <v/>
      </c>
      <c r="T36" s="201">
        <f>IFERROR(IF(S36*F36&lt;F36*S36,0,S36*F36),"0,00")</f>
        <v/>
      </c>
      <c r="U36" s="197">
        <f>IFERROR(IF(R36&lt;H36,0,IF(M36&lt;E36,0,M36-E36)),"0")</f>
        <v/>
      </c>
    </row>
    <row r="37">
      <c r="A37" s="68">
        <f>IFERROR(H37/SUM($H$3:$H$42),0)</f>
        <v/>
      </c>
      <c r="B37" s="80" t="inlineStr">
        <is>
          <t>XPML11</t>
        </is>
      </c>
      <c r="C37" s="70">
        <f>IFERROR(VLOOKUP(B37,'Dados B3'!$1:$1048576,2,0),"-")</f>
        <v/>
      </c>
      <c r="D37" s="70">
        <f>IFERROR(VLOOKUP(B37,'Dados B3'!$1:$1048576,6,FALSE),"-")</f>
        <v/>
      </c>
      <c r="E37" s="189">
        <f>IFERROR((G37/F37)*100%,"0")</f>
        <v/>
      </c>
      <c r="F37" s="190">
        <f>IFERROR(VLOOKUP(B37,'Dados B3'!$1:$1048576,4,0),"0,00")</f>
        <v/>
      </c>
      <c r="G37" s="191">
        <f>SUM($P$3:$P$46)*A37</f>
        <v/>
      </c>
      <c r="H37" s="71">
        <f>IFERROR(_xlfn.NUMBERVALUE(VLOOKUP(B37,'Dados B3'!A:G,7,FALSE),","),0)</f>
        <v/>
      </c>
      <c r="J37" s="76">
        <f>C37</f>
        <v/>
      </c>
      <c r="K37" s="77">
        <f>D37</f>
        <v/>
      </c>
      <c r="L37" s="77">
        <f>B37</f>
        <v/>
      </c>
      <c r="M37" s="78">
        <f>SUMIF(OPERAÇÕES!B:B,L37,OPERAÇÕES!$F:F)</f>
        <v/>
      </c>
      <c r="N37" s="198">
        <f>IF(M37=0,0,SUMIF(OPERAÇÕES!B:B,L37,OPERAÇÕES!$G:G)/M37)</f>
        <v/>
      </c>
      <c r="O37" s="198">
        <f>N37*M37</f>
        <v/>
      </c>
      <c r="P37" s="199">
        <f>IFERROR(M37*F37,"0,00")</f>
        <v/>
      </c>
      <c r="Q37" s="200">
        <f>P37-O37</f>
        <v/>
      </c>
      <c r="R37" s="79">
        <f>IFERROR(Q37/O37,"0,00%")</f>
        <v/>
      </c>
      <c r="S37" s="195">
        <f>IFERROR(IF(AND(R37&lt;=SUM($R$3:$R$61))*E37-M37&lt;=0,"0",E37-M37),"0")</f>
        <v/>
      </c>
      <c r="T37" s="201">
        <f>IFERROR(IF(S37*F37&lt;F37*S37,0,S37*F37),"0,00")</f>
        <v/>
      </c>
      <c r="U37" s="197">
        <f>IFERROR(IF(R37&lt;H37,0,IF(M37&lt;E37,0,M37-E37)),"0")</f>
        <v/>
      </c>
    </row>
    <row r="38">
      <c r="A38" s="68">
        <f>IFERROR(H38/SUM($H$3:$H$42),0)</f>
        <v/>
      </c>
      <c r="B38" s="81" t="n"/>
      <c r="C38" s="70">
        <f>IFERROR(VLOOKUP(B38,'Dados B3'!$1:$1048576,2,0),"-")</f>
        <v/>
      </c>
      <c r="D38" s="70">
        <f>IFERROR(VLOOKUP(B38,'Dados B3'!$1:$1048576,6,FALSE),"-")</f>
        <v/>
      </c>
      <c r="E38" s="189">
        <f>IFERROR((G38/F38)*100%,"0")</f>
        <v/>
      </c>
      <c r="F38" s="190">
        <f>IFERROR(VLOOKUP(B38,'Dados B3'!$1:$1048576,4,0),"0,00")</f>
        <v/>
      </c>
      <c r="G38" s="191">
        <f>SUM($P$3:$P$46)*A38</f>
        <v/>
      </c>
      <c r="H38" s="71">
        <f>IFERROR(_xlfn.NUMBERVALUE(VLOOKUP(B38,'Dados B3'!A:G,7,FALSE),","),0)</f>
        <v/>
      </c>
      <c r="J38" s="76">
        <f>C38</f>
        <v/>
      </c>
      <c r="K38" s="77">
        <f>D38</f>
        <v/>
      </c>
      <c r="L38" s="77">
        <f>B38</f>
        <v/>
      </c>
      <c r="M38" s="78">
        <f>SUMIF(OPERAÇÕES!B:B,L38,OPERAÇÕES!$F:F)</f>
        <v/>
      </c>
      <c r="N38" s="198">
        <f>IF(M38=0,0,SUMIF(OPERAÇÕES!B:B,L38,OPERAÇÕES!$G:G)/M38)</f>
        <v/>
      </c>
      <c r="O38" s="198">
        <f>N38*M38</f>
        <v/>
      </c>
      <c r="P38" s="199">
        <f>IFERROR(M38*F38,"0,00")</f>
        <v/>
      </c>
      <c r="Q38" s="200">
        <f>P38-O38</f>
        <v/>
      </c>
      <c r="R38" s="79">
        <f>IFERROR(Q38/O38,"0,00%")</f>
        <v/>
      </c>
      <c r="S38" s="195">
        <f>IFERROR(IF(AND(R38&lt;=SUM($R$3:$R$61))*E38-M38&lt;=0,"0",E38-M38),"0")</f>
        <v/>
      </c>
      <c r="T38" s="201">
        <f>IFERROR(IF(S38*F38&lt;F38*S38,0,S38*F38),"0,00")</f>
        <v/>
      </c>
      <c r="U38" s="197">
        <f>IFERROR(IF(R38&lt;H38,0,IF(M38&lt;E38,0,M38-E38)),"0")</f>
        <v/>
      </c>
    </row>
    <row r="39">
      <c r="A39" s="68">
        <f>IFERROR(H39/SUM($H$3:$H$42),0)</f>
        <v/>
      </c>
      <c r="B39" s="81" t="n"/>
      <c r="C39" s="70">
        <f>IFERROR(VLOOKUP(B39,'Dados B3'!$1:$1048576,2,0),"-")</f>
        <v/>
      </c>
      <c r="D39" s="70">
        <f>IFERROR(VLOOKUP(B39,'Dados B3'!$1:$1048576,6,FALSE),"-")</f>
        <v/>
      </c>
      <c r="E39" s="189">
        <f>IFERROR((G39/F39)*100%,"0")</f>
        <v/>
      </c>
      <c r="F39" s="190">
        <f>IFERROR(VLOOKUP(B39,'Dados B3'!$1:$1048576,4,0),"0,00")</f>
        <v/>
      </c>
      <c r="G39" s="191">
        <f>SUM($P$3:$P$46)*A39</f>
        <v/>
      </c>
      <c r="H39" s="71">
        <f>IFERROR(_xlfn.NUMBERVALUE(VLOOKUP(B39,'Dados B3'!A:G,7,FALSE),","),0)</f>
        <v/>
      </c>
      <c r="J39" s="76">
        <f>C39</f>
        <v/>
      </c>
      <c r="K39" s="77">
        <f>D39</f>
        <v/>
      </c>
      <c r="L39" s="77">
        <f>B39</f>
        <v/>
      </c>
      <c r="M39" s="78">
        <f>SUMIF(OPERAÇÕES!B:B,L39,OPERAÇÕES!$F:F)</f>
        <v/>
      </c>
      <c r="N39" s="198">
        <f>IF(M39=0,0,SUMIF(OPERAÇÕES!B:B,L39,OPERAÇÕES!$G:G)/M39)</f>
        <v/>
      </c>
      <c r="O39" s="198">
        <f>N39*M39</f>
        <v/>
      </c>
      <c r="P39" s="199">
        <f>IFERROR(M39*F39,"0,00")</f>
        <v/>
      </c>
      <c r="Q39" s="200">
        <f>P39-O39</f>
        <v/>
      </c>
      <c r="R39" s="79">
        <f>IFERROR(Q39/O39,"0,00%")</f>
        <v/>
      </c>
      <c r="S39" s="195">
        <f>IFERROR(IF(AND(R39&lt;=SUM($R$3:$R$61))*E39-M39&lt;=0,"0",E39-M39),"0")</f>
        <v/>
      </c>
      <c r="T39" s="201">
        <f>IFERROR(IF(S39*F39&lt;F39*S39,0,S39*F39),"0,00")</f>
        <v/>
      </c>
      <c r="U39" s="197">
        <f>IFERROR(IF(R39&lt;H39,0,IF(M39&lt;E39,0,M39-E39)),"0")</f>
        <v/>
      </c>
    </row>
    <row r="40">
      <c r="A40" s="68">
        <f>IFERROR(H40/SUM($H$3:$H$42),0)</f>
        <v/>
      </c>
      <c r="B40" s="81" t="n"/>
      <c r="C40" s="70">
        <f>IFERROR(VLOOKUP(B40,'Dados B3'!$1:$1048576,2,0),"-")</f>
        <v/>
      </c>
      <c r="D40" s="70">
        <f>IFERROR(VLOOKUP(B40,'Dados B3'!$1:$1048576,6,FALSE),"-")</f>
        <v/>
      </c>
      <c r="E40" s="189">
        <f>IFERROR((G40/F40)*100%,"0")</f>
        <v/>
      </c>
      <c r="F40" s="190">
        <f>IFERROR(VLOOKUP(B40,'Dados B3'!$1:$1048576,4,0),"0,00")</f>
        <v/>
      </c>
      <c r="G40" s="191">
        <f>SUM($P$3:$P$46)*A40</f>
        <v/>
      </c>
      <c r="H40" s="71">
        <f>IFERROR(_xlfn.NUMBERVALUE(VLOOKUP(B40,'Dados B3'!A:G,7,FALSE),","),0)</f>
        <v/>
      </c>
      <c r="J40" s="76">
        <f>C40</f>
        <v/>
      </c>
      <c r="K40" s="77">
        <f>D40</f>
        <v/>
      </c>
      <c r="L40" s="77">
        <f>B40</f>
        <v/>
      </c>
      <c r="M40" s="78">
        <f>SUMIF(OPERAÇÕES!B:B,L40,OPERAÇÕES!$F:F)</f>
        <v/>
      </c>
      <c r="N40" s="198">
        <f>IF(M40=0,0,SUMIF(OPERAÇÕES!B:B,L40,OPERAÇÕES!$G:G)/M40)</f>
        <v/>
      </c>
      <c r="O40" s="198">
        <f>N40*M40</f>
        <v/>
      </c>
      <c r="P40" s="199">
        <f>IFERROR(M40*F40,"0,00")</f>
        <v/>
      </c>
      <c r="Q40" s="200">
        <f>P40-O40</f>
        <v/>
      </c>
      <c r="R40" s="79">
        <f>IFERROR(Q40/O40,"0,00%")</f>
        <v/>
      </c>
      <c r="S40" s="195">
        <f>IFERROR(IF(AND(R40&lt;=SUM($R$3:$R$61))*E40-M40&lt;=0,"0",E40-M40),"0")</f>
        <v/>
      </c>
      <c r="T40" s="201">
        <f>IFERROR(IF(S40*F40&lt;F40*S40,0,S40*F40),"0,00")</f>
        <v/>
      </c>
      <c r="U40" s="197">
        <f>IFERROR(IF(R40&lt;H40,0,IF(M40&lt;E40,0,M40-E40)),"0")</f>
        <v/>
      </c>
    </row>
    <row r="41">
      <c r="A41" s="68">
        <f>IFERROR(H41/SUM($H$3:$H$42),0)</f>
        <v/>
      </c>
      <c r="B41" s="81" t="n"/>
      <c r="C41" s="70">
        <f>IFERROR(VLOOKUP(B41,'Dados B3'!$1:$1048576,2,0),"-")</f>
        <v/>
      </c>
      <c r="D41" s="70">
        <f>IFERROR(VLOOKUP(B41,'Dados B3'!$1:$1048576,6,FALSE),"-")</f>
        <v/>
      </c>
      <c r="E41" s="189">
        <f>IFERROR((G41/F41)*100%,"0")</f>
        <v/>
      </c>
      <c r="F41" s="190">
        <f>IFERROR(VLOOKUP(B41,'Dados B3'!$1:$1048576,4,0),"0,00")</f>
        <v/>
      </c>
      <c r="G41" s="191">
        <f>SUM($P$3:$P$46)*A41</f>
        <v/>
      </c>
      <c r="H41" s="71">
        <f>IFERROR(_xlfn.NUMBERVALUE(VLOOKUP(B41,'Dados B3'!A:G,7,FALSE),","),0)</f>
        <v/>
      </c>
      <c r="J41" s="76">
        <f>C41</f>
        <v/>
      </c>
      <c r="K41" s="77">
        <f>D41</f>
        <v/>
      </c>
      <c r="L41" s="77">
        <f>B41</f>
        <v/>
      </c>
      <c r="M41" s="78">
        <f>SUMIF(OPERAÇÕES!B:B,L41,OPERAÇÕES!$F:F)</f>
        <v/>
      </c>
      <c r="N41" s="198">
        <f>IF(M41=0,0,SUMIF(OPERAÇÕES!B:B,L41,OPERAÇÕES!$G:G)/M41)</f>
        <v/>
      </c>
      <c r="O41" s="198">
        <f>N41*M41</f>
        <v/>
      </c>
      <c r="P41" s="199">
        <f>IFERROR(M41*F41,"0,00")</f>
        <v/>
      </c>
      <c r="Q41" s="200">
        <f>P41-O41</f>
        <v/>
      </c>
      <c r="R41" s="79">
        <f>IFERROR(Q41/O41,"0,00%")</f>
        <v/>
      </c>
      <c r="S41" s="195">
        <f>IFERROR(IF(AND(R41&lt;=SUM($R$3:$R$61))*E41-M41&lt;=0,"0",E41-M41),"0")</f>
        <v/>
      </c>
      <c r="T41" s="201">
        <f>IFERROR(IF(S41*F41&lt;F41*S41,0,S41*F41),"0,00")</f>
        <v/>
      </c>
      <c r="U41" s="197">
        <f>IFERROR(IF(R41&lt;H41,0,IF(M41&lt;E41,0,M41-E41)),"0")</f>
        <v/>
      </c>
    </row>
    <row r="42" ht="15.75" customHeight="1" s="107" thickBot="1">
      <c r="A42" s="68">
        <f>IFERROR(H42/SUM($H$3:$H$42),0)</f>
        <v/>
      </c>
      <c r="B42" s="81" t="n"/>
      <c r="C42" s="70">
        <f>IFERROR(VLOOKUP(B42,'Dados B3'!$1:$1048576,2,0),"-")</f>
        <v/>
      </c>
      <c r="D42" s="70">
        <f>IFERROR(VLOOKUP(B42,'Dados B3'!$1:$1048576,6,FALSE),"-")</f>
        <v/>
      </c>
      <c r="E42" s="189">
        <f>IFERROR((G42/F42)*100%,"0")</f>
        <v/>
      </c>
      <c r="F42" s="190">
        <f>IFERROR(VLOOKUP(B42,'Dados B3'!$1:$1048576,4,0),"0,00")</f>
        <v/>
      </c>
      <c r="G42" s="191">
        <f>SUM($P$3:$P$46)*A42</f>
        <v/>
      </c>
      <c r="H42" s="71">
        <f>IFERROR(_xlfn.NUMBERVALUE(VLOOKUP(B42,'Dados B3'!A:G,7,FALSE),","),0)</f>
        <v/>
      </c>
      <c r="J42" s="82">
        <f>C42</f>
        <v/>
      </c>
      <c r="K42" s="83">
        <f>D42</f>
        <v/>
      </c>
      <c r="L42" s="83">
        <f>B42</f>
        <v/>
      </c>
      <c r="M42" s="84">
        <f>SUMIF(OPERAÇÕES!B:B,L42,OPERAÇÕES!$F:F)</f>
        <v/>
      </c>
      <c r="N42" s="202">
        <f>IF(M42=0,0,SUMIF(OPERAÇÕES!B:B,L42,OPERAÇÕES!$G:G)/M42)</f>
        <v/>
      </c>
      <c r="O42" s="202">
        <f>N42*M42</f>
        <v/>
      </c>
      <c r="P42" s="203">
        <f>IFERROR(M42*F42,"0,00")</f>
        <v/>
      </c>
      <c r="Q42" s="204">
        <f>P42-O42</f>
        <v/>
      </c>
      <c r="R42" s="85">
        <f>IFERROR(Q42/O42,"0,00%")</f>
        <v/>
      </c>
      <c r="S42" s="195">
        <f>IFERROR(IF(AND(R42&lt;=SUM($R$3:$R$61))*E42-M42&lt;=0,"0",E42-M42),"0")</f>
        <v/>
      </c>
      <c r="T42" s="205">
        <f>IFERROR(IF(S42*F42&lt;F42*S42,0,S42*F42),"0,00")</f>
        <v/>
      </c>
      <c r="U42" s="197">
        <f>IFERROR(IF(R42&lt;H42,0,IF(M42&lt;E42,0,M42-E42)),"0")</f>
        <v/>
      </c>
    </row>
    <row r="43" ht="15.75" customHeight="1" s="107" thickBot="1">
      <c r="A43" s="68">
        <f>IFERROR(H43/SUM($H$3:$H$42),0)</f>
        <v/>
      </c>
      <c r="B43" s="81" t="n"/>
      <c r="C43" s="70">
        <f>IFERROR(VLOOKUP(B43,'Dados B3'!$1:$1048576,2,0),"-")</f>
        <v/>
      </c>
      <c r="D43" s="70">
        <f>IFERROR(VLOOKUP(B43,'Dados B3'!$1:$1048576,6,FALSE),"-")</f>
        <v/>
      </c>
      <c r="E43" s="189">
        <f>IFERROR((G43/F43)*100%,"0")</f>
        <v/>
      </c>
      <c r="F43" s="190">
        <f>IFERROR(VLOOKUP(B43,'Dados B3'!$1:$1048576,4,0),"0,00")</f>
        <v/>
      </c>
      <c r="G43" s="191">
        <f>SUM($P$3:$P$46)*A43</f>
        <v/>
      </c>
      <c r="H43" s="71">
        <f>IFERROR(_xlfn.NUMBERVALUE(VLOOKUP(B43,'Dados B3'!A:G,7,FALSE),","),0)</f>
        <v/>
      </c>
      <c r="J43" s="82">
        <f>C43</f>
        <v/>
      </c>
      <c r="K43" s="83">
        <f>D43</f>
        <v/>
      </c>
      <c r="L43" s="83">
        <f>B43</f>
        <v/>
      </c>
      <c r="M43" s="84">
        <f>SUMIF(OPERAÇÕES!B:B,L43,OPERAÇÕES!$F:F)</f>
        <v/>
      </c>
      <c r="N43" s="202">
        <f>IF(M43=0,0,SUMIF(OPERAÇÕES!B:B,L43,OPERAÇÕES!$G:G)/M43)</f>
        <v/>
      </c>
      <c r="O43" s="202">
        <f>N43*M43</f>
        <v/>
      </c>
      <c r="P43" s="203">
        <f>IFERROR(M43*F43,"0,00")</f>
        <v/>
      </c>
      <c r="Q43" s="204">
        <f>P43-O43</f>
        <v/>
      </c>
      <c r="R43" s="85">
        <f>IFERROR(Q43/O43,"0,00%")</f>
        <v/>
      </c>
      <c r="S43" s="195">
        <f>IFERROR(IF(AND(R43&lt;=SUM($R$3:$R$61))*E43-M43&lt;=0,"0",E43-M43),"0")</f>
        <v/>
      </c>
      <c r="T43" s="205">
        <f>IFERROR(IF(S43*F43&lt;F43*S43,0,S43*F43),"0,00")</f>
        <v/>
      </c>
      <c r="U43" s="197">
        <f>IFERROR(IF(R43&lt;H43,0,IF(M43&lt;E43,0,M43-E43)),"0")</f>
        <v/>
      </c>
    </row>
    <row r="44" ht="15.75" customHeight="1" s="107" thickBot="1">
      <c r="A44" s="68">
        <f>IFERROR(H44/SUM($H$3:$H$42),0)</f>
        <v/>
      </c>
      <c r="B44" s="81" t="n"/>
      <c r="C44" s="70">
        <f>IFERROR(VLOOKUP(B44,'Dados B3'!$1:$1048576,2,0),"-")</f>
        <v/>
      </c>
      <c r="D44" s="70">
        <f>IFERROR(VLOOKUP(B44,'Dados B3'!$1:$1048576,6,FALSE),"-")</f>
        <v/>
      </c>
      <c r="E44" s="189">
        <f>IFERROR((G44/F44)*100%,"0")</f>
        <v/>
      </c>
      <c r="F44" s="190">
        <f>IFERROR(VLOOKUP(B44,'Dados B3'!$1:$1048576,4,0),"0,00")</f>
        <v/>
      </c>
      <c r="G44" s="191">
        <f>SUM($P$3:$P$46)*A44</f>
        <v/>
      </c>
      <c r="H44" s="71">
        <f>IFERROR(_xlfn.NUMBERVALUE(VLOOKUP(B44,'Dados B3'!A:G,7,FALSE),","),0)</f>
        <v/>
      </c>
      <c r="J44" s="82">
        <f>C44</f>
        <v/>
      </c>
      <c r="K44" s="83">
        <f>D44</f>
        <v/>
      </c>
      <c r="L44" s="83">
        <f>B44</f>
        <v/>
      </c>
      <c r="M44" s="84">
        <f>SUMIF(OPERAÇÕES!B:B,L44,OPERAÇÕES!$F:F)</f>
        <v/>
      </c>
      <c r="N44" s="202">
        <f>IF(M44=0,0,SUMIF(OPERAÇÕES!B:B,L44,OPERAÇÕES!$G:G)/M44)</f>
        <v/>
      </c>
      <c r="O44" s="202">
        <f>N44*M44</f>
        <v/>
      </c>
      <c r="P44" s="203">
        <f>IFERROR(M44*F44,"0,00")</f>
        <v/>
      </c>
      <c r="Q44" s="204">
        <f>P44-O44</f>
        <v/>
      </c>
      <c r="R44" s="85">
        <f>IFERROR(Q44/O44,"0,00%")</f>
        <v/>
      </c>
      <c r="S44" s="195">
        <f>IFERROR(IF(AND(R44&lt;=SUM($R$3:$R$61))*E44-M44&lt;=0,"0",E44-M44),"0")</f>
        <v/>
      </c>
      <c r="T44" s="205">
        <f>IFERROR(IF(S44*F44&lt;F44*S44,0,S44*F44),"0,00")</f>
        <v/>
      </c>
      <c r="U44" s="197">
        <f>IFERROR(IF(R44&lt;H44,0,IF(M44&lt;E44,0,M44-E44)),"0")</f>
        <v/>
      </c>
    </row>
    <row r="45" ht="15.75" customHeight="1" s="107" thickBot="1">
      <c r="A45" s="68">
        <f>IFERROR(H45/SUM($H$3:$H$42),0)</f>
        <v/>
      </c>
      <c r="B45" s="81" t="n"/>
      <c r="C45" s="70">
        <f>IFERROR(VLOOKUP(B45,'Dados B3'!$1:$1048576,2,0),"-")</f>
        <v/>
      </c>
      <c r="D45" s="70">
        <f>IFERROR(VLOOKUP(B45,'Dados B3'!$1:$1048576,6,FALSE),"-")</f>
        <v/>
      </c>
      <c r="E45" s="189">
        <f>IFERROR((G45/F45)*100%,"0")</f>
        <v/>
      </c>
      <c r="F45" s="190">
        <f>IFERROR(VLOOKUP(B45,'Dados B3'!$1:$1048576,4,0),"0,00")</f>
        <v/>
      </c>
      <c r="G45" s="191">
        <f>SUM($P$3:$P$46)*A45</f>
        <v/>
      </c>
      <c r="H45" s="71">
        <f>IFERROR(_xlfn.NUMBERVALUE(VLOOKUP(B45,'Dados B3'!A:G,7,FALSE),","),0)</f>
        <v/>
      </c>
      <c r="J45" s="82">
        <f>C45</f>
        <v/>
      </c>
      <c r="K45" s="83">
        <f>D45</f>
        <v/>
      </c>
      <c r="L45" s="83">
        <f>B45</f>
        <v/>
      </c>
      <c r="M45" s="84">
        <f>SUMIF(OPERAÇÕES!B:B,L45,OPERAÇÕES!$F:F)</f>
        <v/>
      </c>
      <c r="N45" s="202">
        <f>IF(M45=0,0,SUMIF(OPERAÇÕES!B:B,L45,OPERAÇÕES!$G:G)/M45)</f>
        <v/>
      </c>
      <c r="O45" s="202">
        <f>N45*M45</f>
        <v/>
      </c>
      <c r="P45" s="203">
        <f>IFERROR(M45*F45,"0,00")</f>
        <v/>
      </c>
      <c r="Q45" s="204">
        <f>P45-O45</f>
        <v/>
      </c>
      <c r="R45" s="85">
        <f>IFERROR(Q45/O45,"0,00%")</f>
        <v/>
      </c>
      <c r="S45" s="195">
        <f>IFERROR(IF(AND(R45&lt;=SUM($R$3:$R$61))*E45-M45&lt;=0,"0",E45-M45),"0")</f>
        <v/>
      </c>
      <c r="T45" s="205">
        <f>IFERROR(IF(S45*F45&lt;F45*S45,0,S45*F45),"0,00")</f>
        <v/>
      </c>
      <c r="U45" s="197">
        <f>IFERROR(IF(R45&lt;H45,0,IF(M45&lt;E45,0,M45-E45)),"0")</f>
        <v/>
      </c>
    </row>
    <row r="46" ht="15.75" customHeight="1" s="107" thickBot="1">
      <c r="A46" s="68">
        <f>IFERROR(H46/SUM($H$3:$H$42),0)</f>
        <v/>
      </c>
      <c r="B46" s="81" t="n"/>
      <c r="C46" s="70">
        <f>IFERROR(VLOOKUP(B46,'Dados B3'!$1:$1048576,2,0),"-")</f>
        <v/>
      </c>
      <c r="D46" s="70">
        <f>IFERROR(VLOOKUP(B46,'Dados B3'!$1:$1048576,6,FALSE),"-")</f>
        <v/>
      </c>
      <c r="E46" s="189">
        <f>IFERROR((G46/F46)*100%,"0")</f>
        <v/>
      </c>
      <c r="F46" s="190">
        <f>IFERROR(VLOOKUP(B46,'Dados B3'!$1:$1048576,4,0),"0,00")</f>
        <v/>
      </c>
      <c r="G46" s="191">
        <f>SUM($P$3:$P$46)*A46</f>
        <v/>
      </c>
      <c r="H46" s="71">
        <f>IFERROR(_xlfn.NUMBERVALUE(VLOOKUP(B46,'Dados B3'!A:G,7,FALSE),","),0)</f>
        <v/>
      </c>
      <c r="J46" s="82">
        <f>C46</f>
        <v/>
      </c>
      <c r="K46" s="83">
        <f>D46</f>
        <v/>
      </c>
      <c r="L46" s="83">
        <f>B46</f>
        <v/>
      </c>
      <c r="M46" s="84">
        <f>SUMIF(OPERAÇÕES!B:B,L46,OPERAÇÕES!$F:F)</f>
        <v/>
      </c>
      <c r="N46" s="202">
        <f>IF(M46=0,0,SUMIF(OPERAÇÕES!B:B,L46,OPERAÇÕES!$G:G)/M46)</f>
        <v/>
      </c>
      <c r="O46" s="202">
        <f>N46*M46</f>
        <v/>
      </c>
      <c r="P46" s="203">
        <f>IFERROR(M46*F46,"0,00")</f>
        <v/>
      </c>
      <c r="Q46" s="204">
        <f>P46-O46</f>
        <v/>
      </c>
      <c r="R46" s="85">
        <f>IFERROR(Q46/O46,"0,00%")</f>
        <v/>
      </c>
      <c r="S46" s="195">
        <f>IFERROR(IF(AND(R46&lt;=SUM($R$3:$R$61))*E46-M46&lt;=0,"0",E46-M46),"0")</f>
        <v/>
      </c>
      <c r="T46" s="205">
        <f>IFERROR(IF(S46*F46&lt;F46*S46,0,S46*F46),"0,00")</f>
        <v/>
      </c>
      <c r="U46" s="197">
        <f>IFERROR(IF(R46&lt;H46,0,IF(M46&lt;E46,0,M46-E46)),"0")</f>
        <v/>
      </c>
    </row>
    <row r="47" ht="15.75" customHeight="1" s="107" thickBot="1">
      <c r="A47" s="68">
        <f>IFERROR(H47/SUM($H$3:$H$42),0)</f>
        <v/>
      </c>
      <c r="B47" s="81" t="n"/>
      <c r="C47" s="70">
        <f>IFERROR(VLOOKUP(B47,'Dados B3'!$1:$1048576,2,0),"-")</f>
        <v/>
      </c>
      <c r="D47" s="70">
        <f>IFERROR(VLOOKUP(B47,'Dados B3'!$1:$1048576,6,FALSE),"-")</f>
        <v/>
      </c>
      <c r="E47" s="189">
        <f>IFERROR((G47/F47)*100%,"0")</f>
        <v/>
      </c>
      <c r="F47" s="190">
        <f>IFERROR(VLOOKUP(B47,'Dados B3'!$1:$1048576,4,0),"0,00")</f>
        <v/>
      </c>
      <c r="G47" s="191">
        <f>SUM($P$3:$P$46)*A47</f>
        <v/>
      </c>
      <c r="H47" s="71">
        <f>IFERROR(_xlfn.NUMBERVALUE(VLOOKUP(B47,'Dados B3'!A:G,7,FALSE),","),0)</f>
        <v/>
      </c>
      <c r="J47" s="82">
        <f>C47</f>
        <v/>
      </c>
      <c r="K47" s="83">
        <f>D47</f>
        <v/>
      </c>
      <c r="L47" s="83">
        <f>B47</f>
        <v/>
      </c>
      <c r="M47" s="84">
        <f>SUMIF(OPERAÇÕES!B:B,L47,OPERAÇÕES!$F:F)</f>
        <v/>
      </c>
      <c r="N47" s="202">
        <f>IF(M47=0,0,SUMIF(OPERAÇÕES!B:B,L47,OPERAÇÕES!$G:G)/M47)</f>
        <v/>
      </c>
      <c r="O47" s="202">
        <f>N47*M47</f>
        <v/>
      </c>
      <c r="P47" s="203">
        <f>IFERROR(M47*F47,"0,00")</f>
        <v/>
      </c>
      <c r="Q47" s="204">
        <f>P47-O47</f>
        <v/>
      </c>
      <c r="R47" s="85">
        <f>IFERROR(Q47/O47,"0,00%")</f>
        <v/>
      </c>
      <c r="S47" s="195">
        <f>IFERROR(IF(AND(R47&lt;=SUM($R$3:$R$61))*E47-M47&lt;=0,"0",E47-M47),"0")</f>
        <v/>
      </c>
      <c r="T47" s="205">
        <f>IFERROR(IF(S47*F47&lt;F47*S47,0,S47*F47),"0,00")</f>
        <v/>
      </c>
      <c r="U47" s="197">
        <f>IFERROR(IF(R47&lt;H47,0,IF(M47&lt;E47,0,M47-E47)),"0")</f>
        <v/>
      </c>
    </row>
    <row r="48" ht="15.75" customHeight="1" s="107" thickBot="1">
      <c r="A48" s="68">
        <f>IFERROR(H48/SUM($H$3:$H$42),0)</f>
        <v/>
      </c>
      <c r="B48" s="81" t="n"/>
      <c r="C48" s="70">
        <f>IFERROR(VLOOKUP(B48,'Dados B3'!$1:$1048576,2,0),"-")</f>
        <v/>
      </c>
      <c r="D48" s="70">
        <f>IFERROR(VLOOKUP(B48,'Dados B3'!$1:$1048576,6,FALSE),"-")</f>
        <v/>
      </c>
      <c r="E48" s="189">
        <f>IFERROR((G48/F48)*100%,"0")</f>
        <v/>
      </c>
      <c r="F48" s="190">
        <f>IFERROR(VLOOKUP(B48,'Dados B3'!$1:$1048576,4,0),"0,00")</f>
        <v/>
      </c>
      <c r="G48" s="191">
        <f>SUM($P$3:$P$46)*A48</f>
        <v/>
      </c>
      <c r="H48" s="71">
        <f>IFERROR(_xlfn.NUMBERVALUE(VLOOKUP(B48,'Dados B3'!A:G,7,FALSE),","),0)</f>
        <v/>
      </c>
      <c r="J48" s="82">
        <f>C48</f>
        <v/>
      </c>
      <c r="K48" s="83">
        <f>D48</f>
        <v/>
      </c>
      <c r="L48" s="83">
        <f>B48</f>
        <v/>
      </c>
      <c r="M48" s="84">
        <f>SUMIF(OPERAÇÕES!B:B,L48,OPERAÇÕES!$F:F)</f>
        <v/>
      </c>
      <c r="N48" s="202">
        <f>IF(M48=0,0,SUMIF(OPERAÇÕES!B:B,L48,OPERAÇÕES!$G:G)/M48)</f>
        <v/>
      </c>
      <c r="O48" s="202">
        <f>N48*M48</f>
        <v/>
      </c>
      <c r="P48" s="203">
        <f>IFERROR(M48*F48,"0,00")</f>
        <v/>
      </c>
      <c r="Q48" s="204">
        <f>P48-O48</f>
        <v/>
      </c>
      <c r="R48" s="85">
        <f>IFERROR(Q48/O48,"0,00%")</f>
        <v/>
      </c>
      <c r="S48" s="195">
        <f>IFERROR(IF(AND(R48&lt;=SUM($R$3:$R$61))*E48-M48&lt;=0,"0",E48-M48),"0")</f>
        <v/>
      </c>
      <c r="T48" s="205">
        <f>IFERROR(IF(S48*F48&lt;F48*S48,0,S48*F48),"0,00")</f>
        <v/>
      </c>
      <c r="U48" s="197">
        <f>IFERROR(IF(R48&lt;H48,0,IF(M48&lt;E48,0,M48-E48)),"0")</f>
        <v/>
      </c>
    </row>
    <row r="49" ht="15.75" customHeight="1" s="107" thickBot="1">
      <c r="A49" s="68">
        <f>IFERROR(H49/SUM($H$3:$H$42),0)</f>
        <v/>
      </c>
      <c r="B49" s="81" t="n"/>
      <c r="C49" s="70">
        <f>IFERROR(VLOOKUP(B49,'Dados B3'!$1:$1048576,2,0),"-")</f>
        <v/>
      </c>
      <c r="D49" s="70">
        <f>IFERROR(VLOOKUP(B49,'Dados B3'!$1:$1048576,6,FALSE),"-")</f>
        <v/>
      </c>
      <c r="E49" s="189">
        <f>IFERROR((G49/F49)*100%,"0")</f>
        <v/>
      </c>
      <c r="F49" s="190">
        <f>IFERROR(VLOOKUP(B49,'Dados B3'!$1:$1048576,4,0),"0,00")</f>
        <v/>
      </c>
      <c r="G49" s="191">
        <f>SUM($P$3:$P$46)*A49</f>
        <v/>
      </c>
      <c r="H49" s="71">
        <f>IFERROR(_xlfn.NUMBERVALUE(VLOOKUP(B49,'Dados B3'!A:G,7,FALSE),","),0)</f>
        <v/>
      </c>
      <c r="J49" s="82">
        <f>C49</f>
        <v/>
      </c>
      <c r="K49" s="83">
        <f>D49</f>
        <v/>
      </c>
      <c r="L49" s="83">
        <f>B49</f>
        <v/>
      </c>
      <c r="M49" s="84">
        <f>SUMIF(OPERAÇÕES!B:B,L49,OPERAÇÕES!$F:F)</f>
        <v/>
      </c>
      <c r="N49" s="202">
        <f>IF(M49=0,0,SUMIF(OPERAÇÕES!B:B,L49,OPERAÇÕES!$G:G)/M49)</f>
        <v/>
      </c>
      <c r="O49" s="202">
        <f>N49*M49</f>
        <v/>
      </c>
      <c r="P49" s="203">
        <f>IFERROR(M49*F49,"0,00")</f>
        <v/>
      </c>
      <c r="Q49" s="204">
        <f>P49-O49</f>
        <v/>
      </c>
      <c r="R49" s="85">
        <f>IFERROR(Q49/O49,"0,00%")</f>
        <v/>
      </c>
      <c r="S49" s="195">
        <f>IFERROR(IF(AND(R49&lt;=SUM($R$3:$R$61))*E49-M49&lt;=0,"0",E49-M49),"0")</f>
        <v/>
      </c>
      <c r="T49" s="205">
        <f>IFERROR(IF(S49*F49&lt;F49*S49,0,S49*F49),"0,00")</f>
        <v/>
      </c>
      <c r="U49" s="197">
        <f>IFERROR(IF(R49&lt;H49,0,IF(M49&lt;E49,0,M49-E49)),"0")</f>
        <v/>
      </c>
    </row>
    <row r="50" ht="15.75" customHeight="1" s="107" thickBot="1">
      <c r="A50" s="68">
        <f>IFERROR(H50/SUM($H$3:$H$42),0)</f>
        <v/>
      </c>
      <c r="B50" s="81" t="n"/>
      <c r="C50" s="70">
        <f>IFERROR(VLOOKUP(B50,'Dados B3'!$1:$1048576,2,0),"-")</f>
        <v/>
      </c>
      <c r="D50" s="70">
        <f>IFERROR(VLOOKUP(B50,'Dados B3'!$1:$1048576,6,FALSE),"-")</f>
        <v/>
      </c>
      <c r="E50" s="189">
        <f>IFERROR((G50/F50)*100%,"0")</f>
        <v/>
      </c>
      <c r="F50" s="190">
        <f>IFERROR(VLOOKUP(B50,'Dados B3'!$1:$1048576,4,0),"0,00")</f>
        <v/>
      </c>
      <c r="G50" s="191">
        <f>SUM($P$3:$P$46)*A50</f>
        <v/>
      </c>
      <c r="H50" s="71">
        <f>IFERROR(_xlfn.NUMBERVALUE(VLOOKUP(B50,'Dados B3'!A:G,7,FALSE),","),0)</f>
        <v/>
      </c>
      <c r="J50" s="82">
        <f>C50</f>
        <v/>
      </c>
      <c r="K50" s="83">
        <f>D50</f>
        <v/>
      </c>
      <c r="L50" s="83">
        <f>B50</f>
        <v/>
      </c>
      <c r="M50" s="84">
        <f>SUMIF(OPERAÇÕES!B:B,L50,OPERAÇÕES!$F:F)</f>
        <v/>
      </c>
      <c r="N50" s="202">
        <f>IF(M50=0,0,SUMIF(OPERAÇÕES!B:B,L50,OPERAÇÕES!$G:G)/M50)</f>
        <v/>
      </c>
      <c r="O50" s="202">
        <f>N50*M50</f>
        <v/>
      </c>
      <c r="P50" s="203">
        <f>IFERROR(M50*F50,"0,00")</f>
        <v/>
      </c>
      <c r="Q50" s="204">
        <f>P50-O50</f>
        <v/>
      </c>
      <c r="R50" s="85">
        <f>IFERROR(Q50/O50,"0,00%")</f>
        <v/>
      </c>
      <c r="S50" s="195">
        <f>IFERROR(IF(AND(R50&lt;=SUM($R$3:$R$61))*E50-M50&lt;=0,"0",E50-M50),"0")</f>
        <v/>
      </c>
      <c r="T50" s="205">
        <f>IFERROR(IF(S50*F50&lt;F50*S50,0,S50*F50),"0,00")</f>
        <v/>
      </c>
      <c r="U50" s="197">
        <f>IFERROR(IF(R50&lt;H50,0,IF(M50&lt;E50,0,M50-E50)),"0")</f>
        <v/>
      </c>
    </row>
    <row r="51" ht="15.75" customHeight="1" s="107" thickBot="1">
      <c r="A51" s="68">
        <f>IFERROR(H51/SUM($H$3:$H$42),0)</f>
        <v/>
      </c>
      <c r="B51" s="81" t="n"/>
      <c r="C51" s="70">
        <f>IFERROR(VLOOKUP(B51,'Dados B3'!$1:$1048576,2,0),"-")</f>
        <v/>
      </c>
      <c r="D51" s="70">
        <f>IFERROR(VLOOKUP(B51,'Dados B3'!$1:$1048576,6,FALSE),"-")</f>
        <v/>
      </c>
      <c r="E51" s="189">
        <f>IFERROR((G51/F51)*100%,"0")</f>
        <v/>
      </c>
      <c r="F51" s="190">
        <f>IFERROR(VLOOKUP(B51,'Dados B3'!$1:$1048576,4,0),"0,00")</f>
        <v/>
      </c>
      <c r="G51" s="191">
        <f>SUM($P$3:$P$46)*A51</f>
        <v/>
      </c>
      <c r="H51" s="71">
        <f>IFERROR(_xlfn.NUMBERVALUE(VLOOKUP(B51,'Dados B3'!A:G,7,FALSE),","),0)</f>
        <v/>
      </c>
      <c r="J51" s="82">
        <f>C51</f>
        <v/>
      </c>
      <c r="K51" s="83">
        <f>D51</f>
        <v/>
      </c>
      <c r="L51" s="83">
        <f>B51</f>
        <v/>
      </c>
      <c r="M51" s="84">
        <f>SUMIF(OPERAÇÕES!B:B,L51,OPERAÇÕES!$F:F)</f>
        <v/>
      </c>
      <c r="N51" s="202">
        <f>IF(M51=0,0,SUMIF(OPERAÇÕES!B:B,L51,OPERAÇÕES!$G:G)/M51)</f>
        <v/>
      </c>
      <c r="O51" s="202">
        <f>N51*M51</f>
        <v/>
      </c>
      <c r="P51" s="203">
        <f>IFERROR(M51*F51,"0,00")</f>
        <v/>
      </c>
      <c r="Q51" s="204">
        <f>P51-O51</f>
        <v/>
      </c>
      <c r="R51" s="85">
        <f>IFERROR(Q51/O51,"0,00%")</f>
        <v/>
      </c>
      <c r="S51" s="195">
        <f>IFERROR(IF(AND(R51&lt;=SUM($R$3:$R$61))*E51-M51&lt;=0,"0",E51-M51),"0")</f>
        <v/>
      </c>
      <c r="T51" s="205">
        <f>IFERROR(IF(S51*F51&lt;F51*S51,0,S51*F51),"0,00")</f>
        <v/>
      </c>
      <c r="U51" s="197">
        <f>IFERROR(IF(R51&lt;H51,0,IF(M51&lt;E51,0,M51-E51)),"0")</f>
        <v/>
      </c>
    </row>
    <row r="52" ht="15.75" customHeight="1" s="107" thickBot="1">
      <c r="A52" s="68">
        <f>IFERROR(H52/SUM($H$3:$H$42),0)</f>
        <v/>
      </c>
      <c r="B52" s="81" t="n"/>
      <c r="C52" s="70">
        <f>IFERROR(VLOOKUP(B52,'Dados B3'!$1:$1048576,2,0),"-")</f>
        <v/>
      </c>
      <c r="D52" s="70">
        <f>IFERROR(VLOOKUP(B52,'Dados B3'!$1:$1048576,6,FALSE),"-")</f>
        <v/>
      </c>
      <c r="E52" s="189">
        <f>IFERROR((G52/F52)*100%,"0")</f>
        <v/>
      </c>
      <c r="F52" s="190">
        <f>IFERROR(VLOOKUP(B52,'Dados B3'!$1:$1048576,4,0),"0,00")</f>
        <v/>
      </c>
      <c r="G52" s="191">
        <f>SUM($P$3:$P$46)*A52</f>
        <v/>
      </c>
      <c r="H52" s="71">
        <f>IFERROR(_xlfn.NUMBERVALUE(VLOOKUP(B52,'Dados B3'!A:G,7,FALSE),","),0)</f>
        <v/>
      </c>
      <c r="J52" s="82">
        <f>C52</f>
        <v/>
      </c>
      <c r="K52" s="83">
        <f>D52</f>
        <v/>
      </c>
      <c r="L52" s="83">
        <f>B52</f>
        <v/>
      </c>
      <c r="M52" s="84">
        <f>SUMIF(OPERAÇÕES!B:B,L52,OPERAÇÕES!$F:F)</f>
        <v/>
      </c>
      <c r="N52" s="202">
        <f>IF(M52=0,0,SUMIF(OPERAÇÕES!B:B,L52,OPERAÇÕES!$G:G)/M52)</f>
        <v/>
      </c>
      <c r="O52" s="202">
        <f>N52*M52</f>
        <v/>
      </c>
      <c r="P52" s="203">
        <f>IFERROR(M52*F52,"0,00")</f>
        <v/>
      </c>
      <c r="Q52" s="204">
        <f>P52-O52</f>
        <v/>
      </c>
      <c r="R52" s="85">
        <f>IFERROR(Q52/O52,"0,00%")</f>
        <v/>
      </c>
      <c r="S52" s="195">
        <f>IFERROR(IF(AND(R52&lt;=SUM($R$3:$R$61))*E52-M52&lt;=0,"0",E52-M52),"0")</f>
        <v/>
      </c>
      <c r="T52" s="205">
        <f>IFERROR(IF(S52*F52&lt;F52*S52,0,S52*F52),"0,00")</f>
        <v/>
      </c>
      <c r="U52" s="197">
        <f>IFERROR(IF(R52&lt;H52,0,IF(M52&lt;E52,0,M52-E52)),"0")</f>
        <v/>
      </c>
    </row>
    <row r="53" ht="15.75" customHeight="1" s="107" thickBot="1">
      <c r="A53" s="68">
        <f>IFERROR(H53/SUM($H$3:$H$42),0)</f>
        <v/>
      </c>
      <c r="B53" s="81" t="n"/>
      <c r="C53" s="70">
        <f>IFERROR(VLOOKUP(B53,'Dados B3'!$1:$1048576,2,0),"-")</f>
        <v/>
      </c>
      <c r="D53" s="70">
        <f>IFERROR(VLOOKUP(B53,'Dados B3'!$1:$1048576,6,FALSE),"-")</f>
        <v/>
      </c>
      <c r="E53" s="189">
        <f>IFERROR((G53/F53)*100%,"0")</f>
        <v/>
      </c>
      <c r="F53" s="190">
        <f>IFERROR(VLOOKUP(B53,'Dados B3'!$1:$1048576,4,0),"0,00")</f>
        <v/>
      </c>
      <c r="G53" s="191">
        <f>SUM($P$3:$P$46)*A53</f>
        <v/>
      </c>
      <c r="H53" s="71">
        <f>IFERROR(_xlfn.NUMBERVALUE(VLOOKUP(B53,'Dados B3'!A:G,7,FALSE),","),0)</f>
        <v/>
      </c>
      <c r="J53" s="82">
        <f>C53</f>
        <v/>
      </c>
      <c r="K53" s="83">
        <f>D53</f>
        <v/>
      </c>
      <c r="L53" s="83">
        <f>B53</f>
        <v/>
      </c>
      <c r="M53" s="84">
        <f>SUMIF(OPERAÇÕES!B:B,L53,OPERAÇÕES!$F:F)</f>
        <v/>
      </c>
      <c r="N53" s="202">
        <f>IF(M53=0,0,SUMIF(OPERAÇÕES!B:B,L53,OPERAÇÕES!$G:G)/M53)</f>
        <v/>
      </c>
      <c r="O53" s="202">
        <f>N53*M53</f>
        <v/>
      </c>
      <c r="P53" s="203">
        <f>IFERROR(M53*F53,"0,00")</f>
        <v/>
      </c>
      <c r="Q53" s="204">
        <f>P53-O53</f>
        <v/>
      </c>
      <c r="R53" s="85">
        <f>IFERROR(Q53/O53,"0,00%")</f>
        <v/>
      </c>
      <c r="S53" s="195">
        <f>IFERROR(IF(AND(R53&lt;=SUM($R$3:$R$61))*E53-M53&lt;=0,"0",E53-M53),"0")</f>
        <v/>
      </c>
      <c r="T53" s="205">
        <f>IFERROR(IF(S53*F53&lt;F53*S53,0,S53*F53),"0,00")</f>
        <v/>
      </c>
      <c r="U53" s="197">
        <f>IFERROR(IF(R53&lt;H53,0,IF(M53&lt;E53,0,M53-E53)),"0")</f>
        <v/>
      </c>
    </row>
    <row r="54" ht="15.75" customHeight="1" s="107" thickBot="1">
      <c r="A54" s="68">
        <f>IFERROR(H54/SUM($H$3:$H$42),0)</f>
        <v/>
      </c>
      <c r="B54" s="81" t="n"/>
      <c r="C54" s="70">
        <f>IFERROR(VLOOKUP(B54,'Dados B3'!$1:$1048576,2,0),"-")</f>
        <v/>
      </c>
      <c r="D54" s="70">
        <f>IFERROR(VLOOKUP(B54,'Dados B3'!$1:$1048576,6,FALSE),"-")</f>
        <v/>
      </c>
      <c r="E54" s="189">
        <f>IFERROR((G54/F54)*100%,"0")</f>
        <v/>
      </c>
      <c r="F54" s="190">
        <f>IFERROR(VLOOKUP(B54,'Dados B3'!$1:$1048576,4,0),"0,00")</f>
        <v/>
      </c>
      <c r="G54" s="191">
        <f>SUM($P$3:$P$46)*A54</f>
        <v/>
      </c>
      <c r="H54" s="71">
        <f>IFERROR(_xlfn.NUMBERVALUE(VLOOKUP(B54,'Dados B3'!A:G,7,FALSE),","),0)</f>
        <v/>
      </c>
      <c r="J54" s="82">
        <f>C54</f>
        <v/>
      </c>
      <c r="K54" s="83">
        <f>D54</f>
        <v/>
      </c>
      <c r="L54" s="83">
        <f>B54</f>
        <v/>
      </c>
      <c r="M54" s="84">
        <f>SUMIF(OPERAÇÕES!B:B,L54,OPERAÇÕES!$F:F)</f>
        <v/>
      </c>
      <c r="N54" s="202">
        <f>IF(M54=0,0,SUMIF(OPERAÇÕES!B:B,L54,OPERAÇÕES!$G:G)/M54)</f>
        <v/>
      </c>
      <c r="O54" s="202">
        <f>N54*M54</f>
        <v/>
      </c>
      <c r="P54" s="203">
        <f>IFERROR(M54*F54,"0,00")</f>
        <v/>
      </c>
      <c r="Q54" s="204">
        <f>P54-O54</f>
        <v/>
      </c>
      <c r="R54" s="85">
        <f>IFERROR(Q54/O54,"0,00%")</f>
        <v/>
      </c>
      <c r="S54" s="195">
        <f>IFERROR(IF(AND(R54&lt;=SUM($R$3:$R$61))*E54-M54&lt;=0,"0",E54-M54),"0")</f>
        <v/>
      </c>
      <c r="T54" s="205">
        <f>IFERROR(IF(S54*F54&lt;F54*S54,0,S54*F54),"0,00")</f>
        <v/>
      </c>
      <c r="U54" s="197">
        <f>IFERROR(IF(R54&lt;H54,0,IF(M54&lt;E54,0,M54-E54)),"0")</f>
        <v/>
      </c>
    </row>
    <row r="55" ht="15.75" customHeight="1" s="107" thickBot="1">
      <c r="A55" s="68">
        <f>IFERROR(H55/SUM($H$3:$H$42),0)</f>
        <v/>
      </c>
      <c r="B55" s="81" t="n"/>
      <c r="C55" s="70">
        <f>IFERROR(VLOOKUP(B55,'Dados B3'!$1:$1048576,2,0),"-")</f>
        <v/>
      </c>
      <c r="D55" s="70">
        <f>IFERROR(VLOOKUP(B55,'Dados B3'!$1:$1048576,6,FALSE),"-")</f>
        <v/>
      </c>
      <c r="E55" s="189">
        <f>IFERROR((G55/F55)*100%,"0")</f>
        <v/>
      </c>
      <c r="F55" s="190">
        <f>IFERROR(VLOOKUP(B55,'Dados B3'!$1:$1048576,4,0),"0,00")</f>
        <v/>
      </c>
      <c r="G55" s="191">
        <f>SUM($P$3:$P$46)*A55</f>
        <v/>
      </c>
      <c r="H55" s="71">
        <f>IFERROR(_xlfn.NUMBERVALUE(VLOOKUP(B55,'Dados B3'!A:G,7,FALSE),","),0)</f>
        <v/>
      </c>
      <c r="J55" s="82">
        <f>C55</f>
        <v/>
      </c>
      <c r="K55" s="83">
        <f>D55</f>
        <v/>
      </c>
      <c r="L55" s="83">
        <f>B55</f>
        <v/>
      </c>
      <c r="M55" s="84">
        <f>SUMIF(OPERAÇÕES!B:B,L55,OPERAÇÕES!$F:F)</f>
        <v/>
      </c>
      <c r="N55" s="202">
        <f>IF(M55=0,0,SUMIF(OPERAÇÕES!B:B,L55,OPERAÇÕES!$G:G)/M55)</f>
        <v/>
      </c>
      <c r="O55" s="202">
        <f>N55*M55</f>
        <v/>
      </c>
      <c r="P55" s="203">
        <f>IFERROR(M55*F55,"0,00")</f>
        <v/>
      </c>
      <c r="Q55" s="204">
        <f>P55-O55</f>
        <v/>
      </c>
      <c r="R55" s="85">
        <f>IFERROR(Q55/O55,"0,00%")</f>
        <v/>
      </c>
      <c r="S55" s="195">
        <f>IFERROR(IF(AND(R55&lt;=SUM($R$3:$R$61))*E55-M55&lt;=0,"0",E55-M55),"0")</f>
        <v/>
      </c>
      <c r="T55" s="205">
        <f>IFERROR(IF(S55*F55&lt;F55*S55,0,S55*F55),"0,00")</f>
        <v/>
      </c>
      <c r="U55" s="197">
        <f>IFERROR(IF(R55&lt;H55,0,IF(M55&lt;E55,0,M55-E55)),"0")</f>
        <v/>
      </c>
    </row>
    <row r="56" ht="15.75" customHeight="1" s="107" thickBot="1">
      <c r="A56" s="68">
        <f>IFERROR(H56/SUM($H$3:$H$42),0)</f>
        <v/>
      </c>
      <c r="B56" s="81" t="n"/>
      <c r="C56" s="70">
        <f>IFERROR(VLOOKUP(B56,'Dados B3'!$1:$1048576,2,0),"-")</f>
        <v/>
      </c>
      <c r="D56" s="70">
        <f>IFERROR(VLOOKUP(B56,'Dados B3'!$1:$1048576,6,FALSE),"-")</f>
        <v/>
      </c>
      <c r="E56" s="189">
        <f>IFERROR((G56/F56)*100%,"0")</f>
        <v/>
      </c>
      <c r="F56" s="190">
        <f>IFERROR(VLOOKUP(B56,'Dados B3'!$1:$1048576,4,0),"0,00")</f>
        <v/>
      </c>
      <c r="G56" s="191">
        <f>SUM($P$3:$P$46)*A56</f>
        <v/>
      </c>
      <c r="H56" s="71">
        <f>IFERROR(_xlfn.NUMBERVALUE(VLOOKUP(B56,'Dados B3'!A:G,7,FALSE),","),0)</f>
        <v/>
      </c>
      <c r="J56" s="82">
        <f>C56</f>
        <v/>
      </c>
      <c r="K56" s="83">
        <f>D56</f>
        <v/>
      </c>
      <c r="L56" s="83">
        <f>B56</f>
        <v/>
      </c>
      <c r="M56" s="84">
        <f>SUMIF(OPERAÇÕES!B:B,L56,OPERAÇÕES!$F:F)</f>
        <v/>
      </c>
      <c r="N56" s="202">
        <f>IF(M56=0,0,SUMIF(OPERAÇÕES!B:B,L56,OPERAÇÕES!$G:G)/M56)</f>
        <v/>
      </c>
      <c r="O56" s="202">
        <f>N56*M56</f>
        <v/>
      </c>
      <c r="P56" s="203">
        <f>IFERROR(M56*F56,"0,00")</f>
        <v/>
      </c>
      <c r="Q56" s="204">
        <f>P56-O56</f>
        <v/>
      </c>
      <c r="R56" s="85">
        <f>IFERROR(Q56/O56,"0,00%")</f>
        <v/>
      </c>
      <c r="S56" s="195">
        <f>IFERROR(IF(AND(R56&lt;=SUM($R$3:$R$61))*E56-M56&lt;=0,"0",E56-M56),"0")</f>
        <v/>
      </c>
      <c r="T56" s="205">
        <f>IFERROR(IF(S56*F56&lt;F56*S56,0,S56*F56),"0,00")</f>
        <v/>
      </c>
      <c r="U56" s="197">
        <f>IFERROR(IF(R56&lt;H56,0,IF(M56&lt;E56,0,M56-E56)),"0")</f>
        <v/>
      </c>
    </row>
    <row r="57" ht="15.75" customHeight="1" s="107" thickBot="1">
      <c r="A57" s="68">
        <f>IFERROR(H57/SUM($H$3:$H$42),0)</f>
        <v/>
      </c>
      <c r="B57" s="81" t="n"/>
      <c r="C57" s="70">
        <f>IFERROR(VLOOKUP(B57,'Dados B3'!$1:$1048576,2,0),"-")</f>
        <v/>
      </c>
      <c r="D57" s="70">
        <f>IFERROR(VLOOKUP(B57,'Dados B3'!$1:$1048576,6,FALSE),"-")</f>
        <v/>
      </c>
      <c r="E57" s="189">
        <f>IFERROR((G57/F57)*100%,"0")</f>
        <v/>
      </c>
      <c r="F57" s="190">
        <f>IFERROR(VLOOKUP(B57,'Dados B3'!$1:$1048576,4,0),"0,00")</f>
        <v/>
      </c>
      <c r="G57" s="191">
        <f>SUM($P$3:$P$46)*A57</f>
        <v/>
      </c>
      <c r="H57" s="71">
        <f>IFERROR(_xlfn.NUMBERVALUE(VLOOKUP(B57,'Dados B3'!A:G,7,FALSE),","),0)</f>
        <v/>
      </c>
      <c r="J57" s="82">
        <f>C57</f>
        <v/>
      </c>
      <c r="K57" s="83">
        <f>D57</f>
        <v/>
      </c>
      <c r="L57" s="83">
        <f>B57</f>
        <v/>
      </c>
      <c r="M57" s="84">
        <f>SUMIF(OPERAÇÕES!B:B,L57,OPERAÇÕES!$F:F)</f>
        <v/>
      </c>
      <c r="N57" s="202">
        <f>IF(M57=0,0,SUMIF(OPERAÇÕES!B:B,L57,OPERAÇÕES!$G:G)/M57)</f>
        <v/>
      </c>
      <c r="O57" s="202">
        <f>N57*M57</f>
        <v/>
      </c>
      <c r="P57" s="203">
        <f>IFERROR(M57*F57,"0,00")</f>
        <v/>
      </c>
      <c r="Q57" s="204">
        <f>P57-O57</f>
        <v/>
      </c>
      <c r="R57" s="85">
        <f>IFERROR(Q57/O57,"0,00%")</f>
        <v/>
      </c>
      <c r="S57" s="195">
        <f>IFERROR(IF(AND(R57&lt;=SUM($R$3:$R$61))*E57-M57&lt;=0,"0",E57-M57),"0")</f>
        <v/>
      </c>
      <c r="T57" s="205">
        <f>IFERROR(IF(S57*F57&lt;F57*S57,0,S57*F57),"0,00")</f>
        <v/>
      </c>
      <c r="U57" s="197">
        <f>IFERROR(IF(R57&lt;H57,0,IF(M57&lt;E57,0,M57-E57)),"0")</f>
        <v/>
      </c>
    </row>
    <row r="58" ht="15.75" customHeight="1" s="107" thickBot="1">
      <c r="A58" s="68">
        <f>IFERROR(H58/SUM($H$3:$H$42),0)</f>
        <v/>
      </c>
      <c r="B58" s="81" t="n"/>
      <c r="C58" s="70">
        <f>IFERROR(VLOOKUP(B58,'Dados B3'!$1:$1048576,2,0),"-")</f>
        <v/>
      </c>
      <c r="D58" s="70">
        <f>IFERROR(VLOOKUP(B58,'Dados B3'!$1:$1048576,6,FALSE),"-")</f>
        <v/>
      </c>
      <c r="E58" s="189">
        <f>IFERROR((G58/F58)*100%,"0")</f>
        <v/>
      </c>
      <c r="F58" s="190">
        <f>IFERROR(VLOOKUP(B58,'Dados B3'!$1:$1048576,4,0),"0,00")</f>
        <v/>
      </c>
      <c r="G58" s="191">
        <f>SUM($P$3:$P$46)*A58</f>
        <v/>
      </c>
      <c r="H58" s="71">
        <f>IFERROR(_xlfn.NUMBERVALUE(VLOOKUP(B58,'Dados B3'!A:G,7,FALSE),","),0)</f>
        <v/>
      </c>
      <c r="J58" s="82">
        <f>C58</f>
        <v/>
      </c>
      <c r="K58" s="83">
        <f>D58</f>
        <v/>
      </c>
      <c r="L58" s="83">
        <f>B58</f>
        <v/>
      </c>
      <c r="M58" s="84">
        <f>SUMIF(OPERAÇÕES!B:B,L58,OPERAÇÕES!$F:F)</f>
        <v/>
      </c>
      <c r="N58" s="202">
        <f>IF(M58=0,0,SUMIF(OPERAÇÕES!B:B,L58,OPERAÇÕES!$G:G)/M58)</f>
        <v/>
      </c>
      <c r="O58" s="202">
        <f>N58*M58</f>
        <v/>
      </c>
      <c r="P58" s="203">
        <f>IFERROR(M58*F58,"0,00")</f>
        <v/>
      </c>
      <c r="Q58" s="204">
        <f>P58-O58</f>
        <v/>
      </c>
      <c r="R58" s="85">
        <f>IFERROR(Q58/O58,"0,00%")</f>
        <v/>
      </c>
      <c r="S58" s="195">
        <f>IFERROR(IF(AND(R58&lt;=SUM($R$3:$R$61))*E58-M58&lt;=0,"0",E58-M58),"0")</f>
        <v/>
      </c>
      <c r="T58" s="205">
        <f>IFERROR(IF(S58*F58&lt;F58*S58,0,S58*F58),"0,00")</f>
        <v/>
      </c>
      <c r="U58" s="197">
        <f>IFERROR(IF(R58&lt;H58,0,IF(M58&lt;E58,0,M58-E58)),"0")</f>
        <v/>
      </c>
    </row>
    <row r="59" ht="15.75" customHeight="1" s="107" thickBot="1">
      <c r="A59" s="68">
        <f>IFERROR(H59/SUM($H$3:$H$42),0)</f>
        <v/>
      </c>
      <c r="B59" s="81" t="n"/>
      <c r="C59" s="70">
        <f>IFERROR(VLOOKUP(B59,'Dados B3'!$1:$1048576,2,0),"-")</f>
        <v/>
      </c>
      <c r="D59" s="70">
        <f>IFERROR(VLOOKUP(B59,'Dados B3'!$1:$1048576,6,FALSE),"-")</f>
        <v/>
      </c>
      <c r="E59" s="189">
        <f>IFERROR((G59/F59)*100%,"0")</f>
        <v/>
      </c>
      <c r="F59" s="190">
        <f>IFERROR(VLOOKUP(B59,'Dados B3'!$1:$1048576,4,0),"0,00")</f>
        <v/>
      </c>
      <c r="G59" s="191">
        <f>SUM($P$3:$P$46)*A59</f>
        <v/>
      </c>
      <c r="H59" s="71">
        <f>IFERROR(_xlfn.NUMBERVALUE(VLOOKUP(B59,'Dados B3'!A:G,7,FALSE),","),0)</f>
        <v/>
      </c>
      <c r="J59" s="82">
        <f>C59</f>
        <v/>
      </c>
      <c r="K59" s="83">
        <f>D59</f>
        <v/>
      </c>
      <c r="L59" s="83">
        <f>B59</f>
        <v/>
      </c>
      <c r="M59" s="84">
        <f>SUMIF(OPERAÇÕES!B:B,L59,OPERAÇÕES!$F:F)</f>
        <v/>
      </c>
      <c r="N59" s="202">
        <f>IF(M59=0,0,SUMIF(OPERAÇÕES!B:B,L59,OPERAÇÕES!$G:G)/M59)</f>
        <v/>
      </c>
      <c r="O59" s="202">
        <f>N59*M59</f>
        <v/>
      </c>
      <c r="P59" s="203">
        <f>IFERROR(M59*F59,"0,00")</f>
        <v/>
      </c>
      <c r="Q59" s="204">
        <f>P59-O59</f>
        <v/>
      </c>
      <c r="R59" s="85">
        <f>IFERROR(Q59/O59,"0,00%")</f>
        <v/>
      </c>
      <c r="S59" s="195">
        <f>IFERROR(IF(AND(R59&lt;=SUM($R$3:$R$61))*E59-M59&lt;=0,"0",E59-M59),"0")</f>
        <v/>
      </c>
      <c r="T59" s="205">
        <f>IFERROR(IF(S59*F59&lt;F59*S59,0,S59*F59),"0,00")</f>
        <v/>
      </c>
      <c r="U59" s="197">
        <f>IFERROR(IF(R59&lt;H59,0,IF(M59&lt;E59,0,M59-E59)),"0")</f>
        <v/>
      </c>
    </row>
    <row r="60" ht="15.75" customHeight="1" s="107" thickBot="1">
      <c r="A60" s="68">
        <f>IFERROR(H60/SUM($H$3:$H$42),0)</f>
        <v/>
      </c>
      <c r="B60" s="81" t="n"/>
      <c r="C60" s="70">
        <f>IFERROR(VLOOKUP(B60,'Dados B3'!$1:$1048576,2,0),"-")</f>
        <v/>
      </c>
      <c r="D60" s="70">
        <f>IFERROR(VLOOKUP(B60,'Dados B3'!$1:$1048576,6,FALSE),"-")</f>
        <v/>
      </c>
      <c r="E60" s="189">
        <f>IFERROR((G60/F60)*100%,"0")</f>
        <v/>
      </c>
      <c r="F60" s="190">
        <f>IFERROR(VLOOKUP(B60,'Dados B3'!$1:$1048576,4,0),"0,00")</f>
        <v/>
      </c>
      <c r="G60" s="191">
        <f>SUM($P$3:$P$46)*A60</f>
        <v/>
      </c>
      <c r="H60" s="71">
        <f>IFERROR(_xlfn.NUMBERVALUE(VLOOKUP(B60,'Dados B3'!A:G,7,FALSE),","),0)</f>
        <v/>
      </c>
      <c r="J60" s="82">
        <f>C60</f>
        <v/>
      </c>
      <c r="K60" s="83">
        <f>D60</f>
        <v/>
      </c>
      <c r="L60" s="83">
        <f>B60</f>
        <v/>
      </c>
      <c r="M60" s="84">
        <f>SUMIF(OPERAÇÕES!B:B,L60,OPERAÇÕES!$F:F)</f>
        <v/>
      </c>
      <c r="N60" s="202">
        <f>IF(M60=0,0,SUMIF(OPERAÇÕES!B:B,L60,OPERAÇÕES!$G:G)/M60)</f>
        <v/>
      </c>
      <c r="O60" s="202">
        <f>N60*M60</f>
        <v/>
      </c>
      <c r="P60" s="203">
        <f>IFERROR(M60*F60,"0,00")</f>
        <v/>
      </c>
      <c r="Q60" s="204">
        <f>P60-O60</f>
        <v/>
      </c>
      <c r="R60" s="85">
        <f>IFERROR(Q60/O60,"0,00%")</f>
        <v/>
      </c>
      <c r="S60" s="195">
        <f>IFERROR(IF(AND(R60&lt;=SUM($R$3:$R$61))*E60-M60&lt;=0,"0",E60-M60),"0")</f>
        <v/>
      </c>
      <c r="T60" s="205">
        <f>IFERROR(IF(S60*F60&lt;F60*S60,0,S60*F60),"0,00")</f>
        <v/>
      </c>
      <c r="U60" s="197">
        <f>IFERROR(IF(R60&lt;H60,0,IF(M60&lt;E60,0,M60-E60)),"0")</f>
        <v/>
      </c>
    </row>
    <row r="61" ht="15.75" customHeight="1" s="107" thickBot="1">
      <c r="A61" s="68">
        <f>IFERROR(H61/SUM($H$3:$H$42),0)</f>
        <v/>
      </c>
      <c r="B61" s="81" t="n"/>
      <c r="C61" s="70">
        <f>IFERROR(VLOOKUP(B61,'Dados B3'!$1:$1048576,2,0),"-")</f>
        <v/>
      </c>
      <c r="D61" s="70">
        <f>IFERROR(VLOOKUP(B61,'Dados B3'!$1:$1048576,6,FALSE),"-")</f>
        <v/>
      </c>
      <c r="E61" s="189">
        <f>IFERROR((G61/F61)*100%,"0")</f>
        <v/>
      </c>
      <c r="F61" s="190">
        <f>IFERROR(VLOOKUP(B61,'Dados B3'!$1:$1048576,4,0),"0,00")</f>
        <v/>
      </c>
      <c r="G61" s="191">
        <f>SUM($P$3:$P$46)*A61</f>
        <v/>
      </c>
      <c r="H61" s="71">
        <f>IFERROR(_xlfn.NUMBERVALUE(VLOOKUP(B61,'Dados B3'!A:G,7,FALSE),","),0)</f>
        <v/>
      </c>
      <c r="J61" s="82">
        <f>C61</f>
        <v/>
      </c>
      <c r="K61" s="83">
        <f>D61</f>
        <v/>
      </c>
      <c r="L61" s="83">
        <f>B61</f>
        <v/>
      </c>
      <c r="M61" s="84">
        <f>SUMIF(OPERAÇÕES!B:B,L61,OPERAÇÕES!$F:F)</f>
        <v/>
      </c>
      <c r="N61" s="202">
        <f>IF(M61=0,0,SUMIF(OPERAÇÕES!B:B,L61,OPERAÇÕES!$G:G)/M61)</f>
        <v/>
      </c>
      <c r="O61" s="202">
        <f>N61*M61</f>
        <v/>
      </c>
      <c r="P61" s="203">
        <f>IFERROR(M61*F61,"0,00")</f>
        <v/>
      </c>
      <c r="Q61" s="204">
        <f>P61-O61</f>
        <v/>
      </c>
      <c r="R61" s="85">
        <f>IFERROR(Q61/O61,"0,00%")</f>
        <v/>
      </c>
      <c r="S61" s="195">
        <f>IFERROR(IF(AND(R61&lt;=SUM($R$3:$R$61))*E61-M61&lt;=0,"0",E61-M61),"0")</f>
        <v/>
      </c>
      <c r="T61" s="205">
        <f>IFERROR(IF(S61*F61&lt;F61*S61,0,S61*F61),"0,00")</f>
        <v/>
      </c>
      <c r="U61" s="197">
        <f>IFERROR(IF(R61&lt;H61,0,IF(M61&lt;E61,0,M61-E61)),"0")</f>
        <v/>
      </c>
    </row>
    <row r="62">
      <c r="B62" s="87" t="n"/>
    </row>
    <row r="63">
      <c r="B63" s="87" t="n"/>
    </row>
    <row r="64">
      <c r="B64" s="87" t="n"/>
    </row>
    <row r="65">
      <c r="B65" s="87" t="n"/>
    </row>
    <row r="66">
      <c r="B66" s="87" t="n"/>
    </row>
    <row r="67">
      <c r="B67" s="87" t="n"/>
    </row>
    <row r="68">
      <c r="B68" s="87" t="n"/>
    </row>
    <row r="69">
      <c r="B69" s="87" t="n"/>
    </row>
    <row r="70">
      <c r="B70" s="87" t="n"/>
    </row>
    <row r="71">
      <c r="B71" s="87" t="n"/>
    </row>
    <row r="72">
      <c r="B72" s="87" t="n"/>
    </row>
    <row r="73">
      <c r="B73" s="87" t="n"/>
    </row>
    <row r="74">
      <c r="B74" s="87" t="n"/>
    </row>
    <row r="75">
      <c r="B75" s="87" t="n"/>
    </row>
    <row r="76">
      <c r="B76" s="87" t="n"/>
    </row>
    <row r="77">
      <c r="B77" s="87" t="n"/>
    </row>
    <row r="78">
      <c r="B78" s="87" t="n"/>
    </row>
    <row r="79">
      <c r="B79" s="87" t="n"/>
    </row>
    <row r="80">
      <c r="B80" s="87" t="n"/>
    </row>
    <row r="81">
      <c r="B81" s="87" t="n"/>
    </row>
    <row r="82">
      <c r="B82" s="87" t="n"/>
    </row>
    <row r="83">
      <c r="B83" s="87" t="n"/>
    </row>
    <row r="84">
      <c r="B84" s="87" t="n"/>
    </row>
    <row r="85">
      <c r="B85" s="87" t="n"/>
    </row>
    <row r="86">
      <c r="B86" s="87" t="n"/>
    </row>
    <row r="87">
      <c r="B87" s="87" t="n"/>
    </row>
    <row r="88">
      <c r="B88" s="87" t="n"/>
    </row>
    <row r="89">
      <c r="B89" s="87" t="n"/>
    </row>
    <row r="90">
      <c r="B90" s="87" t="n"/>
    </row>
    <row r="91">
      <c r="B91" s="87" t="n"/>
    </row>
    <row r="92">
      <c r="B92" s="87" t="n"/>
    </row>
    <row r="93">
      <c r="B93" s="87" t="n"/>
    </row>
    <row r="94">
      <c r="B94" s="87" t="n"/>
    </row>
    <row r="95">
      <c r="B95" s="87" t="n"/>
    </row>
    <row r="96">
      <c r="B96" s="87" t="n"/>
    </row>
    <row r="97">
      <c r="B97" s="87" t="n"/>
    </row>
    <row r="98">
      <c r="B98" s="87" t="n"/>
    </row>
    <row r="99">
      <c r="B99" s="87" t="n"/>
    </row>
    <row r="100">
      <c r="B100" s="87" t="n"/>
    </row>
    <row r="101">
      <c r="B101" s="87" t="n"/>
    </row>
    <row r="102">
      <c r="B102" s="87" t="n"/>
    </row>
    <row r="103">
      <c r="B103" s="87" t="n"/>
    </row>
    <row r="104">
      <c r="B104" s="87" t="n"/>
    </row>
    <row r="105">
      <c r="B105" s="87" t="n"/>
    </row>
    <row r="106">
      <c r="B106" s="87" t="n"/>
    </row>
    <row r="107">
      <c r="B107" s="87" t="n"/>
    </row>
    <row r="108">
      <c r="B108" s="87" t="n"/>
    </row>
    <row r="109">
      <c r="B109" s="87" t="n"/>
    </row>
    <row r="110">
      <c r="B110" s="87" t="n"/>
    </row>
    <row r="111">
      <c r="B111" s="87" t="n"/>
    </row>
    <row r="112">
      <c r="B112" s="87" t="n"/>
    </row>
    <row r="113">
      <c r="B113" s="87" t="n"/>
    </row>
    <row r="114">
      <c r="B114" s="87" t="n"/>
    </row>
    <row r="115">
      <c r="B115" s="87" t="n"/>
    </row>
    <row r="116">
      <c r="B116" s="87" t="n"/>
    </row>
    <row r="117">
      <c r="B117" s="87" t="n"/>
    </row>
    <row r="118">
      <c r="B118" s="87" t="n"/>
    </row>
    <row r="119">
      <c r="B119" s="87" t="n"/>
    </row>
    <row r="120">
      <c r="B120" s="87" t="n"/>
    </row>
    <row r="121">
      <c r="B121" s="87" t="n"/>
    </row>
    <row r="122">
      <c r="B122" s="87" t="n"/>
    </row>
    <row r="123">
      <c r="B123" s="87" t="n"/>
    </row>
    <row r="124">
      <c r="B124" s="87" t="n"/>
    </row>
    <row r="125">
      <c r="B125" s="87" t="n"/>
    </row>
    <row r="126">
      <c r="B126" s="87" t="n"/>
    </row>
    <row r="127">
      <c r="B127" s="87" t="n"/>
    </row>
    <row r="128">
      <c r="B128" s="87" t="n"/>
    </row>
    <row r="129">
      <c r="B129" s="87" t="n"/>
    </row>
    <row r="130">
      <c r="B130" s="87" t="n"/>
    </row>
    <row r="131">
      <c r="B131" s="87" t="n"/>
    </row>
    <row r="132">
      <c r="B132" s="87" t="n"/>
    </row>
    <row r="133">
      <c r="B133" s="87" t="n"/>
    </row>
    <row r="134">
      <c r="B134" s="87" t="n"/>
    </row>
    <row r="135">
      <c r="B135" s="87" t="n"/>
    </row>
    <row r="136">
      <c r="B136" s="87" t="n"/>
    </row>
    <row r="137">
      <c r="B137" s="87" t="n"/>
    </row>
    <row r="138">
      <c r="B138" s="87" t="n"/>
    </row>
    <row r="139">
      <c r="B139" s="87" t="n"/>
    </row>
    <row r="140">
      <c r="B140" s="87" t="n"/>
    </row>
    <row r="141">
      <c r="B141" s="87" t="n"/>
    </row>
    <row r="142">
      <c r="B142" s="87" t="n"/>
    </row>
    <row r="143">
      <c r="B143" s="87" t="n"/>
    </row>
    <row r="144">
      <c r="B144" s="87" t="n"/>
    </row>
    <row r="145">
      <c r="B145" s="87" t="n"/>
    </row>
    <row r="146">
      <c r="B146" s="87" t="n"/>
    </row>
    <row r="147">
      <c r="B147" s="87" t="n"/>
    </row>
    <row r="148">
      <c r="B148" s="87" t="n"/>
    </row>
    <row r="149">
      <c r="B149" s="87" t="n"/>
    </row>
    <row r="150">
      <c r="B150" s="87" t="n"/>
    </row>
    <row r="151">
      <c r="B151" s="87" t="n"/>
    </row>
    <row r="152">
      <c r="B152" s="87" t="n"/>
    </row>
    <row r="153">
      <c r="B153" s="87" t="n"/>
    </row>
    <row r="154">
      <c r="B154" s="87" t="n"/>
    </row>
    <row r="155">
      <c r="B155" s="87" t="n"/>
    </row>
    <row r="156">
      <c r="B156" s="87" t="n"/>
    </row>
    <row r="157">
      <c r="B157" s="87" t="n"/>
    </row>
    <row r="158">
      <c r="B158" s="87" t="n"/>
    </row>
    <row r="159">
      <c r="B159" s="87" t="n"/>
    </row>
    <row r="160">
      <c r="B160" s="87" t="n"/>
    </row>
    <row r="161">
      <c r="B161" s="87" t="n"/>
    </row>
    <row r="162">
      <c r="B162" s="87" t="n"/>
    </row>
    <row r="163">
      <c r="B163" s="87" t="n"/>
    </row>
    <row r="164">
      <c r="B164" s="87" t="n"/>
    </row>
    <row r="165">
      <c r="B165" s="87" t="n"/>
    </row>
    <row r="166">
      <c r="B166" s="87" t="n"/>
    </row>
    <row r="167">
      <c r="B167" s="87" t="n"/>
    </row>
    <row r="168">
      <c r="B168" s="87" t="n"/>
    </row>
    <row r="169">
      <c r="B169" s="87" t="n"/>
    </row>
    <row r="170">
      <c r="B170" s="87" t="n"/>
    </row>
    <row r="171">
      <c r="B171" s="87" t="n"/>
    </row>
    <row r="172">
      <c r="B172" s="87" t="n"/>
    </row>
    <row r="173">
      <c r="B173" s="87" t="n"/>
    </row>
    <row r="174">
      <c r="B174" s="87" t="n"/>
    </row>
    <row r="175">
      <c r="B175" s="87" t="n"/>
    </row>
    <row r="176">
      <c r="B176" s="87" t="n"/>
    </row>
    <row r="177">
      <c r="B177" s="87" t="n"/>
    </row>
    <row r="178">
      <c r="B178" s="87" t="n"/>
    </row>
    <row r="179">
      <c r="B179" s="87" t="n"/>
    </row>
    <row r="180">
      <c r="B180" s="87" t="n"/>
    </row>
    <row r="181">
      <c r="B181" s="8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C2mpjVsbg5NNQb1GDCE+gg==" formatRows="1" sort="0" spinCount="100000" hashValue="Wxm6X5r44MFwFJ3iCNVvCwP67uw2i6g6wnDDzIVzwcFIgq5K9WwWOE/XSNbjkmkYr/FHrMs0t+iQzvDj6FQ+3w=="/>
  <autoFilter ref="A2:U42"/>
  <mergeCells count="3">
    <mergeCell ref="J1:R1"/>
    <mergeCell ref="S1:U1"/>
    <mergeCell ref="A1:H1"/>
  </mergeCells>
  <conditionalFormatting sqref="Q3:R61">
    <cfRule type="cellIs" priority="14" operator="lessThan" dxfId="10">
      <formula>0</formula>
    </cfRule>
    <cfRule type="cellIs" priority="15" operator="greaterThan" dxfId="9">
      <formula>0</formula>
    </cfRule>
  </conditionalFormatting>
  <conditionalFormatting sqref="R3:R61">
    <cfRule type="cellIs" priority="6" operator="equal" dxfId="8">
      <formula>0</formula>
    </cfRule>
    <cfRule type="cellIs" priority="7" operator="equal" dxfId="7">
      <formula>0</formula>
    </cfRule>
    <cfRule type="cellIs" priority="8" operator="equal" dxfId="6">
      <formula>0</formula>
    </cfRule>
    <cfRule type="cellIs" priority="9" operator="equal" dxfId="5">
      <formula>0</formula>
    </cfRule>
  </conditionalFormatting>
  <conditionalFormatting sqref="S3:S61">
    <cfRule type="cellIs" priority="4" operator="between" dxfId="4">
      <formula>1</formula>
      <formula>100000</formula>
    </cfRule>
  </conditionalFormatting>
  <conditionalFormatting sqref="U3:U61">
    <cfRule type="cellIs" priority="10" operator="greaterThan" dxfId="3">
      <formula>0</formula>
    </cfRule>
  </conditionalFormatting>
  <pageMargins left="0.5118110236220472" right="0.5118110236220472" top="0.7874015748031497" bottom="0.7874015748031497" header="0.3149606299212598" footer="0.3149606299212598"/>
  <pageSetup orientation="portrait" paperSize="9" scale="2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showGridLines="0" zoomScale="77" zoomScaleNormal="77" workbookViewId="0">
      <selection activeCell="N34" sqref="N34"/>
    </sheetView>
  </sheetViews>
  <sheetFormatPr baseColWidth="8" defaultRowHeight="12.75"/>
  <cols>
    <col width="6.5703125" bestFit="1" customWidth="1" style="17" min="1" max="1"/>
    <col width="19.85546875" bestFit="1" customWidth="1" style="17" min="2" max="2"/>
    <col width="8.140625" bestFit="1" customWidth="1" style="17" min="3" max="3"/>
    <col width="15.140625" bestFit="1" customWidth="1" style="17" min="4" max="4"/>
    <col width="16.140625" bestFit="1" customWidth="1" style="17" min="5" max="5"/>
    <col width="16.85546875" bestFit="1" customWidth="1" style="17" min="6" max="6"/>
    <col width="15.85546875" bestFit="1" customWidth="1" style="17" min="7" max="7"/>
    <col width="13.140625" bestFit="1" customWidth="1" style="17" min="8" max="8"/>
    <col width="12.7109375" customWidth="1" style="17" min="9" max="9"/>
    <col width="5.7109375" customWidth="1" style="17" min="10" max="13"/>
    <col width="21.85546875" bestFit="1" customWidth="1" style="17" min="14" max="14"/>
    <col width="25.7109375" bestFit="1" customWidth="1" style="17" min="15" max="15"/>
    <col width="5.7109375" customWidth="1" style="17" min="16" max="16"/>
    <col width="19.85546875" bestFit="1" customWidth="1" style="17" min="17" max="17"/>
    <col width="25.7109375" bestFit="1" customWidth="1" style="17" min="18" max="18"/>
    <col width="5.7109375" customWidth="1" style="17" min="19" max="19"/>
    <col width="18.85546875" bestFit="1" customWidth="1" style="17" min="20" max="20"/>
    <col width="25.7109375" bestFit="1" customWidth="1" style="17" min="21" max="21"/>
    <col width="9.140625" customWidth="1" style="17" min="22" max="56"/>
    <col width="9.140625" customWidth="1" style="17" min="57" max="16384"/>
  </cols>
  <sheetData>
    <row r="1" ht="13.5" customHeight="1" s="107" thickBot="1">
      <c r="A1" s="10">
        <f>CARTEIRA!J2</f>
        <v/>
      </c>
      <c r="B1" s="11">
        <f>CARTEIRA!K2</f>
        <v/>
      </c>
      <c r="C1" s="11">
        <f>CARTEIRA!L2</f>
        <v/>
      </c>
      <c r="D1" s="11">
        <f>CARTEIRA!M2</f>
        <v/>
      </c>
      <c r="E1" s="11">
        <f>CARTEIRA!N2</f>
        <v/>
      </c>
      <c r="F1" s="11">
        <f>CARTEIRA!O2</f>
        <v/>
      </c>
      <c r="G1" s="11">
        <f>CARTEIRA!P2</f>
        <v/>
      </c>
      <c r="H1" s="11">
        <f>CARTEIRA!Q2</f>
        <v/>
      </c>
      <c r="I1" s="12">
        <f>CARTEIRA!R2</f>
        <v/>
      </c>
      <c r="N1" s="9" t="inlineStr">
        <is>
          <t>Rótulos de Linha</t>
        </is>
      </c>
      <c r="Q1" s="9" t="inlineStr">
        <is>
          <t>Rótulos de Linha</t>
        </is>
      </c>
      <c r="T1" s="9" t="inlineStr">
        <is>
          <t>Rótulos de Linha</t>
        </is>
      </c>
    </row>
    <row r="2">
      <c r="A2" s="13">
        <f>IF(CARTEIRA!J3=0,"",CARTEIRA!J3)</f>
        <v/>
      </c>
      <c r="B2" s="13">
        <f>IF(CARTEIRA!K3=0,"",CARTEIRA!K3)</f>
        <v/>
      </c>
      <c r="C2" s="14">
        <f>IF(CARTEIRA!L3=0,"",CARTEIRA!L3)</f>
        <v/>
      </c>
      <c r="D2" s="14">
        <f>IF(CARTEIRA!M3=0,"",CARTEIRA!M3)</f>
        <v/>
      </c>
      <c r="E2" s="206">
        <f>IF(CARTEIRA!N3=0,"",CARTEIRA!N3)</f>
        <v/>
      </c>
      <c r="F2" s="206">
        <f>IF(CARTEIRA!O3=0,"",CARTEIRA!O3)</f>
        <v/>
      </c>
      <c r="G2" s="206">
        <f>IF(CARTEIRA!P3=0,"",CARTEIRA!P3)</f>
        <v/>
      </c>
      <c r="H2" s="206">
        <f>IF(CARTEIRA!Q3=0,"",CARTEIRA!Q3)</f>
        <v/>
      </c>
      <c r="I2" s="15">
        <f>IF(CARTEIRA!R3=0,"",CARTEIRA!R3)</f>
        <v/>
      </c>
      <c r="N2" s="1" t="inlineStr">
        <is>
          <t>FII</t>
        </is>
      </c>
      <c r="Q2" s="1" t="inlineStr">
        <is>
          <t>CPTS11</t>
        </is>
      </c>
      <c r="T2" s="1" t="inlineStr">
        <is>
          <t>-</t>
        </is>
      </c>
    </row>
    <row r="3">
      <c r="A3" s="13">
        <f>IF(CARTEIRA!J4=0,"",CARTEIRA!J4)</f>
        <v/>
      </c>
      <c r="B3" s="13">
        <f>IF(CARTEIRA!K4=0,"",CARTEIRA!K4)</f>
        <v/>
      </c>
      <c r="C3" s="14">
        <f>IF(CARTEIRA!L4=0,"",CARTEIRA!L4)</f>
        <v/>
      </c>
      <c r="D3" s="14">
        <f>IF(CARTEIRA!M4=0,"",CARTEIRA!M4)</f>
        <v/>
      </c>
      <c r="E3" s="206">
        <f>IF(CARTEIRA!N4=0,"",CARTEIRA!N4)</f>
        <v/>
      </c>
      <c r="F3" s="206">
        <f>IF(CARTEIRA!O4=0,"",CARTEIRA!O4)</f>
        <v/>
      </c>
      <c r="G3" s="206">
        <f>IF(CARTEIRA!P4=0,"",CARTEIRA!P4)</f>
        <v/>
      </c>
      <c r="H3" s="206">
        <f>IF(CARTEIRA!Q4=0,"",CARTEIRA!Q4)</f>
        <v/>
      </c>
      <c r="I3" s="15">
        <f>IF(CARTEIRA!R4=0,"",CARTEIRA!R4)</f>
        <v/>
      </c>
      <c r="N3" s="1" t="inlineStr">
        <is>
          <t>Ação</t>
        </is>
      </c>
      <c r="Q3" s="1" t="inlineStr">
        <is>
          <t>VINO11</t>
        </is>
      </c>
      <c r="T3" s="1" t="inlineStr">
        <is>
          <t>Total Geral</t>
        </is>
      </c>
    </row>
    <row r="4">
      <c r="A4" s="13">
        <f>IF(CARTEIRA!J5=0,"",CARTEIRA!J5)</f>
        <v/>
      </c>
      <c r="B4" s="13">
        <f>IF(CARTEIRA!K5=0,"",CARTEIRA!K5)</f>
        <v/>
      </c>
      <c r="C4" s="14">
        <f>IF(CARTEIRA!L5=0,"",CARTEIRA!L5)</f>
        <v/>
      </c>
      <c r="D4" s="14">
        <f>IF(CARTEIRA!M5=0,"",CARTEIRA!M5)</f>
        <v/>
      </c>
      <c r="E4" s="206">
        <f>IF(CARTEIRA!N5=0,"",CARTEIRA!N5)</f>
        <v/>
      </c>
      <c r="F4" s="206">
        <f>IF(CARTEIRA!O5=0,"",CARTEIRA!O5)</f>
        <v/>
      </c>
      <c r="G4" s="206">
        <f>IF(CARTEIRA!P5=0,"",CARTEIRA!P5)</f>
        <v/>
      </c>
      <c r="H4" s="206">
        <f>IF(CARTEIRA!Q5=0,"",CARTEIRA!Q5)</f>
        <v/>
      </c>
      <c r="I4" s="15">
        <f>IF(CARTEIRA!R5=0,"",CARTEIRA!R5)</f>
        <v/>
      </c>
      <c r="N4" s="1" t="inlineStr">
        <is>
          <t>-</t>
        </is>
      </c>
      <c r="Q4" s="1" t="inlineStr">
        <is>
          <t>CPSH11</t>
        </is>
      </c>
    </row>
    <row r="5">
      <c r="A5" s="13">
        <f>IF(CARTEIRA!J6=0,"",CARTEIRA!J6)</f>
        <v/>
      </c>
      <c r="B5" s="13">
        <f>IF(CARTEIRA!K6=0,"",CARTEIRA!K6)</f>
        <v/>
      </c>
      <c r="C5" s="14">
        <f>IF(CARTEIRA!L6=0,"",CARTEIRA!L6)</f>
        <v/>
      </c>
      <c r="D5" s="14">
        <f>IF(CARTEIRA!M6=0,"",CARTEIRA!M6)</f>
        <v/>
      </c>
      <c r="E5" s="206">
        <f>IF(CARTEIRA!N6=0,"",CARTEIRA!N6)</f>
        <v/>
      </c>
      <c r="F5" s="206">
        <f>IF(CARTEIRA!O6=0,"",CARTEIRA!O6)</f>
        <v/>
      </c>
      <c r="G5" s="206">
        <f>IF(CARTEIRA!P6=0,"",CARTEIRA!P6)</f>
        <v/>
      </c>
      <c r="H5" s="206">
        <f>IF(CARTEIRA!Q6=0,"",CARTEIRA!Q6)</f>
        <v/>
      </c>
      <c r="I5" s="15">
        <f>IF(CARTEIRA!R6=0,"",CARTEIRA!R6)</f>
        <v/>
      </c>
      <c r="N5" s="1" t="inlineStr">
        <is>
          <t>Total Geral</t>
        </is>
      </c>
      <c r="Q5" s="1" t="inlineStr">
        <is>
          <t>GARE11</t>
        </is>
      </c>
    </row>
    <row r="6">
      <c r="A6" s="13">
        <f>IF(CARTEIRA!J7=0,"",CARTEIRA!J7)</f>
        <v/>
      </c>
      <c r="B6" s="13">
        <f>IF(CARTEIRA!K7=0,"",CARTEIRA!K7)</f>
        <v/>
      </c>
      <c r="C6" s="14">
        <f>IF(CARTEIRA!L7=0,"",CARTEIRA!L7)</f>
        <v/>
      </c>
      <c r="D6" s="14">
        <f>IF(CARTEIRA!M7=0,"",CARTEIRA!M7)</f>
        <v/>
      </c>
      <c r="E6" s="206">
        <f>IF(CARTEIRA!N7=0,"",CARTEIRA!N7)</f>
        <v/>
      </c>
      <c r="F6" s="206">
        <f>IF(CARTEIRA!O7=0,"",CARTEIRA!O7)</f>
        <v/>
      </c>
      <c r="G6" s="206">
        <f>IF(CARTEIRA!P7=0,"",CARTEIRA!P7)</f>
        <v/>
      </c>
      <c r="H6" s="206">
        <f>IF(CARTEIRA!Q7=0,"",CARTEIRA!Q7)</f>
        <v/>
      </c>
      <c r="I6" s="15">
        <f>IF(CARTEIRA!R7=0,"",CARTEIRA!R7)</f>
        <v/>
      </c>
      <c r="Q6" s="1" t="inlineStr">
        <is>
          <t>AAZQ11</t>
        </is>
      </c>
    </row>
    <row r="7">
      <c r="A7" s="13">
        <f>IF(CARTEIRA!J8=0,"",CARTEIRA!J8)</f>
        <v/>
      </c>
      <c r="B7" s="13">
        <f>IF(CARTEIRA!K8=0,"",CARTEIRA!K8)</f>
        <v/>
      </c>
      <c r="C7" s="14">
        <f>IF(CARTEIRA!L8=0,"",CARTEIRA!L8)</f>
        <v/>
      </c>
      <c r="D7" s="14">
        <f>IF(CARTEIRA!M8=0,"",CARTEIRA!M8)</f>
        <v/>
      </c>
      <c r="E7" s="206">
        <f>IF(CARTEIRA!N8=0,"",CARTEIRA!N8)</f>
        <v/>
      </c>
      <c r="F7" s="206">
        <f>IF(CARTEIRA!O8=0,"",CARTEIRA!O8)</f>
        <v/>
      </c>
      <c r="G7" s="206">
        <f>IF(CARTEIRA!P8=0,"",CARTEIRA!P8)</f>
        <v/>
      </c>
      <c r="H7" s="206">
        <f>IF(CARTEIRA!Q8=0,"",CARTEIRA!Q8)</f>
        <v/>
      </c>
      <c r="I7" s="15">
        <f>IF(CARTEIRA!R8=0,"",CARTEIRA!R8)</f>
        <v/>
      </c>
      <c r="Q7" s="1" t="inlineStr">
        <is>
          <t>ARRI11</t>
        </is>
      </c>
    </row>
    <row r="8">
      <c r="A8" s="13">
        <f>IF(CARTEIRA!J9=0,"",CARTEIRA!J9)</f>
        <v/>
      </c>
      <c r="B8" s="13">
        <f>IF(CARTEIRA!K9=0,"",CARTEIRA!K9)</f>
        <v/>
      </c>
      <c r="C8" s="14">
        <f>IF(CARTEIRA!L9=0,"",CARTEIRA!L9)</f>
        <v/>
      </c>
      <c r="D8" s="14">
        <f>IF(CARTEIRA!M9=0,"",CARTEIRA!M9)</f>
        <v/>
      </c>
      <c r="E8" s="206">
        <f>IF(CARTEIRA!N9=0,"",CARTEIRA!N9)</f>
        <v/>
      </c>
      <c r="F8" s="206">
        <f>IF(CARTEIRA!O9=0,"",CARTEIRA!O9)</f>
        <v/>
      </c>
      <c r="G8" s="206">
        <f>IF(CARTEIRA!P9=0,"",CARTEIRA!P9)</f>
        <v/>
      </c>
      <c r="H8" s="206">
        <f>IF(CARTEIRA!Q9=0,"",CARTEIRA!Q9)</f>
        <v/>
      </c>
      <c r="I8" s="15">
        <f>IF(CARTEIRA!R9=0,"",CARTEIRA!R9)</f>
        <v/>
      </c>
      <c r="Q8" s="1" t="inlineStr">
        <is>
          <t>BIME11</t>
        </is>
      </c>
    </row>
    <row r="9">
      <c r="A9" s="13">
        <f>IF(CARTEIRA!J10=0,"",CARTEIRA!J10)</f>
        <v/>
      </c>
      <c r="B9" s="13">
        <f>IF(CARTEIRA!K10=0,"",CARTEIRA!K10)</f>
        <v/>
      </c>
      <c r="C9" s="14">
        <f>IF(CARTEIRA!L10=0,"",CARTEIRA!L10)</f>
        <v/>
      </c>
      <c r="D9" s="14">
        <f>IF(CARTEIRA!M10=0,"",CARTEIRA!M10)</f>
        <v/>
      </c>
      <c r="E9" s="206">
        <f>IF(CARTEIRA!N10=0,"",CARTEIRA!N10)</f>
        <v/>
      </c>
      <c r="F9" s="206">
        <f>IF(CARTEIRA!O10=0,"",CARTEIRA!O10)</f>
        <v/>
      </c>
      <c r="G9" s="206">
        <f>IF(CARTEIRA!P10=0,"",CARTEIRA!P10)</f>
        <v/>
      </c>
      <c r="H9" s="206">
        <f>IF(CARTEIRA!Q10=0,"",CARTEIRA!Q10)</f>
        <v/>
      </c>
      <c r="I9" s="15">
        <f>IF(CARTEIRA!R10=0,"",CARTEIRA!R10)</f>
        <v/>
      </c>
      <c r="Q9" s="1" t="inlineStr">
        <is>
          <t>LIFE11</t>
        </is>
      </c>
    </row>
    <row r="10">
      <c r="A10" s="13">
        <f>IF(CARTEIRA!J11=0,"",CARTEIRA!J11)</f>
        <v/>
      </c>
      <c r="B10" s="13">
        <f>IF(CARTEIRA!K11=0,"",CARTEIRA!K11)</f>
        <v/>
      </c>
      <c r="C10" s="14">
        <f>IF(CARTEIRA!L11=0,"",CARTEIRA!L11)</f>
        <v/>
      </c>
      <c r="D10" s="14">
        <f>IF(CARTEIRA!M11=0,"",CARTEIRA!M11)</f>
        <v/>
      </c>
      <c r="E10" s="206">
        <f>IF(CARTEIRA!N11=0,"",CARTEIRA!N11)</f>
        <v/>
      </c>
      <c r="F10" s="206">
        <f>IF(CARTEIRA!O11=0,"",CARTEIRA!O11)</f>
        <v/>
      </c>
      <c r="G10" s="206">
        <f>IF(CARTEIRA!P11=0,"",CARTEIRA!P11)</f>
        <v/>
      </c>
      <c r="H10" s="206">
        <f>IF(CARTEIRA!Q11=0,"",CARTEIRA!Q11)</f>
        <v/>
      </c>
      <c r="I10" s="15">
        <f>IF(CARTEIRA!R11=0,"",CARTEIRA!R11)</f>
        <v/>
      </c>
      <c r="Q10" s="1" t="inlineStr">
        <is>
          <t>PETR4</t>
        </is>
      </c>
    </row>
    <row r="11">
      <c r="A11" s="13">
        <f>IF(CARTEIRA!J12=0,"",CARTEIRA!J12)</f>
        <v/>
      </c>
      <c r="B11" s="13">
        <f>IF(CARTEIRA!K12=0,"",CARTEIRA!K12)</f>
        <v/>
      </c>
      <c r="C11" s="14">
        <f>IF(CARTEIRA!L12=0,"",CARTEIRA!L12)</f>
        <v/>
      </c>
      <c r="D11" s="14">
        <f>IF(CARTEIRA!M12=0,"",CARTEIRA!M12)</f>
        <v/>
      </c>
      <c r="E11" s="14">
        <f>IF(CARTEIRA!N12=0,"",CARTEIRA!N12)</f>
        <v/>
      </c>
      <c r="F11" s="206">
        <f>IF(CARTEIRA!O12=0,"",CARTEIRA!O12)</f>
        <v/>
      </c>
      <c r="G11" s="206">
        <f>IF(CARTEIRA!P12=0,"",CARTEIRA!P12)</f>
        <v/>
      </c>
      <c r="H11" s="206">
        <f>IF(CARTEIRA!Q12=0,"",CARTEIRA!Q12)</f>
        <v/>
      </c>
      <c r="I11" s="15">
        <f>IF(CARTEIRA!R12=0,"",CARTEIRA!R12)</f>
        <v/>
      </c>
      <c r="Q11" s="1" t="inlineStr">
        <is>
          <t>VALE3</t>
        </is>
      </c>
    </row>
    <row r="12">
      <c r="A12" s="13">
        <f>IF(CARTEIRA!J13=0,"",CARTEIRA!J13)</f>
        <v/>
      </c>
      <c r="B12" s="13">
        <f>IF(CARTEIRA!K13=0,"",CARTEIRA!K13)</f>
        <v/>
      </c>
      <c r="C12" s="14">
        <f>IF(CARTEIRA!L13=0,"",CARTEIRA!L13)</f>
        <v/>
      </c>
      <c r="D12" s="14">
        <f>IF(CARTEIRA!M13=0,"",CARTEIRA!M13)</f>
        <v/>
      </c>
      <c r="E12" s="14">
        <f>IF(CARTEIRA!N13=0,"",CARTEIRA!N13)</f>
        <v/>
      </c>
      <c r="F12" s="206">
        <f>IF(CARTEIRA!O13=0,"",CARTEIRA!O13)</f>
        <v/>
      </c>
      <c r="G12" s="206">
        <f>IF(CARTEIRA!P13=0,"",CARTEIRA!P13)</f>
        <v/>
      </c>
      <c r="H12" s="206">
        <f>IF(CARTEIRA!Q13=0,"",CARTEIRA!Q13)</f>
        <v/>
      </c>
      <c r="I12" s="15">
        <f>IF(CARTEIRA!R13=0,"",CARTEIRA!R13)</f>
        <v/>
      </c>
      <c r="Q12" s="1" t="inlineStr">
        <is>
          <t>Total Geral</t>
        </is>
      </c>
    </row>
    <row r="13">
      <c r="A13" s="13">
        <f>IF(CARTEIRA!J14=0,"",CARTEIRA!J14)</f>
        <v/>
      </c>
      <c r="B13" s="13">
        <f>IF(CARTEIRA!K14=0,"",CARTEIRA!K14)</f>
        <v/>
      </c>
      <c r="C13" s="14">
        <f>IF(CARTEIRA!L14=0,"",CARTEIRA!L14)</f>
        <v/>
      </c>
      <c r="D13" s="14">
        <f>IF(CARTEIRA!M14=0,"",CARTEIRA!M14)</f>
        <v/>
      </c>
      <c r="E13" s="14">
        <f>IF(CARTEIRA!N14=0,"",CARTEIRA!N14)</f>
        <v/>
      </c>
      <c r="F13" s="206">
        <f>IF(CARTEIRA!O14=0,"",CARTEIRA!O14)</f>
        <v/>
      </c>
      <c r="G13" s="206">
        <f>IF(CARTEIRA!P14=0,"",CARTEIRA!P14)</f>
        <v/>
      </c>
      <c r="H13" s="206">
        <f>IF(CARTEIRA!Q14=0,"",CARTEIRA!Q14)</f>
        <v/>
      </c>
      <c r="I13" s="15">
        <f>IF(CARTEIRA!R14=0,"",CARTEIRA!R14)</f>
        <v/>
      </c>
    </row>
    <row r="14">
      <c r="A14" s="13">
        <f>IF(CARTEIRA!J15=0,"",CARTEIRA!J15)</f>
        <v/>
      </c>
      <c r="B14" s="13">
        <f>IF(CARTEIRA!K15=0,"",CARTEIRA!K15)</f>
        <v/>
      </c>
      <c r="C14" s="14">
        <f>IF(CARTEIRA!L15=0,"",CARTEIRA!L15)</f>
        <v/>
      </c>
      <c r="D14" s="14">
        <f>IF(CARTEIRA!M15=0,"",CARTEIRA!M15)</f>
        <v/>
      </c>
      <c r="E14" s="14">
        <f>IF(CARTEIRA!N15=0,"",CARTEIRA!N15)</f>
        <v/>
      </c>
      <c r="F14" s="206">
        <f>IF(CARTEIRA!O15=0,"",CARTEIRA!O15)</f>
        <v/>
      </c>
      <c r="G14" s="206">
        <f>IF(CARTEIRA!P15=0,"",CARTEIRA!P15)</f>
        <v/>
      </c>
      <c r="H14" s="206">
        <f>IF(CARTEIRA!Q15=0,"",CARTEIRA!Q15)</f>
        <v/>
      </c>
      <c r="I14" s="15">
        <f>IF(CARTEIRA!R15=0,"",CARTEIRA!R15)</f>
        <v/>
      </c>
    </row>
    <row r="15">
      <c r="A15" s="13">
        <f>IF(CARTEIRA!J16=0,"",CARTEIRA!J16)</f>
        <v/>
      </c>
      <c r="B15" s="13">
        <f>IF(CARTEIRA!K16=0,"",CARTEIRA!K16)</f>
        <v/>
      </c>
      <c r="C15" s="14">
        <f>IF(CARTEIRA!L16=0,"",CARTEIRA!L16)</f>
        <v/>
      </c>
      <c r="D15" s="14">
        <f>IF(CARTEIRA!M16=0,"",CARTEIRA!M16)</f>
        <v/>
      </c>
      <c r="E15" s="14">
        <f>IF(CARTEIRA!N16=0,"",CARTEIRA!N16)</f>
        <v/>
      </c>
      <c r="F15" s="206">
        <f>IF(CARTEIRA!O16=0,"",CARTEIRA!O16)</f>
        <v/>
      </c>
      <c r="G15" s="206">
        <f>IF(CARTEIRA!P16=0,"",CARTEIRA!P16)</f>
        <v/>
      </c>
      <c r="H15" s="206">
        <f>IF(CARTEIRA!Q16=0,"",CARTEIRA!Q16)</f>
        <v/>
      </c>
      <c r="I15" s="15">
        <f>IF(CARTEIRA!R16=0,"",CARTEIRA!R16)</f>
        <v/>
      </c>
    </row>
    <row r="16">
      <c r="A16" s="13">
        <f>IF(CARTEIRA!J17=0,"",CARTEIRA!J17)</f>
        <v/>
      </c>
      <c r="B16" s="13">
        <f>IF(CARTEIRA!K17=0,"",CARTEIRA!K17)</f>
        <v/>
      </c>
      <c r="C16" s="14">
        <f>IF(CARTEIRA!L17=0,"",CARTEIRA!L17)</f>
        <v/>
      </c>
      <c r="D16" s="14">
        <f>IF(CARTEIRA!M17=0,"",CARTEIRA!M17)</f>
        <v/>
      </c>
      <c r="E16" s="14">
        <f>IF(CARTEIRA!N17=0,"",CARTEIRA!N17)</f>
        <v/>
      </c>
      <c r="F16" s="206">
        <f>IF(CARTEIRA!O17=0,"",CARTEIRA!O17)</f>
        <v/>
      </c>
      <c r="G16" s="206">
        <f>IF(CARTEIRA!P17=0,"",CARTEIRA!P17)</f>
        <v/>
      </c>
      <c r="H16" s="206">
        <f>IF(CARTEIRA!Q17=0,"",CARTEIRA!Q17)</f>
        <v/>
      </c>
      <c r="I16" s="15">
        <f>IF(CARTEIRA!R17=0,"",CARTEIRA!R17)</f>
        <v/>
      </c>
    </row>
    <row r="17">
      <c r="A17" s="13">
        <f>IF(CARTEIRA!J18=0,"",CARTEIRA!J18)</f>
        <v/>
      </c>
      <c r="B17" s="13">
        <f>IF(CARTEIRA!K18=0,"",CARTEIRA!K18)</f>
        <v/>
      </c>
      <c r="C17" s="14">
        <f>IF(CARTEIRA!L18=0,"",CARTEIRA!L18)</f>
        <v/>
      </c>
      <c r="D17" s="14">
        <f>IF(CARTEIRA!M18=0,"",CARTEIRA!M18)</f>
        <v/>
      </c>
      <c r="E17" s="14">
        <f>IF(CARTEIRA!N18=0,"",CARTEIRA!N18)</f>
        <v/>
      </c>
      <c r="F17" s="206">
        <f>IF(CARTEIRA!O18=0,"",CARTEIRA!O18)</f>
        <v/>
      </c>
      <c r="G17" s="206">
        <f>IF(CARTEIRA!P18=0,"",CARTEIRA!P18)</f>
        <v/>
      </c>
      <c r="H17" s="206">
        <f>IF(CARTEIRA!Q18=0,"",CARTEIRA!Q18)</f>
        <v/>
      </c>
      <c r="I17" s="15">
        <f>IF(CARTEIRA!R18=0,"",CARTEIRA!R18)</f>
        <v/>
      </c>
    </row>
    <row r="18">
      <c r="A18" s="13">
        <f>IF(CARTEIRA!J19=0,"",CARTEIRA!J19)</f>
        <v/>
      </c>
      <c r="B18" s="13">
        <f>IF(CARTEIRA!K19=0,"",CARTEIRA!K19)</f>
        <v/>
      </c>
      <c r="C18" s="14">
        <f>IF(CARTEIRA!L19=0,"",CARTEIRA!L19)</f>
        <v/>
      </c>
      <c r="D18" s="14">
        <f>IF(CARTEIRA!M19=0,"",CARTEIRA!M19)</f>
        <v/>
      </c>
      <c r="E18" s="14">
        <f>IF(CARTEIRA!N19=0,"",CARTEIRA!N19)</f>
        <v/>
      </c>
      <c r="F18" s="206">
        <f>IF(CARTEIRA!O19=0,"",CARTEIRA!O19)</f>
        <v/>
      </c>
      <c r="G18" s="206">
        <f>IF(CARTEIRA!P19=0,"",CARTEIRA!P19)</f>
        <v/>
      </c>
      <c r="H18" s="206">
        <f>IF(CARTEIRA!Q19=0,"",CARTEIRA!Q19)</f>
        <v/>
      </c>
      <c r="I18" s="15">
        <f>IF(CARTEIRA!R19=0,"",CARTEIRA!R19)</f>
        <v/>
      </c>
    </row>
    <row r="19">
      <c r="A19" s="13">
        <f>IF(CARTEIRA!J20=0,"",CARTEIRA!J20)</f>
        <v/>
      </c>
      <c r="B19" s="13">
        <f>IF(CARTEIRA!K20=0,"",CARTEIRA!K20)</f>
        <v/>
      </c>
      <c r="C19" s="14">
        <f>IF(CARTEIRA!L20=0,"",CARTEIRA!L20)</f>
        <v/>
      </c>
      <c r="D19" s="14">
        <f>IF(CARTEIRA!M20=0,"",CARTEIRA!M20)</f>
        <v/>
      </c>
      <c r="E19" s="14">
        <f>IF(CARTEIRA!N20=0,"",CARTEIRA!N20)</f>
        <v/>
      </c>
      <c r="F19" s="206">
        <f>IF(CARTEIRA!O20=0,"",CARTEIRA!O20)</f>
        <v/>
      </c>
      <c r="G19" s="206">
        <f>IF(CARTEIRA!P20=0,"",CARTEIRA!P20)</f>
        <v/>
      </c>
      <c r="H19" s="206">
        <f>IF(CARTEIRA!Q20=0,"",CARTEIRA!Q20)</f>
        <v/>
      </c>
      <c r="I19" s="15">
        <f>IF(CARTEIRA!R20=0,"",CARTEIRA!R20)</f>
        <v/>
      </c>
    </row>
    <row r="20">
      <c r="A20" s="13">
        <f>IF(CARTEIRA!J21=0,"",CARTEIRA!J21)</f>
        <v/>
      </c>
      <c r="B20" s="13">
        <f>IF(CARTEIRA!K21=0,"",CARTEIRA!K21)</f>
        <v/>
      </c>
      <c r="C20" s="14">
        <f>IF(CARTEIRA!L21=0,"",CARTEIRA!L21)</f>
        <v/>
      </c>
      <c r="D20" s="14">
        <f>IF(CARTEIRA!M21=0,"",CARTEIRA!M21)</f>
        <v/>
      </c>
      <c r="E20" s="14">
        <f>IF(CARTEIRA!N21=0,"",CARTEIRA!N21)</f>
        <v/>
      </c>
      <c r="F20" s="206">
        <f>IF(CARTEIRA!O21=0,"",CARTEIRA!O21)</f>
        <v/>
      </c>
      <c r="G20" s="206">
        <f>IF(CARTEIRA!P21=0,"",CARTEIRA!P21)</f>
        <v/>
      </c>
      <c r="H20" s="206">
        <f>IF(CARTEIRA!Q21=0,"",CARTEIRA!Q21)</f>
        <v/>
      </c>
      <c r="I20" s="15">
        <f>IF(CARTEIRA!R21=0,"",CARTEIRA!R21)</f>
        <v/>
      </c>
    </row>
    <row r="21">
      <c r="A21" s="13">
        <f>IF(CARTEIRA!J22=0,"",CARTEIRA!J22)</f>
        <v/>
      </c>
      <c r="B21" s="13">
        <f>IF(CARTEIRA!K22=0,"",CARTEIRA!K22)</f>
        <v/>
      </c>
      <c r="C21" s="14">
        <f>IF(CARTEIRA!L22=0,"",CARTEIRA!L22)</f>
        <v/>
      </c>
      <c r="D21" s="14">
        <f>IF(CARTEIRA!M22=0,"",CARTEIRA!M22)</f>
        <v/>
      </c>
      <c r="E21" s="14">
        <f>IF(CARTEIRA!N22=0,"",CARTEIRA!N22)</f>
        <v/>
      </c>
      <c r="F21" s="206">
        <f>IF(CARTEIRA!O22=0,"",CARTEIRA!O22)</f>
        <v/>
      </c>
      <c r="G21" s="206">
        <f>IF(CARTEIRA!P22=0,"",CARTEIRA!P22)</f>
        <v/>
      </c>
      <c r="H21" s="206">
        <f>IF(CARTEIRA!Q22=0,"",CARTEIRA!Q22)</f>
        <v/>
      </c>
      <c r="I21" s="15">
        <f>IF(CARTEIRA!R22=0,"",CARTEIRA!R22)</f>
        <v/>
      </c>
    </row>
    <row r="22">
      <c r="A22" s="13">
        <f>IF(CARTEIRA!J23=0,"",CARTEIRA!J23)</f>
        <v/>
      </c>
      <c r="B22" s="13">
        <f>IF(CARTEIRA!K23=0,"",CARTEIRA!K23)</f>
        <v/>
      </c>
      <c r="C22" s="14">
        <f>IF(CARTEIRA!L23=0,"",CARTEIRA!L23)</f>
        <v/>
      </c>
      <c r="D22" s="14">
        <f>IF(CARTEIRA!M23=0,"",CARTEIRA!M23)</f>
        <v/>
      </c>
      <c r="E22" s="14">
        <f>IF(CARTEIRA!N23=0,"",CARTEIRA!N23)</f>
        <v/>
      </c>
      <c r="F22" s="206">
        <f>IF(CARTEIRA!O23=0,"",CARTEIRA!O23)</f>
        <v/>
      </c>
      <c r="G22" s="206">
        <f>IF(CARTEIRA!P23=0,"",CARTEIRA!P23)</f>
        <v/>
      </c>
      <c r="H22" s="206">
        <f>IF(CARTEIRA!Q23=0,"",CARTEIRA!Q23)</f>
        <v/>
      </c>
      <c r="I22" s="15">
        <f>IF(CARTEIRA!R23=0,"",CARTEIRA!R23)</f>
        <v/>
      </c>
    </row>
    <row r="23">
      <c r="A23" s="13">
        <f>IF(CARTEIRA!J24=0,"",CARTEIRA!J24)</f>
        <v/>
      </c>
      <c r="B23" s="13">
        <f>IF(CARTEIRA!K24=0,"",CARTEIRA!K24)</f>
        <v/>
      </c>
      <c r="C23" s="14">
        <f>IF(CARTEIRA!L24=0,"",CARTEIRA!L24)</f>
        <v/>
      </c>
      <c r="D23" s="14">
        <f>IF(CARTEIRA!M24=0,"",CARTEIRA!M24)</f>
        <v/>
      </c>
      <c r="E23" s="14">
        <f>IF(CARTEIRA!N24=0,"",CARTEIRA!N24)</f>
        <v/>
      </c>
      <c r="F23" s="206">
        <f>IF(CARTEIRA!O24=0,"",CARTEIRA!O24)</f>
        <v/>
      </c>
      <c r="G23" s="206">
        <f>IF(CARTEIRA!P24=0,"",CARTEIRA!P24)</f>
        <v/>
      </c>
      <c r="H23" s="206">
        <f>IF(CARTEIRA!Q24=0,"",CARTEIRA!Q24)</f>
        <v/>
      </c>
      <c r="I23" s="15">
        <f>IF(CARTEIRA!R24=0,"",CARTEIRA!R24)</f>
        <v/>
      </c>
      <c r="T23" s="1" t="n"/>
      <c r="U23" s="207" t="n"/>
    </row>
    <row r="24">
      <c r="A24" s="13">
        <f>IF(CARTEIRA!J25=0,"",CARTEIRA!J25)</f>
        <v/>
      </c>
      <c r="B24" s="13">
        <f>IF(CARTEIRA!K25=0,"",CARTEIRA!K25)</f>
        <v/>
      </c>
      <c r="C24" s="14">
        <f>IF(CARTEIRA!L25=0,"",CARTEIRA!L25)</f>
        <v/>
      </c>
      <c r="D24" s="14">
        <f>IF(CARTEIRA!M25=0,"",CARTEIRA!M25)</f>
        <v/>
      </c>
      <c r="E24" s="14">
        <f>IF(CARTEIRA!N25=0,"",CARTEIRA!N25)</f>
        <v/>
      </c>
      <c r="F24" s="206">
        <f>IF(CARTEIRA!O25=0,"",CARTEIRA!O25)</f>
        <v/>
      </c>
      <c r="G24" s="206">
        <f>IF(CARTEIRA!P25=0,"",CARTEIRA!P25)</f>
        <v/>
      </c>
      <c r="H24" s="206">
        <f>IF(CARTEIRA!Q25=0,"",CARTEIRA!Q25)</f>
        <v/>
      </c>
      <c r="I24" s="15">
        <f>IF(CARTEIRA!R25=0,"",CARTEIRA!R25)</f>
        <v/>
      </c>
      <c r="T24" s="1" t="n"/>
      <c r="U24" s="207" t="n"/>
    </row>
    <row r="25">
      <c r="A25" s="13">
        <f>IF(CARTEIRA!J26=0,"",CARTEIRA!J26)</f>
        <v/>
      </c>
      <c r="B25" s="13">
        <f>IF(CARTEIRA!K26=0,"",CARTEIRA!K26)</f>
        <v/>
      </c>
      <c r="C25" s="14">
        <f>IF(CARTEIRA!L26=0,"",CARTEIRA!L26)</f>
        <v/>
      </c>
      <c r="D25" s="14">
        <f>IF(CARTEIRA!M26=0,"",CARTEIRA!M26)</f>
        <v/>
      </c>
      <c r="E25" s="14">
        <f>IF(CARTEIRA!N26=0,"",CARTEIRA!N26)</f>
        <v/>
      </c>
      <c r="F25" s="206">
        <f>IF(CARTEIRA!O26=0,"",CARTEIRA!O26)</f>
        <v/>
      </c>
      <c r="G25" s="206">
        <f>IF(CARTEIRA!P26=0,"",CARTEIRA!P26)</f>
        <v/>
      </c>
      <c r="H25" s="206">
        <f>IF(CARTEIRA!Q26=0,"",CARTEIRA!Q26)</f>
        <v/>
      </c>
      <c r="I25" s="15">
        <f>IF(CARTEIRA!R26=0,"",CARTEIRA!R26)</f>
        <v/>
      </c>
      <c r="T25" s="1" t="n"/>
      <c r="U25" s="207" t="n"/>
    </row>
    <row r="26">
      <c r="A26" s="13">
        <f>IF(CARTEIRA!J27=0,"",CARTEIRA!J27)</f>
        <v/>
      </c>
      <c r="B26" s="13">
        <f>IF(CARTEIRA!K27=0,"",CARTEIRA!K27)</f>
        <v/>
      </c>
      <c r="C26" s="14">
        <f>IF(CARTEIRA!L27=0,"",CARTEIRA!L27)</f>
        <v/>
      </c>
      <c r="D26" s="14">
        <f>IF(CARTEIRA!M27=0,"",CARTEIRA!M27)</f>
        <v/>
      </c>
      <c r="E26" s="14">
        <f>IF(CARTEIRA!N27=0,"",CARTEIRA!N27)</f>
        <v/>
      </c>
      <c r="F26" s="206">
        <f>IF(CARTEIRA!O27=0,"",CARTEIRA!O27)</f>
        <v/>
      </c>
      <c r="G26" s="206">
        <f>IF(CARTEIRA!P27=0,"",CARTEIRA!P27)</f>
        <v/>
      </c>
      <c r="H26" s="206">
        <f>IF(CARTEIRA!Q27=0,"",CARTEIRA!Q27)</f>
        <v/>
      </c>
      <c r="I26" s="15">
        <f>IF(CARTEIRA!R27=0,"",CARTEIRA!R27)</f>
        <v/>
      </c>
      <c r="T26" s="1" t="n"/>
      <c r="U26" s="207" t="n"/>
    </row>
    <row r="27">
      <c r="A27" s="13">
        <f>IF(CARTEIRA!J28=0,"",CARTEIRA!J28)</f>
        <v/>
      </c>
      <c r="B27" s="13">
        <f>IF(CARTEIRA!K28=0,"",CARTEIRA!K28)</f>
        <v/>
      </c>
      <c r="C27" s="14">
        <f>IF(CARTEIRA!L28=0,"",CARTEIRA!L28)</f>
        <v/>
      </c>
      <c r="D27" s="14">
        <f>IF(CARTEIRA!M28=0,"",CARTEIRA!M28)</f>
        <v/>
      </c>
      <c r="E27" s="14">
        <f>IF(CARTEIRA!N28=0,"",CARTEIRA!N28)</f>
        <v/>
      </c>
      <c r="F27" s="206">
        <f>IF(CARTEIRA!O28=0,"",CARTEIRA!O28)</f>
        <v/>
      </c>
      <c r="G27" s="206">
        <f>IF(CARTEIRA!P28=0,"",CARTEIRA!P28)</f>
        <v/>
      </c>
      <c r="H27" s="206">
        <f>IF(CARTEIRA!Q28=0,"",CARTEIRA!Q28)</f>
        <v/>
      </c>
      <c r="I27" s="15">
        <f>IF(CARTEIRA!R28=0,"",CARTEIRA!R28)</f>
        <v/>
      </c>
      <c r="T27" s="1" t="n"/>
      <c r="U27" s="207" t="n"/>
    </row>
    <row r="28">
      <c r="A28" s="13">
        <f>IF(CARTEIRA!J29=0,"",CARTEIRA!J29)</f>
        <v/>
      </c>
      <c r="B28" s="13">
        <f>IF(CARTEIRA!K29=0,"",CARTEIRA!K29)</f>
        <v/>
      </c>
      <c r="C28" s="14">
        <f>IF(CARTEIRA!L29=0,"",CARTEIRA!L29)</f>
        <v/>
      </c>
      <c r="D28" s="14">
        <f>IF(CARTEIRA!M29=0,"",CARTEIRA!M29)</f>
        <v/>
      </c>
      <c r="E28" s="14">
        <f>IF(CARTEIRA!N29=0,"",CARTEIRA!N29)</f>
        <v/>
      </c>
      <c r="F28" s="206">
        <f>IF(CARTEIRA!O29=0,"",CARTEIRA!O29)</f>
        <v/>
      </c>
      <c r="G28" s="206">
        <f>IF(CARTEIRA!P29=0,"",CARTEIRA!P29)</f>
        <v/>
      </c>
      <c r="H28" s="206">
        <f>IF(CARTEIRA!Q29=0,"",CARTEIRA!Q29)</f>
        <v/>
      </c>
      <c r="I28" s="15">
        <f>IF(CARTEIRA!R29=0,"",CARTEIRA!R29)</f>
        <v/>
      </c>
      <c r="T28" s="1" t="n"/>
      <c r="U28" s="207" t="n"/>
    </row>
    <row r="29">
      <c r="A29" s="13">
        <f>IF(CARTEIRA!J30=0,"",CARTEIRA!J30)</f>
        <v/>
      </c>
      <c r="B29" s="13">
        <f>IF(CARTEIRA!K30=0,"",CARTEIRA!K30)</f>
        <v/>
      </c>
      <c r="C29" s="14">
        <f>IF(CARTEIRA!L30=0,"",CARTEIRA!L30)</f>
        <v/>
      </c>
      <c r="D29" s="14">
        <f>IF(CARTEIRA!M30=0,"",CARTEIRA!M30)</f>
        <v/>
      </c>
      <c r="E29" s="14">
        <f>IF(CARTEIRA!N30=0,"",CARTEIRA!N30)</f>
        <v/>
      </c>
      <c r="F29" s="206">
        <f>IF(CARTEIRA!O30=0,"",CARTEIRA!O30)</f>
        <v/>
      </c>
      <c r="G29" s="206">
        <f>IF(CARTEIRA!P30=0,"",CARTEIRA!P30)</f>
        <v/>
      </c>
      <c r="H29" s="206">
        <f>IF(CARTEIRA!Q30=0,"",CARTEIRA!Q30)</f>
        <v/>
      </c>
      <c r="I29" s="15">
        <f>IF(CARTEIRA!R30=0,"",CARTEIRA!R30)</f>
        <v/>
      </c>
      <c r="T29" s="1" t="n"/>
      <c r="U29" s="207" t="n"/>
    </row>
    <row r="30">
      <c r="A30" s="13">
        <f>IF(CARTEIRA!J31=0,"",CARTEIRA!J31)</f>
        <v/>
      </c>
      <c r="B30" s="13">
        <f>IF(CARTEIRA!K31=0,"",CARTEIRA!K31)</f>
        <v/>
      </c>
      <c r="C30" s="14">
        <f>IF(CARTEIRA!L31=0,"",CARTEIRA!L31)</f>
        <v/>
      </c>
      <c r="D30" s="14">
        <f>IF(CARTEIRA!M31=0,"",CARTEIRA!M31)</f>
        <v/>
      </c>
      <c r="E30" s="14">
        <f>IF(CARTEIRA!N31=0,"",CARTEIRA!N31)</f>
        <v/>
      </c>
      <c r="F30" s="206">
        <f>IF(CARTEIRA!O31=0,"",CARTEIRA!O31)</f>
        <v/>
      </c>
      <c r="G30" s="206">
        <f>IF(CARTEIRA!P31=0,"",CARTEIRA!P31)</f>
        <v/>
      </c>
      <c r="H30" s="206">
        <f>IF(CARTEIRA!Q31=0,"",CARTEIRA!Q31)</f>
        <v/>
      </c>
      <c r="I30" s="15">
        <f>IF(CARTEIRA!R31=0,"",CARTEIRA!R31)</f>
        <v/>
      </c>
      <c r="T30" s="1" t="n"/>
      <c r="U30" s="207" t="n"/>
    </row>
    <row r="31">
      <c r="A31" s="13">
        <f>IF(CARTEIRA!J32=0,"",CARTEIRA!J32)</f>
        <v/>
      </c>
      <c r="B31" s="13">
        <f>IF(CARTEIRA!K32=0,"",CARTEIRA!K32)</f>
        <v/>
      </c>
      <c r="C31" s="14">
        <f>IF(CARTEIRA!L32=0,"",CARTEIRA!L32)</f>
        <v/>
      </c>
      <c r="D31" s="14">
        <f>IF(CARTEIRA!M32=0,"",CARTEIRA!M32)</f>
        <v/>
      </c>
      <c r="E31" s="14">
        <f>IF(CARTEIRA!N32=0,"",CARTEIRA!N32)</f>
        <v/>
      </c>
      <c r="F31" s="206">
        <f>IF(CARTEIRA!O32=0,"",CARTEIRA!O32)</f>
        <v/>
      </c>
      <c r="G31" s="206">
        <f>IF(CARTEIRA!P32=0,"",CARTEIRA!P32)</f>
        <v/>
      </c>
      <c r="H31" s="206">
        <f>IF(CARTEIRA!Q32=0,"",CARTEIRA!Q32)</f>
        <v/>
      </c>
      <c r="I31" s="15">
        <f>IF(CARTEIRA!R32=0,"",CARTEIRA!R32)</f>
        <v/>
      </c>
      <c r="T31" s="1" t="n"/>
      <c r="U31" s="207" t="n"/>
    </row>
    <row r="32">
      <c r="A32" s="13">
        <f>IF(CARTEIRA!J33=0,"",CARTEIRA!J33)</f>
        <v/>
      </c>
      <c r="B32" s="13">
        <f>IF(CARTEIRA!K33=0,"",CARTEIRA!K33)</f>
        <v/>
      </c>
      <c r="C32" s="14">
        <f>IF(CARTEIRA!L33=0,"",CARTEIRA!L33)</f>
        <v/>
      </c>
      <c r="D32" s="14">
        <f>IF(CARTEIRA!M33=0,"",CARTEIRA!M33)</f>
        <v/>
      </c>
      <c r="E32" s="14">
        <f>IF(CARTEIRA!N33=0,"",CARTEIRA!N33)</f>
        <v/>
      </c>
      <c r="F32" s="206">
        <f>IF(CARTEIRA!O33=0,"",CARTEIRA!O33)</f>
        <v/>
      </c>
      <c r="G32" s="206">
        <f>IF(CARTEIRA!P33=0,"",CARTEIRA!P33)</f>
        <v/>
      </c>
      <c r="H32" s="206">
        <f>IF(CARTEIRA!Q33=0,"",CARTEIRA!Q33)</f>
        <v/>
      </c>
      <c r="I32" s="15">
        <f>IF(CARTEIRA!R33=0,"",CARTEIRA!R33)</f>
        <v/>
      </c>
      <c r="T32" s="1" t="n"/>
      <c r="U32" s="207" t="n"/>
    </row>
    <row r="33">
      <c r="A33" s="13">
        <f>IF(CARTEIRA!J34=0,"",CARTEIRA!J34)</f>
        <v/>
      </c>
      <c r="B33" s="13">
        <f>IF(CARTEIRA!K34=0,"",CARTEIRA!K34)</f>
        <v/>
      </c>
      <c r="C33" s="14">
        <f>IF(CARTEIRA!L34=0,"",CARTEIRA!L34)</f>
        <v/>
      </c>
      <c r="D33" s="14">
        <f>IF(CARTEIRA!M34=0,"",CARTEIRA!M34)</f>
        <v/>
      </c>
      <c r="E33" s="14">
        <f>IF(CARTEIRA!N34=0,"",CARTEIRA!N34)</f>
        <v/>
      </c>
      <c r="F33" s="206">
        <f>IF(CARTEIRA!O34=0,"",CARTEIRA!O34)</f>
        <v/>
      </c>
      <c r="G33" s="206">
        <f>IF(CARTEIRA!P34=0,"",CARTEIRA!P34)</f>
        <v/>
      </c>
      <c r="H33" s="206">
        <f>IF(CARTEIRA!Q34=0,"",CARTEIRA!Q34)</f>
        <v/>
      </c>
      <c r="I33" s="15">
        <f>IF(CARTEIRA!R34=0,"",CARTEIRA!R34)</f>
        <v/>
      </c>
      <c r="T33" s="1" t="n"/>
      <c r="U33" s="207" t="n"/>
    </row>
    <row r="34">
      <c r="A34" s="13">
        <f>IF(CARTEIRA!J35=0,"",CARTEIRA!J35)</f>
        <v/>
      </c>
      <c r="B34" s="13">
        <f>IF(CARTEIRA!K35=0,"",CARTEIRA!K35)</f>
        <v/>
      </c>
      <c r="C34" s="14">
        <f>IF(CARTEIRA!L35=0,"",CARTEIRA!L35)</f>
        <v/>
      </c>
      <c r="D34" s="14">
        <f>IF(CARTEIRA!M35=0,"",CARTEIRA!M35)</f>
        <v/>
      </c>
      <c r="E34" s="14">
        <f>IF(CARTEIRA!N35=0,"",CARTEIRA!N35)</f>
        <v/>
      </c>
      <c r="F34" s="206">
        <f>IF(CARTEIRA!O35=0,"",CARTEIRA!O35)</f>
        <v/>
      </c>
      <c r="G34" s="206">
        <f>IF(CARTEIRA!P35=0,"",CARTEIRA!P35)</f>
        <v/>
      </c>
      <c r="H34" s="206">
        <f>IF(CARTEIRA!Q35=0,"",CARTEIRA!Q35)</f>
        <v/>
      </c>
      <c r="I34" s="15">
        <f>IF(CARTEIRA!R35=0,"",CARTEIRA!R35)</f>
        <v/>
      </c>
      <c r="T34" s="1" t="n"/>
      <c r="U34" s="207" t="n"/>
    </row>
    <row r="35">
      <c r="A35" s="13">
        <f>IF(CARTEIRA!J36=0,"",CARTEIRA!J36)</f>
        <v/>
      </c>
      <c r="B35" s="13">
        <f>IF(CARTEIRA!K36=0,"",CARTEIRA!K36)</f>
        <v/>
      </c>
      <c r="C35" s="14">
        <f>IF(CARTEIRA!L36=0,"",CARTEIRA!L36)</f>
        <v/>
      </c>
      <c r="D35" s="14">
        <f>IF(CARTEIRA!M36=0,"",CARTEIRA!M36)</f>
        <v/>
      </c>
      <c r="E35" s="14">
        <f>IF(CARTEIRA!N36=0,"",CARTEIRA!N36)</f>
        <v/>
      </c>
      <c r="F35" s="206">
        <f>IF(CARTEIRA!O36=0,"",CARTEIRA!O36)</f>
        <v/>
      </c>
      <c r="G35" s="206">
        <f>IF(CARTEIRA!P36=0,"",CARTEIRA!P36)</f>
        <v/>
      </c>
      <c r="H35" s="206">
        <f>IF(CARTEIRA!Q36=0,"",CARTEIRA!Q36)</f>
        <v/>
      </c>
      <c r="I35" s="15">
        <f>IF(CARTEIRA!R36=0,"",CARTEIRA!R36)</f>
        <v/>
      </c>
      <c r="T35" s="1" t="n"/>
      <c r="U35" s="207" t="n"/>
    </row>
    <row r="36">
      <c r="A36" s="13">
        <f>IF(CARTEIRA!J37=0,"",CARTEIRA!J37)</f>
        <v/>
      </c>
      <c r="B36" s="13">
        <f>IF(CARTEIRA!K37=0,"",CARTEIRA!K37)</f>
        <v/>
      </c>
      <c r="C36" s="14">
        <f>IF(CARTEIRA!L37=0,"",CARTEIRA!L37)</f>
        <v/>
      </c>
      <c r="D36" s="14">
        <f>IF(CARTEIRA!M37=0,"",CARTEIRA!M37)</f>
        <v/>
      </c>
      <c r="E36" s="14">
        <f>IF(CARTEIRA!N37=0,"",CARTEIRA!N37)</f>
        <v/>
      </c>
      <c r="F36" s="206">
        <f>IF(CARTEIRA!O37=0,"",CARTEIRA!O37)</f>
        <v/>
      </c>
      <c r="G36" s="206">
        <f>IF(CARTEIRA!P37=0,"",CARTEIRA!P37)</f>
        <v/>
      </c>
      <c r="H36" s="206">
        <f>IF(CARTEIRA!Q37=0,"",CARTEIRA!Q37)</f>
        <v/>
      </c>
      <c r="I36" s="15">
        <f>IF(CARTEIRA!R37=0,"",CARTEIRA!R37)</f>
        <v/>
      </c>
      <c r="T36" s="1" t="n"/>
      <c r="U36" s="207" t="n"/>
    </row>
    <row r="37">
      <c r="A37" s="13">
        <f>IF(CARTEIRA!J38=0,"",CARTEIRA!J38)</f>
        <v/>
      </c>
      <c r="B37" s="13">
        <f>IF(CARTEIRA!K38=0,"",CARTEIRA!K38)</f>
        <v/>
      </c>
      <c r="C37" s="14">
        <f>IF(CARTEIRA!L38=0,"",CARTEIRA!L38)</f>
        <v/>
      </c>
      <c r="D37" s="14">
        <f>IF(CARTEIRA!M38=0,"",CARTEIRA!M38)</f>
        <v/>
      </c>
      <c r="E37" s="14">
        <f>IF(CARTEIRA!N38=0,"",CARTEIRA!N38)</f>
        <v/>
      </c>
      <c r="F37" s="206">
        <f>IF(CARTEIRA!O38=0,"",CARTEIRA!O38)</f>
        <v/>
      </c>
      <c r="G37" s="206">
        <f>IF(CARTEIRA!P38=0,"",CARTEIRA!P38)</f>
        <v/>
      </c>
      <c r="H37" s="206">
        <f>IF(CARTEIRA!Q38=0,"",CARTEIRA!Q38)</f>
        <v/>
      </c>
      <c r="I37" s="15">
        <f>IF(CARTEIRA!R38=0,"",CARTEIRA!R38)</f>
        <v/>
      </c>
      <c r="T37" s="1" t="n"/>
      <c r="U37" s="207" t="n"/>
    </row>
    <row r="38">
      <c r="A38" s="13">
        <f>IF(CARTEIRA!J39=0,"",CARTEIRA!J39)</f>
        <v/>
      </c>
      <c r="B38" s="13">
        <f>IF(CARTEIRA!K39=0,"",CARTEIRA!K39)</f>
        <v/>
      </c>
      <c r="C38" s="14">
        <f>IF(CARTEIRA!L39=0,"",CARTEIRA!L39)</f>
        <v/>
      </c>
      <c r="D38" s="14">
        <f>IF(CARTEIRA!M39=0,"",CARTEIRA!M39)</f>
        <v/>
      </c>
      <c r="E38" s="14">
        <f>IF(CARTEIRA!N39=0,"",CARTEIRA!N39)</f>
        <v/>
      </c>
      <c r="F38" s="206">
        <f>IF(CARTEIRA!O39=0,"",CARTEIRA!O39)</f>
        <v/>
      </c>
      <c r="G38" s="206">
        <f>IF(CARTEIRA!P39=0,"",CARTEIRA!P39)</f>
        <v/>
      </c>
      <c r="H38" s="206">
        <f>IF(CARTEIRA!Q39=0,"",CARTEIRA!Q39)</f>
        <v/>
      </c>
      <c r="I38" s="15">
        <f>IF(CARTEIRA!R39=0,"",CARTEIRA!R39)</f>
        <v/>
      </c>
      <c r="T38" s="1" t="n"/>
      <c r="U38" s="207" t="n"/>
    </row>
    <row r="39">
      <c r="A39" s="13">
        <f>IF(CARTEIRA!J40=0,"",CARTEIRA!J40)</f>
        <v/>
      </c>
      <c r="B39" s="13">
        <f>IF(CARTEIRA!K40=0,"",CARTEIRA!K40)</f>
        <v/>
      </c>
      <c r="C39" s="14">
        <f>IF(CARTEIRA!L40=0,"",CARTEIRA!L40)</f>
        <v/>
      </c>
      <c r="D39" s="14">
        <f>IF(CARTEIRA!M40=0,"",CARTEIRA!M40)</f>
        <v/>
      </c>
      <c r="E39" s="14">
        <f>IF(CARTEIRA!N40=0,"",CARTEIRA!N40)</f>
        <v/>
      </c>
      <c r="F39" s="206">
        <f>IF(CARTEIRA!O40=0,"",CARTEIRA!O40)</f>
        <v/>
      </c>
      <c r="G39" s="206">
        <f>IF(CARTEIRA!P40=0,"",CARTEIRA!P40)</f>
        <v/>
      </c>
      <c r="H39" s="206">
        <f>IF(CARTEIRA!Q40=0,"",CARTEIRA!Q40)</f>
        <v/>
      </c>
      <c r="I39" s="15">
        <f>IF(CARTEIRA!R40=0,"",CARTEIRA!R40)</f>
        <v/>
      </c>
      <c r="T39" s="1" t="n"/>
      <c r="U39" s="207" t="n"/>
    </row>
    <row r="40">
      <c r="A40" s="13">
        <f>IF(CARTEIRA!J41=0,"",CARTEIRA!J41)</f>
        <v/>
      </c>
      <c r="B40" s="13">
        <f>IF(CARTEIRA!K41=0,"",CARTEIRA!K41)</f>
        <v/>
      </c>
      <c r="C40" s="14">
        <f>IF(CARTEIRA!L41=0,"",CARTEIRA!L41)</f>
        <v/>
      </c>
      <c r="D40" s="14">
        <f>IF(CARTEIRA!M41=0,"",CARTEIRA!M41)</f>
        <v/>
      </c>
      <c r="E40" s="14">
        <f>IF(CARTEIRA!N41=0,"",CARTEIRA!N41)</f>
        <v/>
      </c>
      <c r="F40" s="206">
        <f>IF(CARTEIRA!O41=0,"",CARTEIRA!O41)</f>
        <v/>
      </c>
      <c r="G40" s="206">
        <f>IF(CARTEIRA!P41=0,"",CARTEIRA!P41)</f>
        <v/>
      </c>
      <c r="H40" s="206">
        <f>IF(CARTEIRA!Q41=0,"",CARTEIRA!Q41)</f>
        <v/>
      </c>
      <c r="I40" s="15">
        <f>IF(CARTEIRA!R41=0,"",CARTEIRA!R41)</f>
        <v/>
      </c>
      <c r="T40" s="1" t="n"/>
      <c r="U40" s="207" t="n"/>
    </row>
    <row r="41">
      <c r="A41" s="13">
        <f>IF(CARTEIRA!J42=0,"",CARTEIRA!J42)</f>
        <v/>
      </c>
      <c r="B41" s="13">
        <f>IF(CARTEIRA!K42=0,"",CARTEIRA!K42)</f>
        <v/>
      </c>
      <c r="C41" s="14">
        <f>IF(CARTEIRA!L42=0,"",CARTEIRA!L42)</f>
        <v/>
      </c>
      <c r="D41" s="14">
        <f>IF(CARTEIRA!M42=0,"",CARTEIRA!M42)</f>
        <v/>
      </c>
      <c r="E41" s="14">
        <f>IF(CARTEIRA!N42=0,"",CARTEIRA!N42)</f>
        <v/>
      </c>
      <c r="F41" s="206">
        <f>IF(CARTEIRA!O42=0,"",CARTEIRA!O42)</f>
        <v/>
      </c>
      <c r="G41" s="206">
        <f>IF(CARTEIRA!P42=0,"",CARTEIRA!P42)</f>
        <v/>
      </c>
      <c r="H41" s="206">
        <f>IF(CARTEIRA!Q42=0,"",CARTEIRA!Q42)</f>
        <v/>
      </c>
      <c r="I41" s="15">
        <f>IF(CARTEIRA!R42=0,"",CARTEIRA!R42)</f>
        <v/>
      </c>
      <c r="T41" s="1" t="n"/>
      <c r="U41" s="207" t="n"/>
    </row>
    <row r="42">
      <c r="F42" s="208">
        <f>SUM(F2:F41)</f>
        <v/>
      </c>
      <c r="G42" s="208">
        <f>SUM(G2:G41)</f>
        <v/>
      </c>
      <c r="H42" s="208">
        <f>SUM(H2:H41)</f>
        <v/>
      </c>
      <c r="I42" s="16">
        <f>H42/F42</f>
        <v/>
      </c>
      <c r="T42" s="1" t="n"/>
      <c r="U42" s="207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Fortunae</dc:creator>
  <dc:title xmlns:dc="http://purl.org/dc/elements/1.1/">Planilha de cálculo de porporções de Fibonacci</dc:title>
  <dcterms:created xmlns:dcterms="http://purl.org/dc/terms/" xmlns:xsi="http://www.w3.org/2001/XMLSchema-instance" xsi:type="dcterms:W3CDTF">2002-07-04T22:31:08Z</dcterms:created>
  <dcterms:modified xmlns:dcterms="http://purl.org/dc/terms/" xmlns:xsi="http://www.w3.org/2001/XMLSchema-instance" xsi:type="dcterms:W3CDTF">2026-03-22T01:05:21Z</dcterms:modified>
  <cp:lastModifiedBy>Cecília Ribeiro</cp:lastModifiedBy>
  <cp:keywords>Fibonacci Fortunae fibo</cp:keywords>
</cp:coreProperties>
</file>